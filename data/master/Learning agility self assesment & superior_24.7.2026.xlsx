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8" documentId="13_ncr:1_{45BC1C91-6A08-44D5-A919-61FCA0E2259C}" xr6:coauthVersionLast="47" xr6:coauthVersionMax="47" xr10:uidLastSave="{1F32C8BB-B0B4-4080-BD0B-A938A4BD4D9B}"/>
  <bookViews>
    <workbookView xWindow="-110" yWindow="-110" windowWidth="19420" windowHeight="11020" tabRatio="882" activeTab="6"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14" i="5" l="1"/>
  <c r="N15" i="5"/>
  <c r="N16" i="5"/>
  <c r="N17" i="5"/>
  <c r="N18" i="5"/>
  <c r="N19" i="5"/>
  <c r="N20" i="5"/>
  <c r="N21" i="5"/>
  <c r="N22" i="5"/>
  <c r="N13" i="5"/>
  <c r="N14" i="4"/>
  <c r="N15" i="4"/>
  <c r="N16" i="4"/>
  <c r="N17" i="4"/>
  <c r="N18" i="4"/>
  <c r="N19" i="4"/>
  <c r="N20" i="4"/>
  <c r="N21" i="4"/>
  <c r="N22" i="4"/>
  <c r="N23" i="4"/>
  <c r="P23" i="4" s="1" a="1"/>
  <c r="P23" i="4" s="1"/>
  <c r="N24" i="4"/>
  <c r="N13" i="4"/>
  <c r="N14" i="3"/>
  <c r="N15" i="3"/>
  <c r="N16" i="3"/>
  <c r="N17" i="3"/>
  <c r="N18" i="3"/>
  <c r="N19" i="3"/>
  <c r="N20" i="3"/>
  <c r="N21" i="3"/>
  <c r="N22" i="3"/>
  <c r="N13" i="3"/>
  <c r="N14" i="2"/>
  <c r="N15" i="2"/>
  <c r="N16" i="2"/>
  <c r="N17" i="2"/>
  <c r="N18" i="2"/>
  <c r="N19" i="2"/>
  <c r="N20" i="2"/>
  <c r="N21" i="2"/>
  <c r="N22" i="2"/>
  <c r="N23" i="2"/>
  <c r="N24" i="2"/>
  <c r="N25" i="2"/>
  <c r="N26" i="2"/>
  <c r="N27" i="2"/>
  <c r="N28" i="2"/>
  <c r="N13" i="2"/>
  <c r="N14" i="1"/>
  <c r="N15" i="1"/>
  <c r="N16" i="1"/>
  <c r="N17" i="1"/>
  <c r="N18" i="1"/>
  <c r="N19" i="1"/>
  <c r="N20" i="1"/>
  <c r="N21" i="1"/>
  <c r="N22" i="1"/>
  <c r="N13" i="1"/>
  <c r="K25" i="4"/>
  <c r="I25" i="4"/>
  <c r="K29" i="2"/>
  <c r="I29" i="2"/>
  <c r="P24" i="4" a="1"/>
  <c r="P24" i="4" s="1"/>
  <c r="O24" i="4" a="1"/>
  <c r="O24" i="4" s="1"/>
  <c r="M23" i="4"/>
  <c r="M24" i="4"/>
  <c r="M23" i="2"/>
  <c r="M24" i="2"/>
  <c r="M25" i="2"/>
  <c r="M26" i="2"/>
  <c r="M27" i="2"/>
  <c r="M28" i="2"/>
  <c r="B13" i="18"/>
  <c r="C13" i="18"/>
  <c r="E13" i="18" s="1"/>
  <c r="F13" i="18" s="1"/>
  <c r="B14" i="18"/>
  <c r="C14" i="18"/>
  <c r="E14" i="18" s="1"/>
  <c r="B15" i="18"/>
  <c r="C15" i="18"/>
  <c r="E15" i="18" s="1"/>
  <c r="B16" i="18"/>
  <c r="C16" i="18"/>
  <c r="E16" i="18" s="1"/>
  <c r="B17" i="18"/>
  <c r="C17" i="18"/>
  <c r="E17" i="18"/>
  <c r="F17" i="18" s="1"/>
  <c r="B18" i="18"/>
  <c r="C18" i="18"/>
  <c r="E18" i="18"/>
  <c r="F18" i="18"/>
  <c r="B19" i="18"/>
  <c r="C19" i="18"/>
  <c r="E19" i="18" s="1"/>
  <c r="F19" i="18" s="1"/>
  <c r="B20" i="18"/>
  <c r="C20" i="18"/>
  <c r="E20" i="18"/>
  <c r="F20" i="18"/>
  <c r="B21" i="18"/>
  <c r="C21" i="18"/>
  <c r="E21" i="18"/>
  <c r="I21" i="18" s="1"/>
  <c r="F21" i="18"/>
  <c r="B22" i="18"/>
  <c r="C22" i="18"/>
  <c r="E22" i="18" s="1"/>
  <c r="B23" i="18"/>
  <c r="C23" i="18"/>
  <c r="E23" i="18" s="1"/>
  <c r="B24" i="18"/>
  <c r="C24" i="18"/>
  <c r="E24" i="18" s="1"/>
  <c r="B25" i="18"/>
  <c r="C25" i="18"/>
  <c r="E25" i="18"/>
  <c r="F25" i="18" s="1"/>
  <c r="B26" i="18"/>
  <c r="C26" i="18"/>
  <c r="E26" i="18"/>
  <c r="B4" i="22"/>
  <c r="B5" i="22"/>
  <c r="B6" i="22"/>
  <c r="B7" i="22"/>
  <c r="B8" i="22"/>
  <c r="B3" i="22"/>
  <c r="F16" i="26"/>
  <c r="F15" i="26"/>
  <c r="F14" i="26"/>
  <c r="F13" i="26"/>
  <c r="E16" i="26"/>
  <c r="C15" i="26"/>
  <c r="C14" i="26"/>
  <c r="C13" i="26"/>
  <c r="O10" i="24"/>
  <c r="P10" i="24" s="1"/>
  <c r="O9" i="24"/>
  <c r="O11" i="24"/>
  <c r="P11" i="24" s="1"/>
  <c r="O12" i="24"/>
  <c r="P12" i="24" s="1"/>
  <c r="O13" i="24"/>
  <c r="P13" i="24" s="1"/>
  <c r="O14" i="24"/>
  <c r="O15" i="24"/>
  <c r="O16" i="24"/>
  <c r="O17" i="24"/>
  <c r="O18" i="24"/>
  <c r="O19" i="24"/>
  <c r="O20" i="24"/>
  <c r="P20" i="24" s="1"/>
  <c r="O21" i="24"/>
  <c r="P21" i="24" s="1"/>
  <c r="O22" i="24"/>
  <c r="P22" i="24" s="1"/>
  <c r="O23" i="24"/>
  <c r="P23" i="24" s="1"/>
  <c r="O24" i="24"/>
  <c r="P24" i="24" s="1"/>
  <c r="O25" i="24"/>
  <c r="P25" i="24" s="1"/>
  <c r="O26" i="24"/>
  <c r="P26" i="24" s="1"/>
  <c r="O27" i="24"/>
  <c r="P27" i="24" s="1"/>
  <c r="P14" i="24"/>
  <c r="P15" i="24"/>
  <c r="P16" i="24"/>
  <c r="P17" i="24"/>
  <c r="P18" i="24"/>
  <c r="P19" i="24"/>
  <c r="P9" i="24"/>
  <c r="O23" i="4" l="1" a="1"/>
  <c r="O23" i="4" s="1"/>
  <c r="O23" i="2" a="1"/>
  <c r="O23" i="2" s="1"/>
  <c r="I26" i="18"/>
  <c r="I17" i="18"/>
  <c r="I25" i="18"/>
  <c r="P23" i="2" a="1"/>
  <c r="P23" i="2" s="1"/>
  <c r="P24" i="2" a="1"/>
  <c r="P24" i="2" s="1"/>
  <c r="O24" i="2" a="1"/>
  <c r="O24" i="2" s="1"/>
  <c r="P25" i="2" a="1"/>
  <c r="P25" i="2" s="1"/>
  <c r="O25" i="2" a="1"/>
  <c r="O25" i="2" s="1"/>
  <c r="P26" i="2" a="1"/>
  <c r="P26" i="2" s="1"/>
  <c r="O26" i="2" a="1"/>
  <c r="O26" i="2" s="1"/>
  <c r="O27" i="2" a="1"/>
  <c r="O27" i="2" s="1"/>
  <c r="P27" i="2" a="1"/>
  <c r="P27" i="2" s="1"/>
  <c r="O28" i="2" a="1"/>
  <c r="O28" i="2" s="1"/>
  <c r="P28" i="2" a="1"/>
  <c r="P28" i="2" s="1"/>
  <c r="F24" i="18"/>
  <c r="I24" i="18"/>
  <c r="I22" i="18"/>
  <c r="F22" i="18"/>
  <c r="F16" i="18"/>
  <c r="I16" i="18"/>
  <c r="I23" i="18"/>
  <c r="F23" i="18"/>
  <c r="F14" i="18"/>
  <c r="I14" i="18"/>
  <c r="F26" i="18"/>
  <c r="I18" i="18"/>
  <c r="I15" i="18"/>
  <c r="F15" i="18"/>
  <c r="I20" i="18"/>
  <c r="I13" i="18"/>
  <c r="I19" i="18"/>
  <c r="C16" i="26"/>
  <c r="A20" i="25"/>
  <c r="B20" i="25"/>
  <c r="C20" i="25"/>
  <c r="D20" i="25"/>
  <c r="E20" i="25"/>
  <c r="F20" i="25"/>
  <c r="G20" i="25"/>
  <c r="H20" i="25"/>
  <c r="I20" i="25"/>
  <c r="J20" i="25"/>
  <c r="C37" i="26"/>
  <c r="B9" i="25"/>
  <c r="C9" i="25"/>
  <c r="D9" i="25"/>
  <c r="E9" i="25"/>
  <c r="F9" i="25"/>
  <c r="G9" i="25"/>
  <c r="H9" i="25"/>
  <c r="I9" i="25"/>
  <c r="J9" i="25"/>
  <c r="B10" i="25"/>
  <c r="C10" i="25"/>
  <c r="D10" i="25"/>
  <c r="E10" i="25"/>
  <c r="F10" i="25"/>
  <c r="G10" i="25"/>
  <c r="H10" i="25"/>
  <c r="I10" i="25"/>
  <c r="J10" i="25"/>
  <c r="B11" i="25"/>
  <c r="C11" i="25"/>
  <c r="D11" i="25"/>
  <c r="E11" i="25"/>
  <c r="F11" i="25"/>
  <c r="G11" i="25"/>
  <c r="H11" i="25"/>
  <c r="I11" i="25"/>
  <c r="J11" i="25"/>
  <c r="B12" i="25"/>
  <c r="C12" i="25"/>
  <c r="D12" i="25"/>
  <c r="E12" i="25"/>
  <c r="F12" i="25"/>
  <c r="G12" i="25"/>
  <c r="H12" i="25"/>
  <c r="I12" i="25"/>
  <c r="J12" i="25"/>
  <c r="B13" i="25"/>
  <c r="C13" i="25"/>
  <c r="D13" i="25"/>
  <c r="E13" i="25"/>
  <c r="F13" i="25"/>
  <c r="G13" i="25"/>
  <c r="H13" i="25"/>
  <c r="I13" i="25"/>
  <c r="J13" i="25"/>
  <c r="B14" i="25"/>
  <c r="C14" i="25"/>
  <c r="D14" i="25"/>
  <c r="E14" i="25"/>
  <c r="F14" i="25"/>
  <c r="G14" i="25"/>
  <c r="H14" i="25"/>
  <c r="I14" i="25"/>
  <c r="J14" i="25"/>
  <c r="B15" i="25"/>
  <c r="C15" i="25"/>
  <c r="D15" i="25"/>
  <c r="E15" i="25"/>
  <c r="F15" i="25"/>
  <c r="G15" i="25"/>
  <c r="H15" i="25"/>
  <c r="I15" i="25"/>
  <c r="J15" i="25"/>
  <c r="B16" i="25"/>
  <c r="C16" i="25"/>
  <c r="D16" i="25"/>
  <c r="E16" i="25"/>
  <c r="F16" i="25"/>
  <c r="G16" i="25"/>
  <c r="H16" i="25"/>
  <c r="I16" i="25"/>
  <c r="J16" i="25"/>
  <c r="B17" i="25"/>
  <c r="C17" i="25"/>
  <c r="D17" i="25"/>
  <c r="E17" i="25"/>
  <c r="F17" i="25"/>
  <c r="G17" i="25"/>
  <c r="H17" i="25"/>
  <c r="I17" i="25"/>
  <c r="J17" i="25"/>
  <c r="B18" i="25"/>
  <c r="C18" i="25"/>
  <c r="D18" i="25"/>
  <c r="E18" i="25"/>
  <c r="F18" i="25"/>
  <c r="G18" i="25"/>
  <c r="H18" i="25"/>
  <c r="I18" i="25"/>
  <c r="J18" i="25"/>
  <c r="B19" i="25"/>
  <c r="C19" i="25"/>
  <c r="D19" i="25"/>
  <c r="E19" i="25"/>
  <c r="F19" i="25"/>
  <c r="G19" i="25"/>
  <c r="H19" i="25"/>
  <c r="I19" i="25"/>
  <c r="J19" i="25"/>
  <c r="A19" i="25"/>
  <c r="A18" i="25"/>
  <c r="A17" i="25"/>
  <c r="A16" i="25"/>
  <c r="A15" i="25"/>
  <c r="A14" i="25"/>
  <c r="A13" i="25"/>
  <c r="A12" i="25"/>
  <c r="A11" i="25"/>
  <c r="Q12" i="23"/>
  <c r="R30" i="23"/>
  <c r="Q30" i="23"/>
  <c r="R27" i="23"/>
  <c r="Q27" i="23"/>
  <c r="R24" i="23"/>
  <c r="Q24" i="23"/>
  <c r="R21" i="23" l="1"/>
  <c r="Q21" i="23"/>
  <c r="R18" i="23"/>
  <c r="Q18" i="23"/>
  <c r="R15" i="23"/>
  <c r="Q15" i="23"/>
  <c r="R12" i="23"/>
  <c r="B8" i="23"/>
  <c r="B7" i="23"/>
  <c r="B6" i="23"/>
  <c r="B5" i="23"/>
  <c r="B4" i="23"/>
  <c r="B3" i="23"/>
  <c r="Q33" i="23" l="1"/>
  <c r="A10" i="25" l="1"/>
  <c r="A9" i="25"/>
  <c r="D13" i="26"/>
  <c r="B6" i="24"/>
  <c r="B5" i="24"/>
  <c r="B4" i="24"/>
  <c r="B3" i="24"/>
  <c r="B3" i="25"/>
  <c r="B4" i="25"/>
  <c r="B5" i="25"/>
  <c r="B6" i="25"/>
  <c r="B3" i="26"/>
  <c r="B2" i="25" s="1"/>
  <c r="C38" i="26"/>
  <c r="D38" i="26"/>
  <c r="A8" i="26"/>
  <c r="A7" i="26"/>
  <c r="A3" i="26"/>
  <c r="O33" i="24"/>
  <c r="D16" i="26"/>
  <c r="K16" i="22"/>
  <c r="K15" i="22"/>
  <c r="K14" i="22"/>
  <c r="K13" i="22"/>
  <c r="K12" i="22"/>
  <c r="K17" i="22" s="1"/>
  <c r="E14" i="26" l="1"/>
  <c r="E15" i="26"/>
  <c r="D14" i="26"/>
  <c r="D15" i="26"/>
  <c r="E13" i="26"/>
  <c r="B2" i="24"/>
  <c r="P33" i="24"/>
  <c r="D17" i="26" l="1"/>
  <c r="C36" i="26" s="1"/>
  <c r="C40" i="26" s="1"/>
  <c r="D36" i="26" l="1"/>
  <c r="D40" i="26"/>
  <c r="D41" i="26"/>
  <c r="D42" i="26" s="1"/>
  <c r="D37" i="26" l="1"/>
  <c r="C45" i="18" l="1"/>
  <c r="C46" i="18"/>
  <c r="C47" i="18"/>
  <c r="C48" i="18"/>
  <c r="C49" i="18"/>
  <c r="C50" i="18"/>
  <c r="C51" i="18"/>
  <c r="C52" i="18"/>
  <c r="C53" i="18"/>
  <c r="C54" i="18"/>
  <c r="C55" i="18"/>
  <c r="C56" i="18"/>
  <c r="C57" i="18"/>
  <c r="C44" i="18"/>
  <c r="B41" i="18"/>
  <c r="A362" i="19"/>
  <c r="H18" i="9" l="1" a="1"/>
  <c r="H18" i="9" s="1"/>
  <c r="H17" i="9" a="1"/>
  <c r="H17" i="9" s="1"/>
  <c r="H16" i="9" a="1"/>
  <c r="H16" i="9" s="1"/>
  <c r="H15" i="9" a="1"/>
  <c r="H15" i="9" s="1"/>
  <c r="H14" i="9" a="1"/>
  <c r="H14" i="9" s="1"/>
  <c r="G18" i="9" a="1"/>
  <c r="G18" i="9" s="1"/>
  <c r="G17" i="9" a="1"/>
  <c r="G17" i="9" s="1"/>
  <c r="G16" i="9" a="1"/>
  <c r="G16" i="9" s="1"/>
  <c r="G15" i="9" a="1"/>
  <c r="G15" i="9" s="1"/>
  <c r="G14" i="9" a="1"/>
  <c r="G14" i="9" s="1"/>
  <c r="F18" i="9" a="1"/>
  <c r="F18" i="9" s="1"/>
  <c r="F17" i="9" a="1"/>
  <c r="F17" i="9" s="1"/>
  <c r="F16" i="9" a="1"/>
  <c r="F16" i="9" s="1"/>
  <c r="F15" i="9" a="1"/>
  <c r="F15" i="9" s="1"/>
  <c r="F14" i="9" a="1"/>
  <c r="F14" i="9" s="1"/>
  <c r="E14" i="9" a="1"/>
  <c r="E14" i="9" s="1"/>
  <c r="E18" i="9" a="1"/>
  <c r="E18" i="9" s="1"/>
  <c r="E17" i="9" a="1"/>
  <c r="E17" i="9" s="1"/>
  <c r="E16" i="9" a="1"/>
  <c r="E16" i="9" s="1"/>
  <c r="E15" i="9" a="1"/>
  <c r="E15" i="9" s="1"/>
  <c r="D14" i="9" a="1"/>
  <c r="D14" i="9" s="1"/>
  <c r="D18" i="9" a="1"/>
  <c r="D18" i="9" s="1"/>
  <c r="D17" i="9" a="1"/>
  <c r="D17" i="9" s="1"/>
  <c r="D16" i="9" a="1"/>
  <c r="D16" i="9" s="1"/>
  <c r="D15" i="9" a="1"/>
  <c r="D15" i="9" s="1"/>
  <c r="K23" i="3"/>
  <c r="M22" i="3"/>
  <c r="M21" i="3"/>
  <c r="M20" i="3"/>
  <c r="M19" i="3"/>
  <c r="M18" i="3"/>
  <c r="M17" i="3"/>
  <c r="M16" i="3"/>
  <c r="M15" i="3"/>
  <c r="M14" i="3"/>
  <c r="M13" i="3"/>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33" i="18"/>
  <c r="A34" i="18"/>
  <c r="A35" i="18"/>
  <c r="A36" i="18"/>
  <c r="A32" i="18"/>
  <c r="B3" i="18" l="1"/>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84" i="9"/>
  <c r="B84" i="9"/>
  <c r="C84" i="9"/>
  <c r="A85" i="9"/>
  <c r="B85" i="9"/>
  <c r="C85" i="9"/>
  <c r="A86" i="9"/>
  <c r="B86" i="9"/>
  <c r="C86" i="9"/>
  <c r="A87" i="9"/>
  <c r="B87" i="9"/>
  <c r="C87" i="9"/>
  <c r="A88" i="9"/>
  <c r="B88" i="9"/>
  <c r="C88" i="9"/>
  <c r="A89" i="9"/>
  <c r="B89" i="9"/>
  <c r="C89" i="9"/>
  <c r="A90" i="9"/>
  <c r="B90" i="9"/>
  <c r="C90" i="9"/>
  <c r="A91" i="9"/>
  <c r="B91" i="9"/>
  <c r="C91" i="9"/>
  <c r="A92" i="9"/>
  <c r="B92" i="9"/>
  <c r="C92" i="9"/>
  <c r="C83" i="9"/>
  <c r="B83" i="9"/>
  <c r="A83" i="9"/>
  <c r="A69" i="9"/>
  <c r="B69" i="9"/>
  <c r="C69" i="9"/>
  <c r="A70" i="9"/>
  <c r="B70" i="9"/>
  <c r="C70" i="9"/>
  <c r="A71" i="9"/>
  <c r="B71" i="9"/>
  <c r="C71" i="9"/>
  <c r="A72" i="9"/>
  <c r="B72" i="9"/>
  <c r="C72" i="9"/>
  <c r="A73" i="9"/>
  <c r="B73" i="9"/>
  <c r="C73" i="9"/>
  <c r="A74" i="9"/>
  <c r="B74" i="9"/>
  <c r="C74" i="9"/>
  <c r="A75" i="9"/>
  <c r="B75" i="9"/>
  <c r="C75" i="9"/>
  <c r="A76" i="9"/>
  <c r="B76" i="9"/>
  <c r="C76" i="9"/>
  <c r="A77" i="9"/>
  <c r="B77" i="9"/>
  <c r="C77" i="9"/>
  <c r="C68" i="9"/>
  <c r="B68" i="9"/>
  <c r="A68" i="9"/>
  <c r="C63" i="9"/>
  <c r="A54" i="9"/>
  <c r="B54" i="9"/>
  <c r="C54" i="9"/>
  <c r="D54" i="9"/>
  <c r="E54" i="9"/>
  <c r="A55" i="9"/>
  <c r="B55" i="9"/>
  <c r="C55" i="9"/>
  <c r="D55" i="9"/>
  <c r="E55" i="9"/>
  <c r="A56" i="9"/>
  <c r="B56" i="9"/>
  <c r="C56" i="9"/>
  <c r="D56" i="9"/>
  <c r="E56" i="9"/>
  <c r="A57" i="9"/>
  <c r="B57" i="9"/>
  <c r="C57" i="9"/>
  <c r="D57" i="9"/>
  <c r="E57" i="9"/>
  <c r="A58" i="9"/>
  <c r="B58" i="9"/>
  <c r="C58" i="9"/>
  <c r="D58" i="9"/>
  <c r="E58" i="9"/>
  <c r="A59" i="9"/>
  <c r="B59" i="9"/>
  <c r="C59" i="9"/>
  <c r="D59" i="9"/>
  <c r="E59" i="9"/>
  <c r="A60" i="9"/>
  <c r="B60" i="9"/>
  <c r="C60" i="9"/>
  <c r="D60" i="9"/>
  <c r="E60" i="9"/>
  <c r="A61" i="9"/>
  <c r="B61" i="9"/>
  <c r="C61" i="9"/>
  <c r="D61" i="9"/>
  <c r="E61" i="9"/>
  <c r="A62" i="9"/>
  <c r="B62" i="9"/>
  <c r="C62" i="9"/>
  <c r="D62" i="9"/>
  <c r="E62" i="9"/>
  <c r="E53" i="9"/>
  <c r="D53" i="9"/>
  <c r="C53" i="9"/>
  <c r="B53" i="9"/>
  <c r="A53" i="9"/>
  <c r="J23" i="3"/>
  <c r="I23" i="3"/>
  <c r="B63" i="9" s="1"/>
  <c r="M18" i="5"/>
  <c r="E88" i="9" s="1"/>
  <c r="J23" i="5"/>
  <c r="M17" i="5"/>
  <c r="E87" i="9" s="1"/>
  <c r="M13" i="5"/>
  <c r="M14" i="4"/>
  <c r="E69" i="9" s="1"/>
  <c r="M19" i="4"/>
  <c r="E74" i="9" s="1"/>
  <c r="M20" i="4"/>
  <c r="E75" i="9" s="1"/>
  <c r="M21" i="4"/>
  <c r="E76" i="9" s="1"/>
  <c r="B40" i="9"/>
  <c r="M17" i="2"/>
  <c r="B44" i="9"/>
  <c r="C44" i="9"/>
  <c r="B45" i="9"/>
  <c r="C45" i="9"/>
  <c r="B46" i="9"/>
  <c r="C46" i="9"/>
  <c r="C39" i="9"/>
  <c r="M13" i="2"/>
  <c r="E39" i="9" s="1"/>
  <c r="C28" i="9"/>
  <c r="B29" i="9"/>
  <c r="C29" i="9"/>
  <c r="C30" i="9"/>
  <c r="M19" i="1"/>
  <c r="C31" i="9"/>
  <c r="M20" i="1"/>
  <c r="B34" i="9"/>
  <c r="C34" i="9"/>
  <c r="M13" i="1"/>
  <c r="A40" i="9"/>
  <c r="C40" i="9"/>
  <c r="A41" i="9"/>
  <c r="B41" i="9"/>
  <c r="C41" i="9"/>
  <c r="A42" i="9"/>
  <c r="B42" i="9"/>
  <c r="C42" i="9"/>
  <c r="A43" i="9"/>
  <c r="B43" i="9"/>
  <c r="C43" i="9"/>
  <c r="A44" i="9"/>
  <c r="A45" i="9"/>
  <c r="A46" i="9"/>
  <c r="A47" i="9"/>
  <c r="B47" i="9"/>
  <c r="C47" i="9"/>
  <c r="A48" i="9"/>
  <c r="B48" i="9"/>
  <c r="C48" i="9"/>
  <c r="A39" i="9"/>
  <c r="M22" i="5"/>
  <c r="E92" i="9" s="1"/>
  <c r="M21" i="5"/>
  <c r="E91" i="9" s="1"/>
  <c r="M20" i="5"/>
  <c r="E90" i="9" s="1"/>
  <c r="M19" i="5"/>
  <c r="E89" i="9" s="1"/>
  <c r="M16" i="5"/>
  <c r="M15" i="5"/>
  <c r="E85" i="9" s="1"/>
  <c r="M14" i="5"/>
  <c r="E84" i="9" s="1"/>
  <c r="M22" i="4"/>
  <c r="E77" i="9" s="1"/>
  <c r="M18" i="4"/>
  <c r="E73" i="9" s="1"/>
  <c r="M17" i="4"/>
  <c r="E72" i="9" s="1"/>
  <c r="M16" i="4"/>
  <c r="E71" i="9" s="1"/>
  <c r="M15" i="4"/>
  <c r="E70" i="9" s="1"/>
  <c r="J29" i="2"/>
  <c r="M22" i="2"/>
  <c r="E48" i="9" s="1"/>
  <c r="M21" i="2"/>
  <c r="E47" i="9" s="1"/>
  <c r="M16" i="2"/>
  <c r="E42" i="9" s="1"/>
  <c r="M15" i="2"/>
  <c r="E41" i="9" s="1"/>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O18" i="1" s="1" a="1"/>
  <c r="O18" i="1" s="1"/>
  <c r="M21" i="1"/>
  <c r="O21" i="1" s="1" a="1"/>
  <c r="O21" i="1" s="1"/>
  <c r="M14" i="1"/>
  <c r="O14" i="1" s="1" a="1"/>
  <c r="O14" i="1" s="1"/>
  <c r="M16" i="1"/>
  <c r="O16" i="1" s="1" a="1"/>
  <c r="O16" i="1" s="1"/>
  <c r="E86" i="9" l="1"/>
  <c r="D86" i="9"/>
  <c r="D91" i="9"/>
  <c r="D84" i="9"/>
  <c r="D71" i="9"/>
  <c r="M23" i="3"/>
  <c r="N23" i="3" s="1" a="1"/>
  <c r="N23" i="3" s="1"/>
  <c r="O23" i="3" s="1" a="1"/>
  <c r="O23" i="3" s="1"/>
  <c r="D30" i="9"/>
  <c r="D69" i="9"/>
  <c r="B15" i="9"/>
  <c r="C15" i="9" s="1"/>
  <c r="M29" i="2"/>
  <c r="N29" i="2" s="1" a="1"/>
  <c r="N29" i="2" s="1"/>
  <c r="E57" i="18"/>
  <c r="E45" i="18"/>
  <c r="E48" i="18"/>
  <c r="E52" i="18"/>
  <c r="E46" i="18"/>
  <c r="E50" i="18"/>
  <c r="I50" i="18" s="1"/>
  <c r="E49" i="18"/>
  <c r="E56" i="18"/>
  <c r="E44" i="18"/>
  <c r="E47" i="18"/>
  <c r="E51" i="18"/>
  <c r="E55" i="18"/>
  <c r="E54" i="18"/>
  <c r="E53" i="18"/>
  <c r="I53" i="18" s="1"/>
  <c r="B53" i="18"/>
  <c r="B50" i="18"/>
  <c r="B49" i="18"/>
  <c r="B47" i="18"/>
  <c r="B57" i="18"/>
  <c r="B45" i="18"/>
  <c r="B54" i="18"/>
  <c r="B46" i="18"/>
  <c r="B56" i="18"/>
  <c r="B48" i="18"/>
  <c r="B44" i="18"/>
  <c r="B55" i="18"/>
  <c r="B52" i="18"/>
  <c r="B51" i="18"/>
  <c r="D90" i="9"/>
  <c r="D85" i="9"/>
  <c r="D92" i="9"/>
  <c r="D87" i="9"/>
  <c r="D88" i="9"/>
  <c r="D83" i="9"/>
  <c r="D89" i="9"/>
  <c r="D73" i="9"/>
  <c r="D75" i="9"/>
  <c r="D70" i="9"/>
  <c r="D77" i="9"/>
  <c r="D72" i="9"/>
  <c r="D74" i="9"/>
  <c r="D76" i="9"/>
  <c r="B16" i="9"/>
  <c r="C16" i="9" s="1"/>
  <c r="K23" i="5"/>
  <c r="I23" i="5"/>
  <c r="J25" i="4"/>
  <c r="M13" i="4"/>
  <c r="E68" i="9" s="1"/>
  <c r="B78" i="9"/>
  <c r="B101" i="9" s="1"/>
  <c r="B35" i="18" s="1"/>
  <c r="D42" i="9"/>
  <c r="D47" i="9"/>
  <c r="E43" i="9"/>
  <c r="D43" i="9"/>
  <c r="M14" i="2"/>
  <c r="M18" i="2"/>
  <c r="M19" i="2"/>
  <c r="D41" i="9"/>
  <c r="C49" i="9"/>
  <c r="C99" i="9" s="1"/>
  <c r="B49" i="9"/>
  <c r="B99" i="9" s="1"/>
  <c r="B33" i="18" s="1"/>
  <c r="M20" i="2"/>
  <c r="D48" i="9"/>
  <c r="O19" i="1" a="1"/>
  <c r="O19" i="1" s="1"/>
  <c r="P19" i="1" a="1"/>
  <c r="P19" i="1" s="1"/>
  <c r="O20" i="1" a="1"/>
  <c r="O20" i="1" s="1"/>
  <c r="P20" i="1" a="1"/>
  <c r="P20" i="1" s="1"/>
  <c r="B31" i="9"/>
  <c r="P18" i="1" a="1"/>
  <c r="P18" i="1" s="1"/>
  <c r="K23" i="1"/>
  <c r="P16" i="1" a="1"/>
  <c r="P16" i="1" s="1"/>
  <c r="P21" i="1" a="1"/>
  <c r="P21" i="1" s="1"/>
  <c r="P14" i="1" a="1"/>
  <c r="P14" i="1" s="1"/>
  <c r="C25" i="9"/>
  <c r="J23" i="1"/>
  <c r="I23" i="1"/>
  <c r="B35" i="9" s="1"/>
  <c r="B98" i="9" s="1"/>
  <c r="B25" i="9"/>
  <c r="D39" i="9"/>
  <c r="B39" i="9"/>
  <c r="O15" i="5" a="1"/>
  <c r="O15" i="5" s="1"/>
  <c r="P15" i="5" a="1"/>
  <c r="P15" i="5" s="1"/>
  <c r="O17" i="5" a="1"/>
  <c r="O17" i="5" s="1"/>
  <c r="P17" i="5" a="1"/>
  <c r="P17" i="5" s="1"/>
  <c r="P14" i="5" a="1"/>
  <c r="P14" i="5" s="1"/>
  <c r="O14" i="5" a="1"/>
  <c r="O14" i="5" s="1"/>
  <c r="P18" i="5" a="1"/>
  <c r="P18" i="5" s="1"/>
  <c r="O18" i="5" a="1"/>
  <c r="O18" i="5" s="1"/>
  <c r="O19" i="5" a="1"/>
  <c r="O19" i="5" s="1"/>
  <c r="P19" i="5" a="1"/>
  <c r="P19" i="5" s="1"/>
  <c r="P20" i="5" a="1"/>
  <c r="P20" i="5" s="1"/>
  <c r="O20" i="5" a="1"/>
  <c r="O20" i="5" s="1"/>
  <c r="P21" i="5" a="1"/>
  <c r="P21" i="5" s="1"/>
  <c r="O21" i="5" a="1"/>
  <c r="O21" i="5" s="1"/>
  <c r="P22" i="5" a="1"/>
  <c r="P22" i="5" s="1"/>
  <c r="O22" i="5" a="1"/>
  <c r="O22" i="5" s="1"/>
  <c r="E83" i="9"/>
  <c r="P18" i="4" a="1"/>
  <c r="P18" i="4" s="1"/>
  <c r="O18" i="4" a="1"/>
  <c r="O18" i="4" s="1"/>
  <c r="P17" i="4" a="1"/>
  <c r="P17" i="4" s="1"/>
  <c r="O17" i="4" a="1"/>
  <c r="O17" i="4" s="1"/>
  <c r="O20" i="4" a="1"/>
  <c r="O20" i="4" s="1"/>
  <c r="P20" i="4" a="1"/>
  <c r="P20" i="4" s="1"/>
  <c r="O15" i="4" a="1"/>
  <c r="O15" i="4" s="1"/>
  <c r="P15" i="4" a="1"/>
  <c r="P15" i="4" s="1"/>
  <c r="P16" i="4" a="1"/>
  <c r="P16" i="4" s="1"/>
  <c r="O16" i="4" a="1"/>
  <c r="O16" i="4" s="1"/>
  <c r="O21" i="4" a="1"/>
  <c r="O21" i="4" s="1"/>
  <c r="P21" i="4" a="1"/>
  <c r="P21" i="4" s="1"/>
  <c r="P19" i="4" a="1"/>
  <c r="P19" i="4" s="1"/>
  <c r="O19" i="4" a="1"/>
  <c r="O19" i="4" s="1"/>
  <c r="P22" i="4" a="1"/>
  <c r="P22" i="4" s="1"/>
  <c r="O22" i="4" a="1"/>
  <c r="O22" i="4" s="1"/>
  <c r="O14" i="4" a="1"/>
  <c r="O14" i="4" s="1"/>
  <c r="P14" i="4" a="1"/>
  <c r="P14" i="4" s="1"/>
  <c r="O15" i="2" a="1"/>
  <c r="O15" i="2" s="1"/>
  <c r="P15" i="2" a="1"/>
  <c r="P15" i="2" s="1"/>
  <c r="P22" i="2" a="1"/>
  <c r="P22" i="2" s="1"/>
  <c r="O22" i="2" a="1"/>
  <c r="O22" i="2" s="1"/>
  <c r="P21" i="2" a="1"/>
  <c r="P21" i="2" s="1"/>
  <c r="O21" i="2" a="1"/>
  <c r="O21" i="2" s="1"/>
  <c r="P16" i="2" a="1"/>
  <c r="P16" i="2" s="1"/>
  <c r="O16" i="2" a="1"/>
  <c r="O16" i="2" s="1"/>
  <c r="P13" i="2" a="1"/>
  <c r="P13" i="2" s="1"/>
  <c r="O13" i="2" a="1"/>
  <c r="O13" i="2" s="1"/>
  <c r="D25" i="9"/>
  <c r="E31" i="9"/>
  <c r="E28" i="9"/>
  <c r="E33" i="9"/>
  <c r="E30" i="9"/>
  <c r="D31" i="9"/>
  <c r="D28" i="9"/>
  <c r="D33" i="9"/>
  <c r="E32" i="9"/>
  <c r="E26" i="9"/>
  <c r="D32" i="9"/>
  <c r="D26" i="9"/>
  <c r="P13" i="1" a="1"/>
  <c r="P13" i="1" s="1"/>
  <c r="M22" i="1"/>
  <c r="M15" i="1"/>
  <c r="M17" i="1"/>
  <c r="C100" i="9"/>
  <c r="B100" i="9"/>
  <c r="B34" i="18" s="1"/>
  <c r="I46" i="18" l="1"/>
  <c r="I52" i="18"/>
  <c r="I48" i="18"/>
  <c r="I45" i="18"/>
  <c r="I44" i="18"/>
  <c r="I57" i="18"/>
  <c r="I51" i="18"/>
  <c r="I56" i="18"/>
  <c r="I54" i="18"/>
  <c r="I55" i="18"/>
  <c r="I47" i="18"/>
  <c r="I49" i="18"/>
  <c r="P16" i="5" a="1"/>
  <c r="P16" i="5" s="1"/>
  <c r="O16" i="5" a="1"/>
  <c r="O16" i="5" s="1"/>
  <c r="M23" i="5"/>
  <c r="M25" i="4"/>
  <c r="B32" i="18"/>
  <c r="C35" i="9"/>
  <c r="C98" i="9" s="1"/>
  <c r="C32" i="18" s="1"/>
  <c r="M23" i="1"/>
  <c r="F44" i="18"/>
  <c r="F48" i="18"/>
  <c r="F53" i="18"/>
  <c r="F45" i="18"/>
  <c r="F54" i="18"/>
  <c r="F57" i="18"/>
  <c r="F55" i="18"/>
  <c r="F51" i="18"/>
  <c r="F47" i="18"/>
  <c r="F56" i="18"/>
  <c r="F49" i="18"/>
  <c r="F50" i="18"/>
  <c r="F46" i="18"/>
  <c r="F52" i="18"/>
  <c r="B110" i="9"/>
  <c r="C33" i="18"/>
  <c r="B111" i="9"/>
  <c r="C34" i="18"/>
  <c r="B93" i="9"/>
  <c r="B102" i="9" s="1"/>
  <c r="B36" i="18" s="1"/>
  <c r="C93" i="9"/>
  <c r="C102" i="9" s="1"/>
  <c r="B18" i="9"/>
  <c r="C18" i="9" s="1"/>
  <c r="D68" i="9"/>
  <c r="B17" i="9"/>
  <c r="C17" i="9" s="1"/>
  <c r="C78" i="9"/>
  <c r="C101" i="9" s="1"/>
  <c r="E63" i="9"/>
  <c r="E100" i="9" s="1"/>
  <c r="E34" i="18" s="1"/>
  <c r="D63" i="9"/>
  <c r="D100" i="9" s="1"/>
  <c r="D34" i="18" s="1"/>
  <c r="O17" i="2" a="1"/>
  <c r="O17" i="2" s="1"/>
  <c r="P17" i="2" a="1"/>
  <c r="P17" i="2" s="1"/>
  <c r="D46" i="9"/>
  <c r="D44" i="9"/>
  <c r="D40" i="9"/>
  <c r="D45" i="9"/>
  <c r="D49" i="9"/>
  <c r="D99" i="9" s="1"/>
  <c r="D33" i="18" s="1"/>
  <c r="O29" i="2" a="1"/>
  <c r="O29" i="2" s="1"/>
  <c r="E49" i="9"/>
  <c r="E99" i="9" s="1"/>
  <c r="E33" i="18" s="1"/>
  <c r="P13" i="5" a="1"/>
  <c r="P13" i="5" s="1"/>
  <c r="O13" i="5" a="1"/>
  <c r="O13" i="5" s="1"/>
  <c r="P13" i="4" a="1"/>
  <c r="P13" i="4" s="1"/>
  <c r="O13" i="4" a="1"/>
  <c r="O13" i="4" s="1"/>
  <c r="O13" i="1" a="1"/>
  <c r="O13" i="1" s="1"/>
  <c r="E25" i="9"/>
  <c r="P17" i="1" a="1"/>
  <c r="P17" i="1" s="1"/>
  <c r="D29" i="9"/>
  <c r="P15" i="1" a="1"/>
  <c r="P15" i="1" s="1"/>
  <c r="D27" i="9"/>
  <c r="P22" i="1" a="1"/>
  <c r="P22" i="1" s="1"/>
  <c r="D34" i="9"/>
  <c r="B103" i="9" l="1"/>
  <c r="B37" i="18" s="1"/>
  <c r="C103" i="9"/>
  <c r="B109" i="9"/>
  <c r="B113" i="9"/>
  <c r="C36" i="18"/>
  <c r="B112" i="9"/>
  <c r="C35" i="18"/>
  <c r="N23" i="5" a="1"/>
  <c r="N23" i="5" s="1"/>
  <c r="D93" i="9"/>
  <c r="D102" i="9" s="1"/>
  <c r="D36" i="18" s="1"/>
  <c r="N25" i="4" a="1"/>
  <c r="N25" i="4" s="1"/>
  <c r="D78" i="9"/>
  <c r="D101" i="9" s="1"/>
  <c r="D35" i="18" s="1"/>
  <c r="E45" i="9"/>
  <c r="O19" i="2" a="1"/>
  <c r="O19" i="2" s="1"/>
  <c r="P19" i="2" a="1"/>
  <c r="P19" i="2" s="1"/>
  <c r="E40" i="9"/>
  <c r="P14" i="2" a="1"/>
  <c r="P14" i="2" s="1"/>
  <c r="O14" i="2" a="1"/>
  <c r="O14" i="2" s="1"/>
  <c r="E44" i="9"/>
  <c r="P18" i="2" a="1"/>
  <c r="P18" i="2" s="1"/>
  <c r="O18" i="2" a="1"/>
  <c r="O18" i="2" s="1"/>
  <c r="E46" i="9"/>
  <c r="P20" i="2" a="1"/>
  <c r="P20" i="2" s="1"/>
  <c r="O20" i="2" a="1"/>
  <c r="O20" i="2" s="1"/>
  <c r="O17" i="1" a="1"/>
  <c r="O17" i="1" s="1"/>
  <c r="E27" i="9"/>
  <c r="E34" i="9"/>
  <c r="O22" i="1" a="1"/>
  <c r="O22" i="1" s="1"/>
  <c r="E29" i="9"/>
  <c r="O15" i="1" a="1"/>
  <c r="O15" i="1" s="1"/>
  <c r="D103" i="9" l="1"/>
  <c r="E103" i="9" s="1" a="1"/>
  <c r="E103" i="9" s="1"/>
  <c r="E37" i="18" s="1"/>
  <c r="C37" i="18"/>
  <c r="E93" i="9"/>
  <c r="E102" i="9" s="1"/>
  <c r="E36" i="18" s="1"/>
  <c r="O23" i="5" a="1"/>
  <c r="O23" i="5" s="1"/>
  <c r="E78" i="9"/>
  <c r="E101" i="9" s="1"/>
  <c r="E35" i="18" s="1"/>
  <c r="O25" i="4" a="1"/>
  <c r="O25" i="4" s="1"/>
  <c r="C112" i="9"/>
  <c r="C111" i="9"/>
  <c r="C110" i="9"/>
  <c r="B14" i="9"/>
  <c r="C113" i="9"/>
  <c r="D37" i="18" l="1"/>
  <c r="F37" i="18" s="1" a="1"/>
  <c r="F37" i="18" s="1"/>
  <c r="C14" i="9"/>
  <c r="C109" i="9" s="1"/>
  <c r="D35" i="9"/>
  <c r="D98" i="9" s="1"/>
  <c r="D32" i="18" s="1"/>
  <c r="N23" i="1" a="1"/>
  <c r="N23" i="1" s="1"/>
  <c r="B19" i="9"/>
  <c r="C19" i="9" s="1"/>
  <c r="G52" i="18" l="1"/>
  <c r="M52" i="18" s="1"/>
  <c r="G16" i="18"/>
  <c r="G24" i="18"/>
  <c r="G14" i="18"/>
  <c r="G13" i="18"/>
  <c r="G17" i="18"/>
  <c r="G18" i="18"/>
  <c r="G25" i="18"/>
  <c r="G19" i="18"/>
  <c r="G20" i="18"/>
  <c r="G22" i="18"/>
  <c r="G23" i="18"/>
  <c r="G15" i="18"/>
  <c r="G21" i="18"/>
  <c r="G26" i="18"/>
  <c r="G54" i="18"/>
  <c r="K54" i="18" s="1"/>
  <c r="G49" i="18"/>
  <c r="L49" i="18" s="1"/>
  <c r="G44" i="18"/>
  <c r="L44" i="18" s="1"/>
  <c r="AD44" i="18" s="1" a="1"/>
  <c r="G51" i="18"/>
  <c r="J51" i="18" s="1"/>
  <c r="G56" i="18"/>
  <c r="L56" i="18" s="1"/>
  <c r="G53" i="18"/>
  <c r="L53" i="18" s="1"/>
  <c r="G45" i="18"/>
  <c r="H45" i="18" s="1"/>
  <c r="G48" i="18"/>
  <c r="J48" i="18" s="1"/>
  <c r="G47" i="18"/>
  <c r="J47" i="18" s="1"/>
  <c r="G55" i="18"/>
  <c r="K55" i="18" s="1"/>
  <c r="G57" i="18"/>
  <c r="H57" i="18" s="1"/>
  <c r="G50" i="18"/>
  <c r="K50" i="18" s="1"/>
  <c r="G46" i="18"/>
  <c r="O23" i="1" a="1"/>
  <c r="O23" i="1" s="1"/>
  <c r="E35" i="9"/>
  <c r="E98" i="9" s="1"/>
  <c r="E32" i="18" s="1"/>
  <c r="AD56" i="18" l="1"/>
  <c r="AL56" i="18" a="1"/>
  <c r="AL56" i="18" s="1"/>
  <c r="AD53" i="18" a="1"/>
  <c r="AI53" i="18" s="1"/>
  <c r="AL53" i="18" a="1"/>
  <c r="AD49" i="18" a="1"/>
  <c r="AK49" i="18" s="1"/>
  <c r="AL49" i="18" a="1"/>
  <c r="AJ44" i="18"/>
  <c r="AK44" i="18"/>
  <c r="AD44" i="18"/>
  <c r="AE44" i="18"/>
  <c r="AF44" i="18"/>
  <c r="AG44" i="18"/>
  <c r="AH44" i="18"/>
  <c r="AI44" i="18"/>
  <c r="N51" i="18" a="1"/>
  <c r="Q51" i="18" s="1"/>
  <c r="V51" i="18" a="1"/>
  <c r="N48" i="18" a="1"/>
  <c r="N48" i="18" s="1"/>
  <c r="V48" i="18"/>
  <c r="N47" i="18" a="1"/>
  <c r="N47" i="18" s="1"/>
  <c r="V47" i="18" a="1"/>
  <c r="J44" i="18"/>
  <c r="H52" i="18"/>
  <c r="J52" i="18"/>
  <c r="L52" i="18"/>
  <c r="K52" i="18"/>
  <c r="M54" i="18"/>
  <c r="L54" i="18"/>
  <c r="H54" i="18"/>
  <c r="H49" i="18"/>
  <c r="M49" i="18"/>
  <c r="J49" i="18"/>
  <c r="J26" i="18"/>
  <c r="N26" i="18" s="1"/>
  <c r="H26" i="18"/>
  <c r="K26" i="18"/>
  <c r="V26" i="18" s="1"/>
  <c r="M26" i="18"/>
  <c r="AL26" i="18" s="1"/>
  <c r="L26" i="18"/>
  <c r="AD26" i="18" s="1"/>
  <c r="H18" i="18"/>
  <c r="J18" i="18"/>
  <c r="N18" i="18" s="1" a="1"/>
  <c r="K18" i="18"/>
  <c r="V18" i="18" s="1" a="1"/>
  <c r="L18" i="18"/>
  <c r="AD18" i="18" s="1" a="1"/>
  <c r="M18" i="18"/>
  <c r="AL18" i="18" s="1" a="1"/>
  <c r="K21" i="18"/>
  <c r="V21" i="18" s="1" a="1"/>
  <c r="V21" i="18" s="1"/>
  <c r="L21" i="18"/>
  <c r="AD21" i="18" s="1" a="1"/>
  <c r="AD21" i="18" s="1"/>
  <c r="M21" i="18"/>
  <c r="AL21" i="18" s="1" a="1"/>
  <c r="AL21" i="18" s="1"/>
  <c r="H21" i="18"/>
  <c r="J21" i="18"/>
  <c r="N21" i="18" s="1" a="1"/>
  <c r="N21" i="18" s="1"/>
  <c r="K17" i="18"/>
  <c r="V17" i="18" s="1"/>
  <c r="L17" i="18"/>
  <c r="AD17" i="18" s="1"/>
  <c r="M17" i="18"/>
  <c r="AL17" i="18" s="1"/>
  <c r="H17" i="18"/>
  <c r="J17" i="18"/>
  <c r="N17" i="18" s="1"/>
  <c r="L25" i="18"/>
  <c r="AD25" i="18" s="1"/>
  <c r="M25" i="18"/>
  <c r="AL25" i="18" s="1"/>
  <c r="H25" i="18"/>
  <c r="J25" i="18"/>
  <c r="N25" i="18" s="1"/>
  <c r="K25" i="18"/>
  <c r="V25" i="18" s="1" a="1"/>
  <c r="V25" i="18" s="1"/>
  <c r="K49" i="18"/>
  <c r="J54" i="18"/>
  <c r="J15" i="18"/>
  <c r="N15" i="18" s="1"/>
  <c r="K15" i="18"/>
  <c r="V15" i="18" s="1"/>
  <c r="L15" i="18"/>
  <c r="AD15" i="18" s="1"/>
  <c r="M15" i="18"/>
  <c r="AL15" i="18" s="1"/>
  <c r="H15" i="18"/>
  <c r="K13" i="18"/>
  <c r="V13" i="18" s="1" a="1"/>
  <c r="L13" i="18"/>
  <c r="AD13" i="18" s="1" a="1"/>
  <c r="M13" i="18"/>
  <c r="AL13" i="18" s="1" a="1"/>
  <c r="H13" i="18"/>
  <c r="J13" i="18"/>
  <c r="N13" i="18" s="1" a="1"/>
  <c r="J23" i="18"/>
  <c r="N23" i="18" s="1" a="1"/>
  <c r="N23" i="18" s="1"/>
  <c r="K23" i="18"/>
  <c r="V23" i="18" s="1" a="1"/>
  <c r="V23" i="18" s="1"/>
  <c r="M23" i="18"/>
  <c r="AL23" i="18" s="1"/>
  <c r="H23" i="18"/>
  <c r="L23" i="18"/>
  <c r="AD23" i="18" s="1"/>
  <c r="L14" i="18"/>
  <c r="AD14" i="18" s="1"/>
  <c r="M14" i="18"/>
  <c r="AL14" i="18" s="1"/>
  <c r="H14" i="18"/>
  <c r="J14" i="18"/>
  <c r="N14" i="18" s="1"/>
  <c r="K14" i="18"/>
  <c r="V14" i="18" s="1" a="1"/>
  <c r="V14" i="18" s="1"/>
  <c r="H22" i="18"/>
  <c r="J22" i="18"/>
  <c r="N22" i="18" s="1" a="1"/>
  <c r="K22" i="18"/>
  <c r="V22" i="18" s="1" a="1"/>
  <c r="L22" i="18"/>
  <c r="AD22" i="18" s="1" a="1"/>
  <c r="M22" i="18"/>
  <c r="AL22" i="18" s="1" a="1"/>
  <c r="H24" i="18"/>
  <c r="J24" i="18"/>
  <c r="N24" i="18" s="1" a="1"/>
  <c r="N24" i="18" s="1"/>
  <c r="K24" i="18"/>
  <c r="V24" i="18" s="1" a="1"/>
  <c r="V24" i="18" s="1"/>
  <c r="L24" i="18"/>
  <c r="AD24" i="18" s="1"/>
  <c r="M24" i="18"/>
  <c r="AL24" i="18" s="1"/>
  <c r="J20" i="18"/>
  <c r="N20" i="18" s="1" a="1"/>
  <c r="K20" i="18"/>
  <c r="V20" i="18" s="1" a="1"/>
  <c r="L20" i="18"/>
  <c r="AD20" i="18" s="1" a="1"/>
  <c r="M20" i="18"/>
  <c r="AL20" i="18" s="1" a="1"/>
  <c r="H20" i="18"/>
  <c r="H16" i="18"/>
  <c r="J16" i="18"/>
  <c r="N16" i="18" s="1"/>
  <c r="K16" i="18"/>
  <c r="V16" i="18" s="1"/>
  <c r="M16" i="18"/>
  <c r="AL16" i="18" s="1"/>
  <c r="L16" i="18"/>
  <c r="AD16" i="18" s="1"/>
  <c r="J19" i="18"/>
  <c r="N19" i="18" s="1" a="1"/>
  <c r="K19" i="18"/>
  <c r="V19" i="18" s="1" a="1"/>
  <c r="L19" i="18"/>
  <c r="AD19" i="18" s="1" a="1"/>
  <c r="M19" i="18"/>
  <c r="AL19" i="18" s="1" a="1"/>
  <c r="H19" i="18"/>
  <c r="M55" i="18"/>
  <c r="K44" i="18"/>
  <c r="V44" i="18" s="1" a="1"/>
  <c r="J56" i="18"/>
  <c r="L55" i="18"/>
  <c r="H55" i="18"/>
  <c r="J57" i="18"/>
  <c r="M44" i="18"/>
  <c r="AL44" i="18" s="1" a="1"/>
  <c r="K45" i="18"/>
  <c r="L47" i="18"/>
  <c r="K57" i="18"/>
  <c r="K47" i="18"/>
  <c r="L45" i="18"/>
  <c r="L51" i="18"/>
  <c r="M45" i="18"/>
  <c r="K56" i="18"/>
  <c r="J55" i="18"/>
  <c r="K51" i="18"/>
  <c r="M47" i="18"/>
  <c r="M51" i="18"/>
  <c r="H47" i="18"/>
  <c r="H44" i="18"/>
  <c r="H51" i="18"/>
  <c r="J50" i="18"/>
  <c r="H50" i="18"/>
  <c r="H48" i="18"/>
  <c r="L50" i="18"/>
  <c r="L57" i="18"/>
  <c r="M48" i="18"/>
  <c r="M50" i="18"/>
  <c r="J53" i="18"/>
  <c r="L48" i="18"/>
  <c r="M56" i="18"/>
  <c r="H53" i="18"/>
  <c r="J45" i="18"/>
  <c r="M53" i="18"/>
  <c r="K48" i="18"/>
  <c r="K53" i="18"/>
  <c r="H56" i="18"/>
  <c r="M57" i="18"/>
  <c r="M46" i="18"/>
  <c r="H46" i="18"/>
  <c r="J46" i="18"/>
  <c r="K46" i="18"/>
  <c r="L46" i="18"/>
  <c r="AD55" i="18" l="1"/>
  <c r="AL55" i="18" a="1"/>
  <c r="AL55" i="18" s="1"/>
  <c r="AD57" i="18"/>
  <c r="AL57" i="18" a="1"/>
  <c r="AL57" i="18" s="1"/>
  <c r="AH53" i="18"/>
  <c r="AG53" i="18"/>
  <c r="AD54" i="18"/>
  <c r="AL54" i="18" a="1"/>
  <c r="AL54" i="18" s="1"/>
  <c r="AF53" i="18"/>
  <c r="AE53" i="18"/>
  <c r="AD53" i="18"/>
  <c r="AK53" i="18"/>
  <c r="AJ53" i="18"/>
  <c r="AS53" i="18"/>
  <c r="AL53" i="18"/>
  <c r="AM53" i="18"/>
  <c r="AN53" i="18"/>
  <c r="AO53" i="18"/>
  <c r="AP53" i="18"/>
  <c r="AQ53" i="18"/>
  <c r="AR53" i="18"/>
  <c r="AD52" i="18" a="1"/>
  <c r="AJ52" i="18" s="1"/>
  <c r="AL52" i="18" a="1"/>
  <c r="AD51" i="18" a="1"/>
  <c r="AJ51" i="18" s="1"/>
  <c r="AL51" i="18" a="1"/>
  <c r="AI49" i="18"/>
  <c r="AD50" i="18" a="1"/>
  <c r="AJ50" i="18" s="1"/>
  <c r="AL50" i="18" a="1"/>
  <c r="AH49" i="18"/>
  <c r="AG49" i="18"/>
  <c r="AJ49" i="18"/>
  <c r="AF49" i="18"/>
  <c r="AE49" i="18"/>
  <c r="AD49" i="18"/>
  <c r="AS49" i="18"/>
  <c r="AL49" i="18"/>
  <c r="AM49" i="18"/>
  <c r="AN49" i="18"/>
  <c r="AO49" i="18"/>
  <c r="AP49" i="18"/>
  <c r="AQ49" i="18"/>
  <c r="AR49" i="18"/>
  <c r="AD48" i="18" a="1"/>
  <c r="AD48" i="18" s="1"/>
  <c r="AL48" i="18" a="1"/>
  <c r="AL48" i="18" s="1"/>
  <c r="AD47" i="18" a="1"/>
  <c r="AF47" i="18" s="1"/>
  <c r="AL47" i="18" a="1"/>
  <c r="AD46" i="18" a="1"/>
  <c r="AJ46" i="18" s="1"/>
  <c r="AL46" i="18" a="1"/>
  <c r="AD45" i="18" a="1"/>
  <c r="AK45" i="18" s="1"/>
  <c r="AL45" i="18" a="1"/>
  <c r="AO44" i="18"/>
  <c r="AP44" i="18"/>
  <c r="AQ44" i="18"/>
  <c r="AR44" i="18"/>
  <c r="AS44" i="18"/>
  <c r="AL44" i="18"/>
  <c r="AM44" i="18"/>
  <c r="AN44" i="18"/>
  <c r="N57" i="18" a="1"/>
  <c r="N57" i="18" s="1"/>
  <c r="V57" i="18" a="1"/>
  <c r="V57" i="18" s="1"/>
  <c r="N56" i="18" a="1"/>
  <c r="N56" i="18" s="1"/>
  <c r="V56" i="18" a="1"/>
  <c r="V56" i="18" s="1"/>
  <c r="N55" i="18" a="1"/>
  <c r="N55" i="18" s="1"/>
  <c r="V55" i="18" a="1"/>
  <c r="V55" i="18" s="1"/>
  <c r="T51" i="18"/>
  <c r="N54" i="18" a="1"/>
  <c r="N54" i="18" s="1"/>
  <c r="V54" i="18" a="1"/>
  <c r="V54" i="18" s="1"/>
  <c r="U51" i="18"/>
  <c r="P51" i="18"/>
  <c r="N53" i="18" a="1"/>
  <c r="T53" i="18" s="1"/>
  <c r="V53" i="18" a="1"/>
  <c r="O51" i="18"/>
  <c r="N52" i="18" a="1"/>
  <c r="P52" i="18" s="1"/>
  <c r="V52" i="18" a="1"/>
  <c r="N51" i="18"/>
  <c r="S51" i="18"/>
  <c r="R51" i="18"/>
  <c r="AC51" i="18"/>
  <c r="V51" i="18"/>
  <c r="W51" i="18"/>
  <c r="X51" i="18"/>
  <c r="Y51" i="18"/>
  <c r="Z51" i="18"/>
  <c r="AA51" i="18"/>
  <c r="AB51" i="18"/>
  <c r="N50" i="18" a="1"/>
  <c r="U50" i="18" s="1"/>
  <c r="V50" i="18" a="1"/>
  <c r="N49" i="18" a="1"/>
  <c r="N49" i="18" s="1"/>
  <c r="V49" i="18" a="1"/>
  <c r="U47" i="18"/>
  <c r="T47" i="18"/>
  <c r="S47" i="18"/>
  <c r="R47" i="18"/>
  <c r="Q47" i="18"/>
  <c r="P47" i="18"/>
  <c r="O47" i="18"/>
  <c r="AC47" i="18"/>
  <c r="V47" i="18"/>
  <c r="W47" i="18"/>
  <c r="X47" i="18"/>
  <c r="Y47" i="18"/>
  <c r="Z47" i="18"/>
  <c r="AA47" i="18"/>
  <c r="AB47" i="18"/>
  <c r="N46" i="18" a="1"/>
  <c r="N46" i="18" s="1"/>
  <c r="V46" i="18" a="1"/>
  <c r="N45" i="18" a="1"/>
  <c r="U45" i="18" s="1"/>
  <c r="V45" i="18" a="1"/>
  <c r="W44" i="18"/>
  <c r="Y44" i="18"/>
  <c r="X44" i="18"/>
  <c r="Z44" i="18"/>
  <c r="AA44" i="18"/>
  <c r="AC44" i="18"/>
  <c r="AB44" i="18"/>
  <c r="V44" i="18"/>
  <c r="N44" i="18" a="1"/>
  <c r="U44" i="18" s="1"/>
  <c r="AS22" i="18"/>
  <c r="AL22" i="18"/>
  <c r="AM22" i="18"/>
  <c r="AN22" i="18"/>
  <c r="AO22" i="18"/>
  <c r="AP22" i="18"/>
  <c r="AQ22" i="18"/>
  <c r="AR22" i="18"/>
  <c r="AL20" i="18"/>
  <c r="AM20" i="18"/>
  <c r="AN20" i="18"/>
  <c r="AO20" i="18"/>
  <c r="AP20" i="18"/>
  <c r="AQ20" i="18"/>
  <c r="AR20" i="18"/>
  <c r="AS20" i="18"/>
  <c r="AL19" i="18"/>
  <c r="AM19" i="18"/>
  <c r="AN19" i="18"/>
  <c r="AP19" i="18"/>
  <c r="AQ19" i="18"/>
  <c r="AR19" i="18"/>
  <c r="AO19" i="18"/>
  <c r="AS19" i="18"/>
  <c r="AS18" i="18"/>
  <c r="AP18" i="18"/>
  <c r="AQ18" i="18"/>
  <c r="AL18" i="18"/>
  <c r="AM18" i="18"/>
  <c r="AN18" i="18"/>
  <c r="AO18" i="18"/>
  <c r="AR18" i="18"/>
  <c r="AL13" i="18"/>
  <c r="AM13" i="18"/>
  <c r="AP13" i="18"/>
  <c r="AN13" i="18"/>
  <c r="AO13" i="18"/>
  <c r="AQ13" i="18"/>
  <c r="AR13" i="18"/>
  <c r="AS13" i="18"/>
  <c r="AD22" i="18"/>
  <c r="AE22" i="18"/>
  <c r="AH22" i="18"/>
  <c r="AI22" i="18"/>
  <c r="AF22" i="18"/>
  <c r="AG22" i="18"/>
  <c r="AJ22" i="18"/>
  <c r="AK22" i="18"/>
  <c r="AK20" i="18"/>
  <c r="AD20" i="18"/>
  <c r="AE20" i="18"/>
  <c r="AF20" i="18"/>
  <c r="AG20" i="18"/>
  <c r="AH20" i="18"/>
  <c r="AI20" i="18"/>
  <c r="AJ20" i="18"/>
  <c r="AD19" i="18"/>
  <c r="AE19" i="18"/>
  <c r="AF19" i="18"/>
  <c r="AG19" i="18"/>
  <c r="AH19" i="18"/>
  <c r="AI19" i="18"/>
  <c r="AJ19" i="18"/>
  <c r="AK19" i="18"/>
  <c r="AD18" i="18"/>
  <c r="AE18" i="18"/>
  <c r="AF18" i="18"/>
  <c r="AG18" i="18"/>
  <c r="AH18" i="18"/>
  <c r="AI18" i="18"/>
  <c r="AJ18" i="18"/>
  <c r="AK18" i="18"/>
  <c r="AK13" i="18"/>
  <c r="AI13" i="18"/>
  <c r="AJ13" i="18"/>
  <c r="AD13" i="18"/>
  <c r="AE13" i="18"/>
  <c r="AF13" i="18"/>
  <c r="AG13" i="18"/>
  <c r="AH13" i="18"/>
  <c r="AC22" i="18"/>
  <c r="Z22" i="18"/>
  <c r="AA22" i="18"/>
  <c r="AB22" i="18"/>
  <c r="V22" i="18"/>
  <c r="W22" i="18"/>
  <c r="X22" i="18"/>
  <c r="Y22" i="18"/>
  <c r="AC20" i="18"/>
  <c r="V20" i="18"/>
  <c r="W20" i="18"/>
  <c r="X20" i="18"/>
  <c r="Y20" i="18"/>
  <c r="Z20" i="18"/>
  <c r="AA20" i="18"/>
  <c r="AB20" i="18"/>
  <c r="AC19" i="18"/>
  <c r="V19" i="18"/>
  <c r="W19" i="18"/>
  <c r="X19" i="18"/>
  <c r="Y19" i="18"/>
  <c r="Z19" i="18"/>
  <c r="AA19" i="18"/>
  <c r="AB19" i="18"/>
  <c r="AC18" i="18"/>
  <c r="AB18" i="18"/>
  <c r="V18" i="18"/>
  <c r="Z18" i="18"/>
  <c r="W18" i="18"/>
  <c r="AA18" i="18"/>
  <c r="X18" i="18"/>
  <c r="Y18" i="18"/>
  <c r="X13" i="18"/>
  <c r="Y13" i="18"/>
  <c r="Z13" i="18"/>
  <c r="AA13" i="18"/>
  <c r="AB13" i="18"/>
  <c r="AC13" i="18"/>
  <c r="V13" i="18"/>
  <c r="W13" i="18"/>
  <c r="U22" i="18"/>
  <c r="N22" i="18"/>
  <c r="P22" i="18"/>
  <c r="O22" i="18"/>
  <c r="Q22" i="18"/>
  <c r="R22" i="18"/>
  <c r="S22" i="18"/>
  <c r="T22" i="18"/>
  <c r="U20" i="18"/>
  <c r="N20" i="18"/>
  <c r="O20" i="18"/>
  <c r="P20" i="18"/>
  <c r="Q20" i="18"/>
  <c r="R20" i="18"/>
  <c r="S20" i="18"/>
  <c r="T20" i="18"/>
  <c r="U18" i="18"/>
  <c r="N18" i="18"/>
  <c r="O18" i="18"/>
  <c r="P18" i="18"/>
  <c r="Q18" i="18"/>
  <c r="R18" i="18"/>
  <c r="S18" i="18"/>
  <c r="T18" i="18"/>
  <c r="U19" i="18"/>
  <c r="N19" i="18"/>
  <c r="O19" i="18"/>
  <c r="P19" i="18"/>
  <c r="Q19" i="18"/>
  <c r="R19" i="18"/>
  <c r="S19" i="18"/>
  <c r="T19" i="18"/>
  <c r="U13" i="18"/>
  <c r="N13" i="18"/>
  <c r="O13" i="18"/>
  <c r="P13" i="18"/>
  <c r="Q13" i="18"/>
  <c r="R13" i="18"/>
  <c r="S13" i="18"/>
  <c r="T13" i="18"/>
  <c r="N3" i="18"/>
  <c r="AK50" i="18" l="1"/>
  <c r="AH50" i="18"/>
  <c r="AI50" i="18"/>
  <c r="AG50" i="18"/>
  <c r="AE50" i="18"/>
  <c r="AF50" i="18"/>
  <c r="AI52" i="18"/>
  <c r="AH52" i="18"/>
  <c r="AI51" i="18"/>
  <c r="AD51" i="18"/>
  <c r="AG52" i="18"/>
  <c r="AE52" i="18"/>
  <c r="AH51" i="18"/>
  <c r="AF52" i="18"/>
  <c r="AG51" i="18"/>
  <c r="AF51" i="18"/>
  <c r="AD52" i="18"/>
  <c r="AE51" i="18"/>
  <c r="AK52" i="18"/>
  <c r="AD50" i="18"/>
  <c r="AS52" i="18"/>
  <c r="AL52" i="18"/>
  <c r="AM52" i="18"/>
  <c r="AN52" i="18"/>
  <c r="AO52" i="18"/>
  <c r="AP52" i="18"/>
  <c r="AQ52" i="18"/>
  <c r="AR52" i="18"/>
  <c r="AK51" i="18"/>
  <c r="AS51" i="18"/>
  <c r="AL51" i="18"/>
  <c r="AM51" i="18"/>
  <c r="AN51" i="18"/>
  <c r="AO51" i="18"/>
  <c r="AP51" i="18"/>
  <c r="AQ51" i="18"/>
  <c r="AR51" i="18"/>
  <c r="AM50" i="18"/>
  <c r="AN50" i="18"/>
  <c r="AO50" i="18"/>
  <c r="AP50" i="18"/>
  <c r="AQ50" i="18"/>
  <c r="AR50" i="18"/>
  <c r="AS50" i="18"/>
  <c r="AL50" i="18"/>
  <c r="AI46" i="18"/>
  <c r="AG46" i="18"/>
  <c r="AE47" i="18"/>
  <c r="AD47" i="18"/>
  <c r="AH46" i="18"/>
  <c r="AK47" i="18"/>
  <c r="AJ47" i="18"/>
  <c r="AI47" i="18"/>
  <c r="AH47" i="18"/>
  <c r="AG47" i="18"/>
  <c r="AS47" i="18"/>
  <c r="AL47" i="18"/>
  <c r="AM47" i="18"/>
  <c r="AN47" i="18"/>
  <c r="AO47" i="18"/>
  <c r="AP47" i="18"/>
  <c r="AQ47" i="18"/>
  <c r="AR47" i="18"/>
  <c r="AF46" i="18"/>
  <c r="AJ45" i="18"/>
  <c r="AD46" i="18"/>
  <c r="AI45" i="18"/>
  <c r="AK46" i="18"/>
  <c r="AE46" i="18"/>
  <c r="AL46" i="18"/>
  <c r="AM46" i="18"/>
  <c r="AN46" i="18"/>
  <c r="AS46" i="18"/>
  <c r="AO46" i="18"/>
  <c r="AP46" i="18"/>
  <c r="AQ46" i="18"/>
  <c r="AR46" i="18"/>
  <c r="AH45" i="18"/>
  <c r="AG45" i="18"/>
  <c r="AF45" i="18"/>
  <c r="AE45" i="18"/>
  <c r="AD45" i="18"/>
  <c r="AS45" i="18"/>
  <c r="AL45" i="18"/>
  <c r="AM45" i="18"/>
  <c r="AN45" i="18"/>
  <c r="AO45" i="18"/>
  <c r="AP45" i="18"/>
  <c r="AQ45" i="18"/>
  <c r="AR45" i="18"/>
  <c r="S53" i="18"/>
  <c r="Q53" i="18"/>
  <c r="R53" i="18"/>
  <c r="P53" i="18"/>
  <c r="O53" i="18"/>
  <c r="N53" i="18"/>
  <c r="R49" i="18"/>
  <c r="S50" i="18"/>
  <c r="V53" i="18"/>
  <c r="W53" i="18"/>
  <c r="Y53" i="18"/>
  <c r="X53" i="18"/>
  <c r="Z53" i="18"/>
  <c r="AA53" i="18"/>
  <c r="AC53" i="18"/>
  <c r="AB53" i="18"/>
  <c r="Q52" i="18"/>
  <c r="O52" i="18"/>
  <c r="U53" i="18"/>
  <c r="R52" i="18"/>
  <c r="R50" i="18"/>
  <c r="N52" i="18"/>
  <c r="Q50" i="18"/>
  <c r="U52" i="18"/>
  <c r="T52" i="18"/>
  <c r="S52" i="18"/>
  <c r="AC52" i="18"/>
  <c r="V52" i="18"/>
  <c r="W52" i="18"/>
  <c r="X52" i="18"/>
  <c r="Y52" i="18"/>
  <c r="Z52" i="18"/>
  <c r="AA52" i="18"/>
  <c r="AB52" i="18"/>
  <c r="T50" i="18"/>
  <c r="P50" i="18"/>
  <c r="T49" i="18"/>
  <c r="O50" i="18"/>
  <c r="S49" i="18"/>
  <c r="N50" i="18"/>
  <c r="U49" i="18"/>
  <c r="AC50" i="18"/>
  <c r="V50" i="18"/>
  <c r="W50" i="18"/>
  <c r="X50" i="18"/>
  <c r="Y50" i="18"/>
  <c r="Z50" i="18"/>
  <c r="AA50" i="18"/>
  <c r="AB50" i="18"/>
  <c r="Q49" i="18"/>
  <c r="O49" i="18"/>
  <c r="P49" i="18"/>
  <c r="AC49" i="18"/>
  <c r="V49" i="18"/>
  <c r="W49" i="18"/>
  <c r="X49" i="18"/>
  <c r="Z49" i="18"/>
  <c r="Y49" i="18"/>
  <c r="AA49" i="18"/>
  <c r="AB49" i="18"/>
  <c r="S46" i="18"/>
  <c r="U46" i="18"/>
  <c r="T46" i="18"/>
  <c r="Q46" i="18"/>
  <c r="P46" i="18"/>
  <c r="R46" i="18"/>
  <c r="O46" i="18"/>
  <c r="AC46" i="18"/>
  <c r="V46" i="18"/>
  <c r="W46" i="18"/>
  <c r="X46" i="18"/>
  <c r="Z46" i="18"/>
  <c r="Y46" i="18"/>
  <c r="AA46" i="18"/>
  <c r="AB46" i="18"/>
  <c r="O45" i="18"/>
  <c r="P45" i="18"/>
  <c r="N45" i="18"/>
  <c r="R45" i="18"/>
  <c r="Q45" i="18"/>
  <c r="T45" i="18"/>
  <c r="S45" i="18"/>
  <c r="AC45" i="18"/>
  <c r="V45" i="18"/>
  <c r="W45" i="18"/>
  <c r="X45" i="18"/>
  <c r="Y45" i="18"/>
  <c r="Z45" i="18"/>
  <c r="AA45" i="18"/>
  <c r="AB45" i="18"/>
  <c r="R44" i="18"/>
  <c r="T44" i="18"/>
  <c r="S44" i="18"/>
  <c r="P44" i="18"/>
  <c r="O44" i="18"/>
  <c r="Q44" i="18"/>
  <c r="N44" i="18"/>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<sst xmlns="http://schemas.openxmlformats.org/spreadsheetml/2006/main" count="11762" uniqueCount="7255">
  <si>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</si>
  <si>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</si>
  <si>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</si>
  <si>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</si>
  <si>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</si>
  <si>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</si>
  <si>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</si>
  <si>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</si>
  <si>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</si>
  <si>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</si>
  <si>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</si>
  <si>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</si>
  <si>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</si>
  <si>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</si>
  <si>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</si>
  <si>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</si>
  <si>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</si>
  <si>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</si>
  <si>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</si>
  <si>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</si>
  <si>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</si>
  <si>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</si>
  <si>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</si>
  <si>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</si>
  <si>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</si>
  <si>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</si>
  <si>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</si>
  <si>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</si>
  <si>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</si>
  <si>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</si>
  <si>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</si>
  <si>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</si>
  <si>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</si>
  <si>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</si>
  <si>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</si>
  <si>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</si>
  <si>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</si>
  <si>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</si>
  <si>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</si>
  <si>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</si>
  <si>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</si>
  <si>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</si>
  <si>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</si>
  <si>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</si>
  <si>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</si>
  <si>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</si>
  <si>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</si>
  <si>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</si>
  <si>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</si>
  <si>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</si>
  <si>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</si>
  <si>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</si>
  <si>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</si>
  <si>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</si>
  <si>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</si>
  <si>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</si>
  <si>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</si>
  <si>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</si>
  <si>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</si>
  <si>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</si>
  <si>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</si>
  <si>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</si>
  <si>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</si>
  <si>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</si>
  <si>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</si>
  <si>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</si>
  <si>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</si>
  <si>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</si>
  <si>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</si>
  <si>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</si>
  <si>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</si>
  <si>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</si>
  <si>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</si>
  <si>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</si>
  <si>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</si>
  <si>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</si>
  <si>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</si>
  <si>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</si>
  <si>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</si>
  <si>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</si>
  <si>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</si>
  <si>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</si>
  <si>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</si>
  <si>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</si>
  <si>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</si>
  <si>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</si>
  <si>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</si>
  <si>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</si>
  <si>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</si>
  <si>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</si>
  <si>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</si>
  <si>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</si>
  <si>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</si>
  <si>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</si>
  <si>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</si>
  <si>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</si>
  <si>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</si>
  <si>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</si>
  <si>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</si>
  <si>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</si>
  <si>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</si>
  <si>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</si>
  <si>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</si>
  <si>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</si>
  <si>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</si>
  <si>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</si>
  <si>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</si>
  <si>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</si>
  <si>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</si>
  <si>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</si>
  <si>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</si>
  <si>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</si>
  <si>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</si>
  <si>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</si>
  <si>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</si>
  <si>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</si>
  <si>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</si>
  <si>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</si>
  <si>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</si>
  <si>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</si>
  <si>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</si>
  <si>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</si>
  <si>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</si>
  <si>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</si>
  <si>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</si>
  <si>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</si>
  <si>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</si>
  <si>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</si>
  <si>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</si>
  <si>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</si>
  <si>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</si>
  <si>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</si>
  <si>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</si>
  <si>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</si>
  <si>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</si>
  <si>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</si>
  <si>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</si>
  <si>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</si>
  <si>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</si>
  <si>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</si>
  <si>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</si>
  <si>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</si>
  <si>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</si>
  <si>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</si>
  <si>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</si>
  <si>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</si>
  <si>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</si>
  <si>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</si>
  <si>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</si>
  <si>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</si>
  <si>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</si>
  <si>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</si>
  <si>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</si>
  <si>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</si>
  <si>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</si>
  <si>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</si>
  <si>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</si>
  <si>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</si>
  <si>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</si>
  <si>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</si>
  <si>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</si>
  <si>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</si>
  <si>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</si>
  <si>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</si>
  <si>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</si>
  <si>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</si>
  <si>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</si>
  <si>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</si>
  <si>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</si>
  <si>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</si>
  <si>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</si>
  <si>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</si>
  <si>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</si>
  <si>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</si>
  <si>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</si>
  <si>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</si>
  <si>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</si>
  <si>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</si>
  <si>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</si>
  <si>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</si>
  <si>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</si>
  <si>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</si>
  <si>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</si>
  <si>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</si>
  <si>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</si>
  <si>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</si>
  <si>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</si>
  <si>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</si>
  <si>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</si>
  <si>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</si>
  <si>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</si>
  <si>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</si>
  <si>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</si>
  <si>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</si>
  <si>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</si>
  <si>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</si>
  <si>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</si>
  <si>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</si>
  <si>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</si>
  <si>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</si>
  <si>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</si>
  <si>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</si>
  <si>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</si>
  <si>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</si>
  <si>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</si>
  <si>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</si>
  <si>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</si>
  <si>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</si>
  <si>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</si>
  <si>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</si>
  <si>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</si>
  <si>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</si>
  <si>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</si>
  <si>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</si>
  <si>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</si>
  <si>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</si>
  <si>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</si>
  <si>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</si>
  <si>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</si>
  <si>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</si>
  <si>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</si>
  <si>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</si>
  <si>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</si>
  <si>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</si>
  <si>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</si>
  <si>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</si>
  <si>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</si>
  <si>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</si>
  <si>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</si>
  <si>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</si>
  <si>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</si>
  <si>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</si>
  <si>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</si>
  <si>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</si>
  <si>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</si>
  <si>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</si>
  <si>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</si>
  <si>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</si>
  <si>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</si>
  <si>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</si>
  <si>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</si>
  <si>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</si>
  <si>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</si>
  <si>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</si>
  <si>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</si>
  <si>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</si>
  <si>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</si>
  <si>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</si>
  <si>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</si>
  <si>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</si>
  <si>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</si>
  <si>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</si>
  <si>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</si>
  <si>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</si>
  <si>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</si>
  <si>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</si>
  <si>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</si>
  <si>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</si>
  <si>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</si>
  <si>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</si>
  <si>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</si>
  <si>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</si>
  <si>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</si>
  <si>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</si>
  <si>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</si>
  <si>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</si>
  <si>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</si>
  <si>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</si>
  <si>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</si>
  <si>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</si>
  <si>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</si>
  <si>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</si>
  <si>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</si>
  <si>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</si>
  <si>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</si>
  <si>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</si>
  <si>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</si>
  <si>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</si>
  <si>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</si>
  <si>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</si>
  <si>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</si>
  <si>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</si>
  <si>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</si>
  <si>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</si>
  <si>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</si>
  <si>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</si>
  <si>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</si>
  <si>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</si>
  <si>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</si>
  <si>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</si>
  <si>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</si>
  <si>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</si>
  <si>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</si>
  <si>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</si>
  <si>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</si>
  <si>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</si>
  <si>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</si>
  <si>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</si>
  <si>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</si>
  <si>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</si>
  <si>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</si>
  <si>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</si>
  <si>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</si>
  <si>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</si>
  <si>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</si>
  <si>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</si>
  <si>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</si>
  <si>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</si>
  <si>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</si>
  <si>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</si>
  <si>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</si>
  <si>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</si>
  <si>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</si>
  <si>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</si>
  <si>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</si>
  <si>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</si>
  <si>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</si>
  <si>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</si>
  <si>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</si>
  <si>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</si>
  <si>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</si>
  <si>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</si>
  <si>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</si>
  <si>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</si>
  <si>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</si>
  <si>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</si>
  <si>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</si>
  <si>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</si>
  <si>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</si>
  <si>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</si>
  <si>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</si>
  <si>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</si>
  <si>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</si>
  <si>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</si>
  <si>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</si>
  <si>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</si>
  <si>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</si>
  <si>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</si>
  <si>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</si>
  <si>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</si>
  <si>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</si>
  <si>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</si>
  <si>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</si>
  <si>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</si>
  <si>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</si>
  <si>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</si>
  <si>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</si>
  <si>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</si>
  <si>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</si>
  <si>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</si>
  <si>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</si>
  <si>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</si>
  <si>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</si>
  <si>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</si>
  <si>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</si>
  <si>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</si>
  <si>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</si>
  <si>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</si>
  <si>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</si>
  <si>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</si>
  <si>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</si>
  <si>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</si>
  <si>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</si>
  <si>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</si>
  <si>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</si>
  <si>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</si>
  <si>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</si>
  <si>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</si>
  <si>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</si>
  <si>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</si>
  <si>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</si>
  <si>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</si>
  <si>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</si>
  <si>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</si>
  <si>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</si>
  <si>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</si>
  <si>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</si>
  <si>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</si>
  <si>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</si>
  <si>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</si>
  <si>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</si>
  <si>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</si>
  <si>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</si>
  <si>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</si>
  <si>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</si>
  <si>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</si>
  <si>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</si>
  <si>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</si>
  <si>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</si>
  <si>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</si>
  <si>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</si>
  <si>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</si>
  <si>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</si>
  <si>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</si>
  <si>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</si>
  <si>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</si>
  <si>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</si>
  <si>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</si>
  <si>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</si>
  <si>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</si>
  <si>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</si>
  <si>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</si>
  <si>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</si>
  <si>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</si>
  <si>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</si>
  <si>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</si>
  <si>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</si>
  <si>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</si>
  <si>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</si>
  <si>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</si>
  <si>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</si>
  <si>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</si>
  <si>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</si>
  <si>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</si>
  <si>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</si>
  <si>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</si>
  <si>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</si>
  <si>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</si>
  <si>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</si>
  <si>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</si>
  <si>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</si>
  <si>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</si>
  <si>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</si>
  <si>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</si>
  <si>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</si>
  <si>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</si>
  <si>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</si>
  <si>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</si>
  <si>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</si>
  <si>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</si>
  <si>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</si>
  <si>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</si>
  <si>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</si>
  <si>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</si>
  <si>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</si>
  <si>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</si>
  <si>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</si>
  <si>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</si>
  <si>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</si>
  <si>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</si>
  <si>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</si>
  <si>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</si>
  <si>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</si>
  <si>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</si>
  <si>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</si>
  <si>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</si>
  <si>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</si>
  <si>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</si>
  <si>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</si>
  <si>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</si>
  <si>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</si>
  <si>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</si>
  <si>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</si>
  <si>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</si>
  <si>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</si>
  <si>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</si>
  <si>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</si>
  <si>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</si>
  <si>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</si>
  <si>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</si>
  <si>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</si>
  <si>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</si>
  <si>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</si>
  <si>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</si>
  <si>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</si>
  <si>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</si>
  <si>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</si>
  <si>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</si>
  <si>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</si>
  <si>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</si>
  <si>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</si>
  <si>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</si>
  <si>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</si>
  <si>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</si>
  <si>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</si>
  <si>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</si>
  <si>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</si>
  <si>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</si>
  <si>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</si>
  <si>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</si>
  <si>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</si>
  <si>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</si>
  <si>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</si>
  <si>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</si>
  <si>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</si>
  <si>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</si>
  <si>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</si>
  <si>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</si>
  <si>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</si>
  <si>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</si>
  <si>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</si>
  <si>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</si>
  <si>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</si>
  <si>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</si>
  <si>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</si>
  <si>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</si>
  <si>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</si>
  <si>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</si>
  <si>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</si>
  <si>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</si>
  <si>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</si>
  <si>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</si>
  <si>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</si>
  <si>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</si>
  <si>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</si>
  <si>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</si>
  <si>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</si>
  <si>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</si>
  <si>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</si>
  <si>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</si>
  <si>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</si>
  <si>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</si>
  <si>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</si>
  <si>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</si>
  <si>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</si>
  <si>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</si>
  <si>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</si>
  <si>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</si>
  <si>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</si>
  <si>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</si>
  <si>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</si>
  <si>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</si>
  <si>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</si>
  <si>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</si>
  <si>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</si>
  <si>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</si>
  <si>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</si>
  <si>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</si>
  <si>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</si>
  <si>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</si>
  <si>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</si>
  <si>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</si>
  <si>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</si>
  <si>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</si>
  <si>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</si>
  <si>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</si>
  <si>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</si>
  <si>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</si>
  <si>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</si>
  <si>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</si>
  <si>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</si>
  <si>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</si>
  <si>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</si>
  <si>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</si>
  <si>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</si>
  <si>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</si>
  <si>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</si>
  <si>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</si>
  <si>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</si>
  <si>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</si>
  <si>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</si>
  <si>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</si>
  <si>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</si>
  <si>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</si>
  <si>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</si>
  <si>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</si>
  <si>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</si>
  <si>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</si>
  <si>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</si>
  <si>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</si>
  <si>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</si>
  <si>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</si>
  <si>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</si>
  <si>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</si>
  <si>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</si>
  <si>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</si>
  <si>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</si>
  <si>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</si>
  <si>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</si>
  <si>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</si>
  <si>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</si>
  <si>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</si>
  <si>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</si>
  <si>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</si>
  <si>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</si>
  <si>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</si>
  <si>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</si>
  <si>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</si>
  <si>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</si>
  <si>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</si>
  <si>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</si>
  <si>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</si>
  <si>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</si>
  <si>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</si>
  <si>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</si>
  <si>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</si>
  <si>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</si>
  <si>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</si>
  <si>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</si>
  <si>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</si>
  <si>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</si>
  <si>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</si>
  <si>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</si>
  <si>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</si>
  <si>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</si>
  <si>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</si>
  <si>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</si>
  <si>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</si>
  <si>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</si>
  <si>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</si>
  <si>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</si>
  <si>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</si>
  <si>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</si>
  <si>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</si>
  <si>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</si>
  <si>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</si>
  <si>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</si>
  <si>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</si>
  <si>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</si>
  <si>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</si>
  <si>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</si>
  <si>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</si>
  <si>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</si>
  <si>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</si>
  <si>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</si>
  <si>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</si>
  <si>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</si>
  <si>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</si>
  <si>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</si>
  <si>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</si>
  <si>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</si>
  <si>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</si>
  <si>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</si>
  <si>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</si>
  <si>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</si>
  <si>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</si>
  <si>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</si>
  <si>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</si>
  <si>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</si>
  <si>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</si>
  <si>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</si>
  <si>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</si>
  <si>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</si>
  <si>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</si>
  <si>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</si>
  <si>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</si>
  <si>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</si>
  <si>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</si>
  <si>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</si>
  <si>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</si>
  <si>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</si>
  <si>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</si>
  <si>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</si>
  <si>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</si>
  <si>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</si>
  <si>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</si>
  <si>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</si>
  <si>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</si>
  <si>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</si>
  <si>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</si>
  <si>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</si>
  <si>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</si>
  <si>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</si>
  <si>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</si>
  <si>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</si>
  <si>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</si>
  <si>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</si>
  <si>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</si>
  <si>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</si>
  <si>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</si>
  <si>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</si>
  <si>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</si>
  <si>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</si>
  <si>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</si>
  <si>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</si>
  <si>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</si>
  <si>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</si>
  <si>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</si>
  <si>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</si>
  <si>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</si>
  <si>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</si>
  <si>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</si>
  <si>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</si>
  <si>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</si>
  <si>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</si>
  <si>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</si>
  <si>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</si>
  <si>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</si>
  <si>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</si>
  <si>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</si>
  <si>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</si>
  <si>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</si>
  <si>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</si>
  <si>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</si>
  <si>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</si>
  <si>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</si>
  <si>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</si>
  <si>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</si>
  <si>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</si>
  <si>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</si>
  <si>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</si>
  <si>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</si>
  <si>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</si>
  <si>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</si>
  <si>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</si>
  <si>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</si>
  <si>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</si>
  <si>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</si>
  <si>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</si>
  <si>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</si>
  <si>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</si>
  <si>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</si>
  <si>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</si>
  <si>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</si>
  <si>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</si>
  <si>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</si>
  <si>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</si>
  <si>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</si>
  <si>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</si>
  <si>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</si>
  <si>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</si>
  <si>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</si>
  <si>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</si>
  <si>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</si>
  <si>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</si>
  <si>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</si>
  <si>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</si>
  <si>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</si>
  <si>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</si>
  <si>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</si>
  <si>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</si>
  <si>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</si>
  <si>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</si>
  <si>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</si>
  <si>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</si>
  <si>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</si>
  <si>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</si>
  <si>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</si>
  <si>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</si>
  <si>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</si>
  <si>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</si>
  <si>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</si>
  <si>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</si>
  <si>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</si>
  <si>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</si>
  <si>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</si>
  <si>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</si>
  <si>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</si>
  <si>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</si>
  <si>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</si>
  <si>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</si>
  <si>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</si>
  <si>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</si>
  <si>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</si>
  <si>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</si>
  <si>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</si>
  <si>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</si>
  <si>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</si>
  <si>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</si>
  <si>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</si>
  <si>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</si>
  <si>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</si>
  <si>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</si>
  <si>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</si>
  <si>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</si>
  <si>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</si>
  <si>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</si>
  <si>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</si>
  <si>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</si>
  <si>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</si>
  <si>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</si>
  <si>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</si>
  <si>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</si>
  <si>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</si>
  <si>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</si>
  <si>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</si>
  <si>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</si>
  <si>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</si>
  <si>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</si>
  <si>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</si>
  <si>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</si>
  <si>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</si>
  <si>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</si>
  <si>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</si>
  <si>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</si>
  <si>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</si>
  <si>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</si>
  <si>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</si>
  <si>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</si>
  <si>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</si>
  <si>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</si>
  <si>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</si>
  <si>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</si>
  <si>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</si>
  <si>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</si>
  <si>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</si>
  <si>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</si>
  <si>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</si>
  <si>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</si>
  <si>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</si>
  <si>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</si>
  <si>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</si>
  <si>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</si>
  <si>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</si>
  <si>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</si>
  <si>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</si>
  <si>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</si>
  <si>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</si>
  <si>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</si>
  <si>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</si>
  <si>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</si>
  <si>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</si>
  <si>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</si>
  <si>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</si>
  <si>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</si>
  <si>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</si>
  <si>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</si>
  <si>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</si>
  <si>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</si>
  <si>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</si>
  <si>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</si>
  <si>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</si>
  <si>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</si>
  <si>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</si>
  <si>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</si>
  <si>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</si>
  <si>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</si>
  <si>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</si>
  <si>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</si>
  <si>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</si>
  <si>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</si>
  <si>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</si>
  <si>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</si>
  <si>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</si>
  <si>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</si>
  <si>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</si>
  <si>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</si>
  <si>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</si>
  <si>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</si>
  <si>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</si>
  <si>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</si>
  <si>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</si>
  <si>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</si>
  <si>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</si>
  <si>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</si>
  <si>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</si>
  <si>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</si>
  <si>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</si>
  <si>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</si>
  <si>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</si>
  <si>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</si>
  <si>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</si>
  <si>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</si>
  <si>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</si>
  <si>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</si>
  <si>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</si>
  <si>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</si>
  <si>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</si>
  <si>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</si>
  <si>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</si>
  <si>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</si>
  <si>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</si>
  <si>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</si>
  <si>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</si>
  <si>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</si>
  <si>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</si>
  <si>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</si>
  <si>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</si>
  <si>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</si>
  <si>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</si>
  <si>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</si>
  <si>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</si>
  <si>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</si>
  <si>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</si>
  <si>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</si>
  <si>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</si>
  <si>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</si>
  <si>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</si>
  <si>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</si>
  <si>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</si>
  <si>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</si>
  <si>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</si>
  <si>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</si>
  <si>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</si>
  <si>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</si>
  <si>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</si>
  <si>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</si>
  <si>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</si>
  <si>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</si>
  <si>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</si>
  <si>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</si>
  <si>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</si>
  <si>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</si>
  <si>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</si>
  <si>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</si>
  <si>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</si>
  <si>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</si>
  <si>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</si>
  <si>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</si>
  <si>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</si>
  <si>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</si>
  <si>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</si>
  <si>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</si>
  <si>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</si>
  <si>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</si>
  <si>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</si>
  <si>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</si>
  <si>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</si>
  <si>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</si>
  <si>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</si>
  <si>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</si>
  <si>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</si>
  <si>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</si>
  <si>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</si>
  <si>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</si>
  <si>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</si>
  <si>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</si>
  <si>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</si>
  <si>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</si>
  <si>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</si>
  <si>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</si>
  <si>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</si>
  <si>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</si>
  <si>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</si>
  <si>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</si>
  <si>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</si>
  <si>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</si>
  <si>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</si>
  <si>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</si>
  <si>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</si>
  <si>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</si>
  <si>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</si>
  <si>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</si>
  <si>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</si>
  <si>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</si>
  <si>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</si>
  <si>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</si>
  <si>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</si>
  <si>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</si>
  <si>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</si>
  <si>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</si>
  <si>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</si>
  <si>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</si>
  <si>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</si>
  <si>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</si>
  <si>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</si>
  <si>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</si>
  <si>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</si>
  <si>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</si>
  <si>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</si>
  <si>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</si>
  <si>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</si>
  <si>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</si>
  <si>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</si>
  <si>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</si>
  <si>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</si>
  <si>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</si>
  <si>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</si>
  <si>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</si>
  <si>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</si>
  <si>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</si>
  <si>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</si>
  <si>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</si>
  <si>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</si>
  <si>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</si>
  <si>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</si>
  <si>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</si>
  <si>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</si>
  <si>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</si>
  <si>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</si>
  <si>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</si>
  <si>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</si>
  <si>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</si>
  <si>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</si>
  <si>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</si>
  <si>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</si>
  <si>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</si>
  <si>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</si>
  <si>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</si>
  <si>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</si>
  <si>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</si>
  <si>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</si>
  <si>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</si>
  <si>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</si>
  <si>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</si>
  <si>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</si>
  <si>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</si>
  <si>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</si>
  <si>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</si>
  <si>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</si>
  <si>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</si>
  <si>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</si>
  <si>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</si>
  <si>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</si>
  <si>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</si>
  <si>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</si>
  <si>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</si>
  <si>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</si>
  <si>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</si>
  <si>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</si>
  <si>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</si>
  <si>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</si>
  <si>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</si>
  <si>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</si>
  <si>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</si>
  <si>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</si>
  <si>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</si>
  <si>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</si>
  <si>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</si>
  <si>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</si>
  <si>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</si>
  <si>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</si>
  <si>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</si>
  <si>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</si>
  <si>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</si>
  <si>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</si>
  <si>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</si>
  <si>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</si>
  <si>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</si>
  <si>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</si>
  <si>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</si>
  <si>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</si>
  <si>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</si>
  <si>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</si>
  <si>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</si>
  <si>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</si>
  <si>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</si>
  <si>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</si>
  <si>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</si>
  <si>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</si>
  <si>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</si>
  <si>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</si>
  <si>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</si>
  <si>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</si>
  <si>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</si>
  <si>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</si>
  <si>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</si>
  <si>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</si>
  <si>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</si>
  <si>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</si>
  <si>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</si>
  <si>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</si>
  <si>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</si>
  <si>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</si>
  <si>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</si>
  <si>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</si>
  <si>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</si>
  <si>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</si>
  <si>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</si>
  <si>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</si>
  <si>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</si>
  <si>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</si>
  <si>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</si>
  <si>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</si>
  <si>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</si>
  <si>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</si>
  <si>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</si>
  <si>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</si>
  <si>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</si>
  <si>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</si>
  <si>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</si>
  <si>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</si>
  <si>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</si>
  <si>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</si>
  <si>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</si>
  <si>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</si>
  <si>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</si>
  <si>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</si>
  <si>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</si>
  <si>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</si>
  <si>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</si>
  <si>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</si>
  <si>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</si>
  <si>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</si>
  <si>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</si>
  <si>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</si>
  <si>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</si>
  <si>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</si>
  <si>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</si>
  <si>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</si>
  <si>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</si>
  <si>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</si>
  <si>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</si>
  <si>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</si>
  <si>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</si>
  <si>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</si>
  <si>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</si>
  <si>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</si>
  <si>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</si>
  <si>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</si>
  <si>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</si>
  <si>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</si>
  <si>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</si>
  <si>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</si>
  <si>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</si>
  <si>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</si>
  <si>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</si>
  <si>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</si>
  <si>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</si>
  <si>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</si>
  <si>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</si>
  <si>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</si>
  <si>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</si>
  <si>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</si>
  <si>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</si>
  <si>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</si>
  <si>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</si>
  <si>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</si>
  <si>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</si>
  <si>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</si>
  <si>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</si>
  <si>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</si>
  <si>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</si>
  <si>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</si>
  <si>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</si>
  <si>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</si>
  <si>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</si>
  <si>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</si>
  <si>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</si>
  <si>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</si>
  <si>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</si>
  <si>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</si>
  <si>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</si>
  <si>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</si>
  <si>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</si>
  <si>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</si>
  <si>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</si>
  <si>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</si>
  <si>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</si>
  <si>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</si>
  <si>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</si>
  <si>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</si>
  <si>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</si>
  <si>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</si>
  <si>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</si>
  <si>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</si>
  <si>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</si>
  <si>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</si>
  <si>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</si>
  <si>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</si>
  <si>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</si>
  <si>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</si>
  <si>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</si>
  <si>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</si>
  <si>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</si>
  <si>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</si>
  <si>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</si>
  <si>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</si>
  <si>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</si>
  <si>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</si>
  <si>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</si>
  <si>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</si>
  <si>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</si>
  <si>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</si>
  <si>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</si>
  <si>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</si>
  <si>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</si>
  <si>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</si>
  <si>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</si>
  <si>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</si>
  <si>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</si>
  <si>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</si>
  <si>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</si>
  <si>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</si>
  <si>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</si>
  <si>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</si>
  <si>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</si>
  <si>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</si>
  <si>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</si>
  <si>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</si>
  <si>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</si>
  <si>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</si>
  <si>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</si>
  <si>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</si>
  <si>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</si>
  <si>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</si>
  <si>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</si>
  <si>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</si>
  <si>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</si>
  <si>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</si>
  <si>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</si>
  <si>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</si>
  <si>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</si>
  <si>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</si>
  <si>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</si>
  <si>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</si>
  <si>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</si>
  <si>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</si>
  <si>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</si>
  <si>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</si>
  <si>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</si>
  <si>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</si>
  <si>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</si>
  <si>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</si>
  <si>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</si>
  <si>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</si>
  <si>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</si>
  <si>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</si>
  <si>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</si>
  <si>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</si>
  <si>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</si>
  <si>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</si>
  <si>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</si>
  <si>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</si>
  <si>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</si>
  <si>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</si>
  <si>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</si>
  <si>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</si>
  <si>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</si>
  <si>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</si>
  <si>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</si>
  <si>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</si>
  <si>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</si>
  <si>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</si>
  <si>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</si>
  <si>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</si>
  <si>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</si>
  <si>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</si>
  <si>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</si>
  <si>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</si>
  <si>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</si>
  <si>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</si>
  <si>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</si>
  <si>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</si>
  <si>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</si>
  <si>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</si>
  <si>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</si>
  <si>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</si>
  <si>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</si>
  <si>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</si>
  <si>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</si>
  <si>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</si>
  <si>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</si>
  <si>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</si>
  <si>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</si>
  <si>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</si>
  <si>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</si>
  <si>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</si>
  <si>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</si>
  <si>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</si>
  <si>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</si>
  <si>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</si>
  <si>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</si>
  <si>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</si>
  <si>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</si>
  <si>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</si>
  <si>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</si>
  <si>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</si>
  <si>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</si>
  <si>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</si>
  <si>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</si>
  <si>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</si>
  <si>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</si>
  <si>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</si>
  <si>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</si>
  <si>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</si>
  <si>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</si>
  <si>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</si>
  <si>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</si>
  <si>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</si>
  <si>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</si>
  <si>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</si>
  <si>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</si>
  <si>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</si>
  <si>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</si>
  <si>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</si>
  <si>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</si>
  <si>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</si>
  <si>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</si>
  <si>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</si>
  <si>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</si>
  <si>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</si>
  <si>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</si>
  <si>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</si>
  <si>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</si>
  <si>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</si>
  <si>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</si>
  <si>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</si>
  <si>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</si>
  <si>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</si>
  <si>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</si>
  <si>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</si>
  <si>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</si>
  <si>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</si>
  <si>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</si>
  <si>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</si>
  <si>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</si>
  <si>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</si>
  <si>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</si>
  <si>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</si>
  <si>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</si>
  <si>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</si>
  <si>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</si>
  <si>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</si>
  <si>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</si>
  <si>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</si>
  <si>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</si>
  <si>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</si>
  <si>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</si>
  <si>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</si>
  <si>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</si>
  <si>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</si>
  <si>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</si>
  <si>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</si>
  <si>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</si>
  <si>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</si>
  <si>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</si>
  <si>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</si>
  <si>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</si>
  <si>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</si>
  <si>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</si>
  <si>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</si>
  <si>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</si>
  <si>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</si>
  <si>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</si>
  <si>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</si>
  <si>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</si>
  <si>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</si>
  <si>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</si>
  <si>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</si>
  <si>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</si>
  <si>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</si>
  <si>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</si>
  <si>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</si>
  <si>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</si>
  <si>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</si>
  <si>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</si>
  <si>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</si>
  <si>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</si>
  <si>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</si>
  <si>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</si>
  <si>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</si>
  <si>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</si>
  <si>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</si>
  <si>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</si>
  <si>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</si>
  <si>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</si>
  <si>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</si>
  <si>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</si>
  <si>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</si>
  <si>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</si>
  <si>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</si>
  <si>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</si>
  <si>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</si>
  <si>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</si>
  <si>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</si>
  <si>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</si>
  <si>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</si>
  <si>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</si>
  <si>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</si>
  <si>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</si>
  <si>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</si>
  <si>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</si>
  <si>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</si>
  <si>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</si>
  <si>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</si>
  <si>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</si>
  <si>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</si>
  <si>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</si>
  <si>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</si>
  <si>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</si>
  <si>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</si>
  <si>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</si>
  <si>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</si>
  <si>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</si>
  <si>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</si>
  <si>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</si>
  <si>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</si>
  <si>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</si>
  <si>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</si>
  <si>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</si>
  <si>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</si>
  <si>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</si>
  <si>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</si>
  <si>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</si>
  <si>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</si>
  <si>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</si>
  <si>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</si>
  <si>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</si>
  <si>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</si>
  <si>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</si>
  <si>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</si>
  <si>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</si>
  <si>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</si>
  <si>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</si>
  <si>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</si>
  <si>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</si>
  <si>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</si>
  <si>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</si>
  <si>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</si>
  <si>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</si>
  <si>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</si>
  <si>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</si>
  <si>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</si>
  <si>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</si>
  <si>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</si>
  <si>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</si>
  <si>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</si>
  <si>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</si>
  <si>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</si>
  <si>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</si>
  <si>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</si>
  <si>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</si>
  <si>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</si>
  <si>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</si>
  <si>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</si>
  <si>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</si>
  <si>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</si>
  <si>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</si>
  <si>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</si>
  <si>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</si>
  <si>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</si>
  <si>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</si>
  <si>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</si>
  <si>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</si>
  <si>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</si>
  <si>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</si>
  <si>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</si>
  <si>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</si>
  <si>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</si>
  <si>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</si>
  <si>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</si>
  <si>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</si>
  <si>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</si>
  <si>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</si>
  <si>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</si>
  <si>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</si>
  <si>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</si>
  <si>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</si>
  <si>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</si>
  <si>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</si>
  <si>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</si>
  <si>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</si>
  <si>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</si>
  <si>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</si>
  <si>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</si>
  <si>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</si>
  <si>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</si>
  <si>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</si>
  <si>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</si>
  <si>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</si>
  <si>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</si>
  <si>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</si>
  <si>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</si>
  <si>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</si>
  <si>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</si>
  <si>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</si>
  <si>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</si>
  <si>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</si>
  <si>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</si>
  <si>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</si>
  <si>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</si>
  <si>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</si>
  <si>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</si>
  <si>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</si>
  <si>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</si>
  <si>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</si>
  <si>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</si>
  <si>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</si>
  <si>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</si>
  <si>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</si>
  <si>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</si>
  <si>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</si>
  <si>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</si>
  <si>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</si>
  <si>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</si>
  <si>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</si>
  <si>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</si>
  <si>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</si>
  <si>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</si>
  <si>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</si>
  <si>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</si>
  <si>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</si>
  <si>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</si>
  <si>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</si>
  <si>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</si>
  <si>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</si>
  <si>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</si>
  <si>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</si>
  <si>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</si>
  <si>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</si>
  <si>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</si>
  <si>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</si>
  <si>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</si>
  <si>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</si>
  <si>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</si>
  <si>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</si>
  <si>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</si>
  <si>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</si>
  <si>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</si>
  <si>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</si>
  <si>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</si>
  <si>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</si>
  <si>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</si>
  <si>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</si>
  <si>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</si>
  <si>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</si>
  <si>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</si>
  <si>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</si>
  <si>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</si>
  <si>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</si>
  <si>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</si>
  <si>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</si>
  <si>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</si>
  <si>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</si>
  <si>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</si>
  <si>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</si>
  <si>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</si>
  <si>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</si>
  <si>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</si>
  <si>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</si>
  <si>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</si>
  <si>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</si>
  <si>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</si>
  <si>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</si>
  <si>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</si>
  <si>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</si>
  <si>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</si>
  <si>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</si>
  <si>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</si>
  <si>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</si>
  <si>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</si>
  <si>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</si>
  <si>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</si>
  <si>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</si>
  <si>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</si>
  <si>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</si>
  <si>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</si>
  <si>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</si>
  <si>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</si>
  <si>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</si>
  <si>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</si>
  <si>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</si>
  <si>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</si>
  <si>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</si>
  <si>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</si>
  <si>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</si>
  <si>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</si>
  <si>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</si>
  <si>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</si>
  <si>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</si>
  <si>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</si>
  <si>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</si>
  <si>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</si>
  <si>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</si>
  <si>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</si>
  <si>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</si>
  <si>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</si>
  <si>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</si>
  <si>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</si>
  <si>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</si>
  <si>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</si>
  <si>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</si>
  <si>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</si>
  <si>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</si>
  <si>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</si>
  <si>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</si>
  <si>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</si>
  <si>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</si>
  <si>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</si>
  <si>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</si>
  <si>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</si>
  <si>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</si>
  <si>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</si>
  <si>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</si>
  <si>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</si>
  <si>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</si>
  <si>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</si>
  <si>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</si>
  <si>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</si>
  <si>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</si>
  <si>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</si>
  <si>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</si>
  <si>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</si>
  <si>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</si>
  <si>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</si>
  <si>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</si>
  <si>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</si>
  <si>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</si>
  <si>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</si>
  <si>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</si>
  <si>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</si>
  <si>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</si>
  <si>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</si>
  <si>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</si>
  <si>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</si>
  <si>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</si>
  <si>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</si>
  <si>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</si>
  <si>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</si>
  <si>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</si>
  <si>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</si>
  <si>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</si>
  <si>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</si>
  <si>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</si>
  <si>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</si>
  <si>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</si>
  <si>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</si>
  <si>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</si>
  <si>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</si>
  <si>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</si>
  <si>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</si>
  <si>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</si>
  <si>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</si>
  <si>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</si>
  <si>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</si>
  <si>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</si>
  <si>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</si>
  <si>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</si>
  <si>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</si>
  <si>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</si>
  <si>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</si>
  <si>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</si>
  <si>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</si>
  <si>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</si>
  <si>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</si>
  <si>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</si>
  <si>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</si>
  <si>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</si>
  <si>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</si>
  <si>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</si>
  <si>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</si>
  <si>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</si>
  <si>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</si>
  <si>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</si>
  <si>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</si>
  <si>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</si>
  <si>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</si>
  <si>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</si>
  <si>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</si>
  <si>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</si>
  <si>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</si>
  <si>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</si>
  <si>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</si>
  <si>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</si>
  <si>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</si>
  <si>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</si>
  <si>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</si>
  <si>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</si>
  <si>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</si>
  <si>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</si>
  <si>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</si>
  <si>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</si>
  <si>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</si>
  <si>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</si>
  <si>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</si>
  <si>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</si>
  <si>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</si>
  <si>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</si>
  <si>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</si>
  <si>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</si>
  <si>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</si>
  <si>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</si>
  <si>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</si>
  <si>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</si>
  <si>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</si>
  <si>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</si>
  <si>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</si>
  <si>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</si>
  <si>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</si>
  <si>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</si>
  <si>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</si>
  <si>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</si>
  <si>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</si>
  <si>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</si>
  <si>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</si>
  <si>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</si>
  <si>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</si>
  <si>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</si>
  <si>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</si>
  <si>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</si>
  <si>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</si>
  <si>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</si>
  <si>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</si>
  <si>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</si>
  <si>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</si>
  <si>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</si>
  <si>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</si>
  <si>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</si>
  <si>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</si>
  <si>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</si>
  <si>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</si>
  <si>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</si>
  <si>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</si>
  <si>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</si>
  <si>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</si>
  <si>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</si>
  <si>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</si>
  <si>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</si>
  <si>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</si>
  <si>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</si>
  <si>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</si>
  <si>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</si>
  <si>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</si>
  <si>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</si>
  <si>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</si>
  <si>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</si>
  <si>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</si>
  <si>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</si>
  <si>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</si>
  <si>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</si>
  <si>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</si>
  <si>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</si>
  <si>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</si>
  <si>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</si>
  <si>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</si>
  <si>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</si>
  <si>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</si>
  <si>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</si>
  <si>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</si>
  <si>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</si>
  <si>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</si>
  <si>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</si>
  <si>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</si>
  <si>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</si>
  <si>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</si>
  <si>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</si>
  <si>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</si>
  <si>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</si>
  <si>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</si>
  <si>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</si>
  <si>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</si>
  <si>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</si>
  <si>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</si>
  <si>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</si>
  <si>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</si>
  <si>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</si>
  <si>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</si>
  <si>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</si>
  <si>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</si>
  <si>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</si>
  <si>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</si>
  <si>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</si>
  <si>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</si>
  <si>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</si>
  <si>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</si>
  <si>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</si>
  <si>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</si>
  <si>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</si>
  <si>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</si>
  <si>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</si>
  <si>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</si>
  <si>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</si>
  <si>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</si>
  <si>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</si>
  <si>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</si>
  <si>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</si>
  <si>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</si>
  <si>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</si>
  <si>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</si>
  <si>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</si>
  <si>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</si>
  <si>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</si>
  <si>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</si>
  <si>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</si>
  <si>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</si>
  <si>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</si>
  <si>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</si>
  <si>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</si>
  <si>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</si>
  <si>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</si>
  <si>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</si>
  <si>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</si>
  <si>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</si>
  <si>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</si>
  <si>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</si>
  <si>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</si>
  <si>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</si>
  <si>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</si>
  <si>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</si>
  <si>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</si>
  <si>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</si>
  <si>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</si>
  <si>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</si>
  <si>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</si>
  <si>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</si>
  <si>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</si>
  <si>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</si>
  <si>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</si>
  <si>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</si>
  <si>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</si>
  <si>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</si>
  <si>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</si>
  <si>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</si>
  <si>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</si>
  <si>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</si>
  <si>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</si>
  <si>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</si>
  <si>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</si>
  <si>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</si>
  <si>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</si>
  <si>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</si>
  <si>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</si>
  <si>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</si>
  <si>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</si>
  <si>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</si>
  <si>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</si>
  <si>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</si>
  <si>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</si>
  <si>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</si>
  <si>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</si>
  <si>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</si>
  <si>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</si>
  <si>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</si>
  <si>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</si>
  <si>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</si>
  <si>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</si>
  <si>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</si>
  <si>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</si>
  <si>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</si>
  <si>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</si>
  <si>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</si>
  <si>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</si>
  <si>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</si>
  <si>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</si>
  <si>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</si>
  <si>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</si>
  <si>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</si>
  <si>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</si>
  <si>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</si>
  <si>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</si>
  <si>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</si>
  <si>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</si>
  <si>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</si>
  <si>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</si>
  <si>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</si>
  <si>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</si>
  <si>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</si>
  <si>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</si>
  <si>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</si>
  <si>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</si>
  <si>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</si>
  <si>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</si>
  <si>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</si>
  <si>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</si>
  <si>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</si>
  <si>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</si>
  <si>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</si>
  <si>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</si>
  <si>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</si>
  <si>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</si>
  <si>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</si>
  <si>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</si>
  <si>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</si>
  <si>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</si>
  <si>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</si>
  <si>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</si>
  <si>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</si>
  <si>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</si>
  <si>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</si>
  <si>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</si>
  <si>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</si>
  <si>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</si>
  <si>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</si>
  <si>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</si>
  <si>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</si>
  <si>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</si>
  <si>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</si>
  <si>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</si>
  <si>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</si>
  <si>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</si>
  <si>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</si>
  <si>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</si>
  <si>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</si>
  <si>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</si>
  <si>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</si>
  <si>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</si>
  <si>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</si>
  <si>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</si>
  <si>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</si>
  <si>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</si>
  <si>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</si>
  <si>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</si>
  <si>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</si>
  <si>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</si>
  <si>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</si>
  <si>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</si>
  <si>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</si>
  <si>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</si>
  <si>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</si>
  <si>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</si>
  <si>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</si>
  <si>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</si>
  <si>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</si>
  <si>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</si>
  <si>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</si>
  <si>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</si>
  <si>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</si>
  <si>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</si>
  <si>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</si>
  <si>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</si>
  <si>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</si>
  <si>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</si>
  <si>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</si>
  <si>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</si>
  <si>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</si>
  <si>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</si>
  <si>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</si>
  <si>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</si>
  <si>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</si>
  <si>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</si>
  <si>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</si>
  <si>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</si>
  <si>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</si>
  <si>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</si>
  <si>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</si>
  <si>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</si>
  <si>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</si>
  <si>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</si>
  <si>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</si>
  <si>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</si>
  <si>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</si>
  <si>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</si>
  <si>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</si>
  <si>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</si>
  <si>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</si>
  <si>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</si>
  <si>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</si>
  <si>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</si>
  <si>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</si>
  <si>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</si>
  <si>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</si>
  <si>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</si>
  <si>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</si>
  <si>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</si>
  <si>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</si>
  <si>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</si>
  <si>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</si>
  <si>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</si>
  <si>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</si>
  <si>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</si>
  <si>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</si>
  <si>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</si>
  <si>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</si>
  <si>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</si>
  <si>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</si>
  <si>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</si>
  <si>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</si>
  <si>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</si>
  <si>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</si>
  <si>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</si>
  <si>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</si>
  <si>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</si>
  <si>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</si>
  <si>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</si>
  <si>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</si>
  <si>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</si>
  <si>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</si>
  <si>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</si>
  <si>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</si>
  <si>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</si>
  <si>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</si>
  <si>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</si>
  <si>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</si>
  <si>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</si>
  <si>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</si>
  <si>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</si>
  <si>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</si>
  <si>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</si>
  <si>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</si>
  <si>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</si>
  <si>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</si>
  <si>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</si>
  <si>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</si>
  <si>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</si>
  <si>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</si>
  <si>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</si>
  <si>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</si>
  <si>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</si>
  <si>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</si>
  <si>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</si>
  <si>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</si>
  <si>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</si>
  <si>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</si>
  <si>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</si>
  <si>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</si>
  <si>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</si>
  <si>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</si>
  <si>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</si>
  <si>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</si>
  <si>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</si>
  <si>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</si>
  <si>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</si>
  <si>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</si>
  <si>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</si>
  <si>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</si>
  <si>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</si>
  <si>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</si>
  <si>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</si>
  <si>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</si>
  <si>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</si>
  <si>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</si>
  <si>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</si>
  <si>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</si>
  <si>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</si>
  <si>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</si>
  <si>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</si>
  <si>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</si>
  <si>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</si>
  <si>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</si>
  <si>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</si>
  <si>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</si>
  <si>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</si>
  <si>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</si>
  <si>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</si>
  <si>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</si>
  <si>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</si>
  <si>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</si>
  <si>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</si>
  <si>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</si>
  <si>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</si>
  <si>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</si>
  <si>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</si>
  <si>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</si>
  <si>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</si>
  <si>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</si>
  <si>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</si>
  <si>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</si>
  <si>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</si>
  <si>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</si>
  <si>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</si>
  <si>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</si>
  <si>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</si>
  <si>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</si>
  <si>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</si>
  <si>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</si>
  <si>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</si>
  <si>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</si>
  <si>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</si>
  <si>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</si>
  <si>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</si>
  <si>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</si>
  <si>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</si>
  <si>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</si>
  <si>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</si>
  <si>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</si>
  <si>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</si>
  <si>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</si>
  <si>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</si>
  <si>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</si>
  <si>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</si>
  <si>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</si>
  <si>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</si>
  <si>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</si>
  <si>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</si>
  <si>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</si>
  <si>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</si>
  <si>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</si>
  <si>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</si>
  <si>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</si>
  <si>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</si>
  <si>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</si>
  <si>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</si>
  <si>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</si>
  <si>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</si>
  <si>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</si>
  <si>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</si>
  <si>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</si>
  <si>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</si>
  <si>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</si>
  <si>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</si>
  <si>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</si>
  <si>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</si>
  <si>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</si>
  <si>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</si>
  <si>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</si>
  <si>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</si>
  <si>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</si>
  <si>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</si>
  <si>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</si>
  <si>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</si>
  <si>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</si>
  <si>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</si>
  <si>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</si>
  <si>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</si>
  <si>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</si>
  <si>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</si>
  <si>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</si>
  <si>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</si>
  <si>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</si>
  <si>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</si>
  <si>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</si>
  <si>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</si>
  <si>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</si>
  <si>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</si>
  <si>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</si>
  <si>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</si>
  <si>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</si>
  <si>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</si>
  <si>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</si>
  <si>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</si>
  <si>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</si>
  <si>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</si>
  <si>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</si>
  <si>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</si>
  <si>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</si>
  <si>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</si>
  <si>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</si>
  <si>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</si>
  <si>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</si>
  <si>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</si>
  <si>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</si>
  <si>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</si>
  <si>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</si>
  <si>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</si>
  <si>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</si>
  <si>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</si>
  <si>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</si>
  <si>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</si>
  <si>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</si>
  <si>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</si>
  <si>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</si>
  <si>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</si>
  <si>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</si>
  <si>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</si>
  <si>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</si>
  <si>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</si>
  <si>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</si>
  <si>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</si>
  <si>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</si>
  <si>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</si>
  <si>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</si>
  <si>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</si>
  <si>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</si>
  <si>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</si>
  <si>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</si>
  <si>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</si>
  <si>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</si>
  <si>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</si>
  <si>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</si>
  <si>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</si>
  <si>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</si>
  <si>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</si>
  <si>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</si>
  <si>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</si>
  <si>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</si>
  <si>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</si>
  <si>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</si>
  <si>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</si>
  <si>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</si>
  <si>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</si>
  <si>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</si>
  <si>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</si>
  <si>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</si>
  <si>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</si>
  <si>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</si>
  <si>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</si>
  <si>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</si>
  <si>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</si>
  <si>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</si>
  <si>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</si>
  <si>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</si>
  <si>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</si>
  <si>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</si>
  <si>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</si>
  <si>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</si>
  <si>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</si>
  <si>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</si>
  <si>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</si>
  <si>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</si>
  <si>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</si>
  <si>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</si>
  <si>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</si>
  <si>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</si>
  <si>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</si>
  <si>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</si>
  <si>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</si>
  <si>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</si>
  <si>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</si>
  <si>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</si>
  <si>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</si>
  <si>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</si>
  <si>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</si>
  <si>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</si>
  <si>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</si>
  <si>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</si>
  <si>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</si>
  <si>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</si>
  <si>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</si>
  <si>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</si>
  <si>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</si>
  <si>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</si>
  <si>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</si>
  <si>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</si>
  <si>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</si>
  <si>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</si>
  <si>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</si>
  <si>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</si>
  <si>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</si>
  <si>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</si>
  <si>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</si>
  <si>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</si>
  <si>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</si>
  <si>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</si>
  <si>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</si>
  <si>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</si>
  <si>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</si>
  <si>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</si>
  <si>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</si>
  <si>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</si>
  <si>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</si>
  <si>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</si>
  <si>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</si>
  <si>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</si>
  <si>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</si>
  <si>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</si>
  <si>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</si>
  <si>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</si>
  <si>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</si>
  <si>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</si>
  <si>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</si>
  <si>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</si>
  <si>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</si>
  <si>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</si>
  <si>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</si>
  <si>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</si>
  <si>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</si>
  <si>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</si>
  <si>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</si>
  <si>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</si>
  <si>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</si>
  <si>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</si>
  <si>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</si>
  <si>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</si>
  <si>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</si>
  <si>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</si>
  <si>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</si>
  <si>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</si>
  <si>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</si>
  <si>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</si>
  <si>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</si>
  <si>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</si>
  <si>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</si>
  <si>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</si>
  <si>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</si>
  <si>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</si>
  <si>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</si>
  <si>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</si>
  <si>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</si>
  <si>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</si>
  <si>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</si>
  <si>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</si>
  <si>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</si>
  <si>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</si>
  <si>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</si>
  <si>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</si>
  <si>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</si>
  <si>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</si>
  <si>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</si>
  <si>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</si>
  <si>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</si>
  <si>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</si>
  <si>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</si>
  <si>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</si>
  <si>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</si>
  <si>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</si>
  <si>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</si>
  <si>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</si>
  <si>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</si>
  <si>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</si>
  <si>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</si>
  <si>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</si>
  <si>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</si>
  <si>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</si>
  <si>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</si>
  <si>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</si>
  <si>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</si>
  <si>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</si>
  <si>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</si>
  <si>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</si>
  <si>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</si>
  <si>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</si>
  <si>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</si>
  <si>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</si>
  <si>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</si>
  <si>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</si>
  <si>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</si>
  <si>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</si>
  <si>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</si>
  <si>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</si>
  <si>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</si>
  <si>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</si>
  <si>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</si>
  <si>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</si>
  <si>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</si>
  <si>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</si>
  <si>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</si>
  <si>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</si>
  <si>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</si>
  <si>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</si>
  <si>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</si>
  <si>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</si>
  <si>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</si>
  <si>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</si>
  <si>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</si>
  <si>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</si>
  <si>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</si>
  <si>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</si>
  <si>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</si>
  <si>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</si>
  <si>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</si>
  <si>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</si>
  <si>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</si>
  <si>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</si>
  <si>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</si>
  <si>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</si>
  <si>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</si>
  <si>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</si>
  <si>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</si>
  <si>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</si>
  <si>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</si>
  <si>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</si>
  <si>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</si>
  <si>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</si>
  <si>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</si>
  <si>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</si>
  <si>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</si>
  <si>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</si>
  <si>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</si>
  <si>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</si>
  <si>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</si>
  <si>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</si>
  <si>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</si>
  <si>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</si>
  <si>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</si>
  <si>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</si>
  <si>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</si>
  <si>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</si>
  <si>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</si>
  <si>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</si>
  <si>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</si>
  <si>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</si>
  <si>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</si>
  <si>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</si>
  <si>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</si>
  <si>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</si>
  <si>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</si>
  <si>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</si>
  <si>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</si>
  <si>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</si>
  <si>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</si>
  <si>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</si>
  <si>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</si>
  <si>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</si>
  <si>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</si>
  <si>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</si>
  <si>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</si>
  <si>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</si>
  <si>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</si>
  <si>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</si>
  <si>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</si>
  <si>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</si>
  <si>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</si>
  <si>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</si>
  <si>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</si>
  <si>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</si>
  <si>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</si>
  <si>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</si>
  <si>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</si>
  <si>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</si>
  <si>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</si>
  <si>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</si>
  <si>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</si>
  <si>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</si>
  <si>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</si>
  <si>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</si>
  <si>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</si>
  <si>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</si>
  <si>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</si>
  <si>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</si>
  <si>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</si>
  <si>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</si>
  <si>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</si>
  <si>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</si>
  <si>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</si>
  <si>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</si>
  <si>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</si>
  <si>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</si>
  <si>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</si>
  <si>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</si>
  <si>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</si>
  <si>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</si>
  <si>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</si>
  <si>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</si>
  <si>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</si>
  <si>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</si>
  <si>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</si>
  <si>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</si>
  <si>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</si>
  <si>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</si>
  <si>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</si>
  <si>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</si>
  <si>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</si>
  <si>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</si>
  <si>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</si>
  <si>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</si>
  <si>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</si>
  <si>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</si>
  <si>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</si>
  <si>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</si>
  <si>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</si>
  <si>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</si>
  <si>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</si>
  <si>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</si>
  <si>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</si>
  <si>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</si>
  <si>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</si>
  <si>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</si>
  <si>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</si>
  <si>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</si>
  <si>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</si>
  <si>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</si>
  <si>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</si>
  <si>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</si>
  <si>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</si>
  <si>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</si>
  <si>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</si>
  <si>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</si>
  <si>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</si>
  <si>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</si>
  <si>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</si>
  <si>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</si>
  <si>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</si>
  <si>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</si>
  <si>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</si>
  <si>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</si>
  <si>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</si>
  <si>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</si>
  <si>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</si>
  <si>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</si>
  <si>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</si>
  <si>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</si>
  <si>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</si>
  <si>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</si>
  <si>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</si>
  <si>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</si>
  <si>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</si>
  <si>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</si>
  <si>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</si>
  <si>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</si>
  <si>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</si>
  <si>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</si>
  <si>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</si>
  <si>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</si>
  <si>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</si>
  <si>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</si>
  <si>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</si>
  <si>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</si>
  <si>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</si>
  <si>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</si>
  <si>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</si>
  <si>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</si>
  <si>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</si>
  <si>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</si>
  <si>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</si>
  <si>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</si>
  <si>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</si>
  <si>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</si>
  <si>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</si>
  <si>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</si>
  <si>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</si>
  <si>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</si>
  <si>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</si>
  <si>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</si>
  <si>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</si>
  <si>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</si>
  <si>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</si>
  <si>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</si>
  <si>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</si>
  <si>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</si>
  <si>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</si>
  <si>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</si>
  <si>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</si>
  <si>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</si>
  <si>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</si>
  <si>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</si>
  <si>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</si>
  <si>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</si>
  <si>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</si>
  <si>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</si>
  <si>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</si>
  <si>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</si>
  <si>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</si>
  <si>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</si>
  <si>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</si>
  <si>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</si>
  <si>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</si>
  <si>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</si>
  <si>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</si>
  <si>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</si>
  <si>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</si>
  <si>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</si>
  <si>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</si>
  <si>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</si>
  <si>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</si>
  <si>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</si>
  <si>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</si>
  <si>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</si>
  <si>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</si>
  <si>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</si>
  <si>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</si>
  <si>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</si>
  <si>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</si>
  <si>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</si>
  <si>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</si>
  <si>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</si>
  <si>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</si>
  <si>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</si>
  <si>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</si>
  <si>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</si>
  <si>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</si>
  <si>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</si>
  <si>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</si>
  <si>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</si>
  <si>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</si>
  <si>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</si>
  <si>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</si>
  <si>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</si>
  <si>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</si>
  <si>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</si>
  <si>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</si>
  <si>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</si>
  <si>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</si>
  <si>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</si>
  <si>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</si>
  <si>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</si>
  <si>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</si>
  <si>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</si>
  <si>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</si>
  <si>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</si>
  <si>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</si>
  <si>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</si>
  <si>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</si>
  <si>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</si>
  <si>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</si>
  <si>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</si>
  <si>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</si>
  <si>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</si>
  <si>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</si>
  <si>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</si>
  <si>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</si>
  <si>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</si>
  <si>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</si>
  <si>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</si>
  <si>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</si>
  <si>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</si>
  <si>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</si>
  <si>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</si>
  <si>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</si>
  <si>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</si>
  <si>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</si>
  <si>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</si>
  <si>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</si>
  <si>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</si>
  <si>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</si>
  <si>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</si>
  <si>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</si>
  <si>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</si>
  <si>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</si>
  <si>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</si>
  <si>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</si>
  <si>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</si>
  <si>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</si>
  <si>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</si>
  <si>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</si>
  <si>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</si>
  <si>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</si>
  <si>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</si>
  <si>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</si>
  <si>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</si>
  <si>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</si>
  <si>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</si>
  <si>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</si>
  <si>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</si>
  <si>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</si>
  <si>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</si>
  <si>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</si>
  <si>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</si>
  <si>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</si>
  <si>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</si>
  <si>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</si>
  <si>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</si>
  <si>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</si>
  <si>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</si>
  <si>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</si>
  <si>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</si>
  <si>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</si>
  <si>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</si>
  <si>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</si>
  <si>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</si>
  <si>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</si>
  <si>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</si>
  <si>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</si>
  <si>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</si>
  <si>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</si>
  <si>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</si>
  <si>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</si>
  <si>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</si>
  <si>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</si>
  <si>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</si>
  <si>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</si>
  <si>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</si>
  <si>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</si>
  <si>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</si>
  <si>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</si>
  <si>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</si>
  <si>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</si>
  <si>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</si>
  <si>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</si>
  <si>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</si>
  <si>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</si>
  <si>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</si>
  <si>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</si>
  <si>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</si>
  <si>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</si>
  <si>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</si>
  <si>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</si>
  <si>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</si>
  <si>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</si>
  <si>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</si>
  <si>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</si>
  <si>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</si>
  <si>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</si>
  <si>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</si>
  <si>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</si>
  <si>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</si>
  <si>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</si>
  <si>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</si>
  <si>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</si>
  <si>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</si>
  <si>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</si>
  <si>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</si>
  <si>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</si>
  <si>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</si>
  <si>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</si>
  <si>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</si>
  <si>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</si>
  <si>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</si>
  <si>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</si>
  <si>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</si>
  <si>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</si>
  <si>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</si>
  <si>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</si>
  <si>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</si>
  <si>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</si>
  <si>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</si>
  <si>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</si>
  <si>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</si>
  <si>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</si>
  <si>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</si>
  <si>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</si>
  <si>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</si>
  <si>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</si>
  <si>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</si>
  <si>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</si>
  <si>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</si>
  <si>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</si>
  <si>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</si>
  <si>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</si>
  <si>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</si>
  <si>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</si>
  <si>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</si>
  <si>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</si>
  <si>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</si>
  <si>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</si>
  <si>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</si>
  <si>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</si>
  <si>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</si>
  <si>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</si>
  <si>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</si>
  <si>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</si>
  <si>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</si>
  <si>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</si>
  <si>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</si>
  <si>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</si>
  <si>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</si>
  <si>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</si>
  <si>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</si>
  <si>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</si>
  <si>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</si>
  <si>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</si>
  <si>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</si>
  <si>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</si>
  <si>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</si>
  <si>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</si>
  <si>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</si>
  <si>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</si>
  <si>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</si>
  <si>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</si>
  <si>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</si>
  <si>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</si>
  <si>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</si>
  <si>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</si>
  <si>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</si>
  <si>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</si>
  <si>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</si>
  <si>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</si>
  <si>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</si>
  <si>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</si>
  <si>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</si>
  <si>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</si>
  <si>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</si>
  <si>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</si>
  <si>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</si>
  <si>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</si>
  <si>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</si>
  <si>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</si>
  <si>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</si>
  <si>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</si>
  <si>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</si>
  <si>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</si>
  <si>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</si>
  <si>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</si>
  <si>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</si>
  <si>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</si>
  <si>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</si>
  <si>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</si>
  <si>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</si>
  <si>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</si>
  <si>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</si>
  <si>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</si>
  <si>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</si>
  <si>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</si>
  <si>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</si>
  <si>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</si>
  <si>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</si>
  <si>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</si>
  <si>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</si>
  <si>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</si>
  <si>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</si>
  <si>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</si>
  <si>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</si>
  <si>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</si>
  <si>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</si>
  <si>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</si>
  <si>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</si>
  <si>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</si>
  <si>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</si>
  <si>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</si>
  <si>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</si>
  <si>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</si>
  <si>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</si>
  <si>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</si>
  <si>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</si>
  <si>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</si>
  <si>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</si>
  <si>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</si>
  <si>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</si>
  <si>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</si>
  <si>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</si>
  <si>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</si>
  <si>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</si>
  <si>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</si>
  <si>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</si>
  <si>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</si>
  <si>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</si>
  <si>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</si>
  <si>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</si>
  <si>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</si>
  <si>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</si>
  <si>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</si>
  <si>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</si>
  <si>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</si>
  <si>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</si>
  <si>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</si>
  <si>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</si>
  <si>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</si>
  <si>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</si>
  <si>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</si>
  <si>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</si>
  <si>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</si>
  <si>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</si>
  <si>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</si>
  <si>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</si>
  <si>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</si>
  <si>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</si>
  <si>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</si>
  <si>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</si>
  <si>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</si>
  <si>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</si>
  <si>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</si>
  <si>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</si>
  <si>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</si>
  <si>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</si>
  <si>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</si>
  <si>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</si>
  <si>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</si>
  <si>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</si>
  <si>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</si>
  <si>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</si>
  <si>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</si>
  <si>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</si>
  <si>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</si>
  <si>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</si>
  <si>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</si>
  <si>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</si>
  <si>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</si>
  <si>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</si>
  <si>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</si>
  <si>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</si>
  <si>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</si>
  <si>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</si>
  <si>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</si>
  <si>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</si>
  <si>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</si>
  <si>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</si>
  <si>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</si>
  <si>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</si>
  <si>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</si>
  <si>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</si>
  <si>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</si>
  <si>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</si>
  <si>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</si>
  <si>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</si>
  <si>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</si>
  <si>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</si>
  <si>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</si>
  <si>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</si>
  <si>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</si>
  <si>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</si>
  <si>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</si>
  <si>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</si>
  <si>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</si>
  <si>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</si>
  <si>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</si>
  <si>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</si>
  <si>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</si>
  <si>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</si>
  <si>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</si>
  <si>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</si>
  <si>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</si>
  <si>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</si>
  <si>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</si>
  <si>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</si>
  <si>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</si>
  <si>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</si>
  <si>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</si>
  <si>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</si>
  <si>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</si>
  <si>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</si>
  <si>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</si>
  <si>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</si>
  <si>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</si>
  <si>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</si>
  <si>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</si>
  <si>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</si>
  <si>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</si>
  <si>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</si>
  <si>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</si>
  <si>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</si>
  <si>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</si>
  <si>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</si>
  <si>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</si>
  <si>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</si>
  <si>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</si>
  <si>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</si>
  <si>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</si>
  <si>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</si>
  <si>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</si>
  <si>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</si>
  <si>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</si>
  <si>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</si>
  <si>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</si>
  <si>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</si>
  <si>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</si>
  <si>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</si>
  <si>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</si>
  <si>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</si>
  <si>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</si>
  <si>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</si>
  <si>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</si>
  <si>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</si>
  <si>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</si>
  <si>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</si>
  <si>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</si>
  <si>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</si>
  <si>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</si>
  <si>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</si>
  <si>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</si>
  <si>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</si>
  <si>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</si>
  <si>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</si>
  <si>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</si>
  <si>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</si>
  <si>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</si>
  <si>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</si>
  <si>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</si>
  <si>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</si>
  <si>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</si>
  <si>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</si>
  <si>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</si>
  <si>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</si>
  <si>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</si>
  <si>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</si>
  <si>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</si>
  <si>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</si>
  <si>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</si>
  <si>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</si>
  <si>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</si>
  <si>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</si>
  <si>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</si>
  <si>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</si>
  <si>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</si>
  <si>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</si>
  <si>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</si>
  <si>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</si>
  <si>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</si>
  <si>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</si>
  <si>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</si>
  <si>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</si>
  <si>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</si>
  <si>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</si>
  <si>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</si>
  <si>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</si>
  <si>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</si>
  <si>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</si>
  <si>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</si>
  <si>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</si>
  <si>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</si>
  <si>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</si>
  <si>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</si>
  <si>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</si>
  <si>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</si>
  <si>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</si>
  <si>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</si>
  <si>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</si>
  <si>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</si>
  <si>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</si>
  <si>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</si>
  <si>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</si>
  <si>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</si>
  <si>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</si>
  <si>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</si>
  <si>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</si>
  <si>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</si>
  <si>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</si>
  <si>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</si>
  <si>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</si>
  <si>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</si>
  <si>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</si>
  <si>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</si>
  <si>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</si>
  <si>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</si>
  <si>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</si>
  <si>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</si>
  <si>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</si>
  <si>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</si>
  <si>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</si>
  <si>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</si>
  <si>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</si>
  <si>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</si>
  <si>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</si>
  <si>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</si>
  <si>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</si>
  <si>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</si>
  <si>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</si>
  <si>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</si>
  <si>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</si>
  <si>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</si>
  <si>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</si>
  <si>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</si>
  <si>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</si>
  <si>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</si>
  <si>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</si>
  <si>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</si>
  <si>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</si>
  <si>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</si>
  <si>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</si>
  <si>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</si>
  <si>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</si>
  <si>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</si>
  <si>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</si>
  <si>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</si>
  <si>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</si>
  <si>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</si>
  <si>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</si>
  <si>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</si>
  <si>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</si>
  <si>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</si>
  <si>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</si>
  <si>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</si>
  <si>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</si>
  <si>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</si>
  <si>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</si>
  <si>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</si>
  <si>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</si>
  <si>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</si>
  <si>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</si>
  <si>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</si>
  <si>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</si>
  <si>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</si>
  <si>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</si>
  <si>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</si>
  <si>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</si>
  <si>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</si>
  <si>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</si>
  <si>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</si>
  <si>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</si>
  <si>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</si>
  <si>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</si>
  <si>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</si>
  <si>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</si>
  <si>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</si>
  <si>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</si>
  <si>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</si>
  <si>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</si>
  <si>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</si>
  <si>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</si>
  <si>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</si>
  <si>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</si>
  <si>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</si>
  <si>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</si>
  <si>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</si>
  <si>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</si>
  <si>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</si>
  <si>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</si>
  <si>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</si>
  <si>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</si>
  <si>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</si>
  <si>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</si>
  <si>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</si>
  <si>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</si>
  <si>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</si>
  <si>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</si>
  <si>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</si>
  <si>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</si>
  <si>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</si>
  <si>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</si>
  <si>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</si>
  <si>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</si>
  <si>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</si>
  <si>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</si>
  <si>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</si>
  <si>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</si>
  <si>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</si>
  <si>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</si>
  <si>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</si>
  <si>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</si>
  <si>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</si>
  <si>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</si>
  <si>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</si>
  <si>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</si>
  <si>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</si>
  <si>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</si>
  <si>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</si>
  <si>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</si>
  <si>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</si>
  <si>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</si>
  <si>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</si>
  <si>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</si>
  <si>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</si>
  <si>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</si>
  <si>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</si>
  <si>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</si>
  <si>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</si>
  <si>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</si>
  <si>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</si>
  <si>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</si>
  <si>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</si>
  <si>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</si>
  <si>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</si>
  <si>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</si>
  <si>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</si>
  <si>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</si>
  <si>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</si>
  <si>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</si>
  <si>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</si>
  <si>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</si>
  <si>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</si>
  <si>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</si>
  <si>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</si>
  <si>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</si>
  <si>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</si>
  <si>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</si>
  <si>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</si>
  <si>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</si>
  <si>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</si>
  <si>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</si>
  <si>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</si>
  <si>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</si>
  <si>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</si>
  <si>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</si>
  <si>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</si>
  <si>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</si>
  <si>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</si>
  <si>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</si>
  <si>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</si>
  <si>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</si>
  <si>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</si>
  <si>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</si>
  <si>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</si>
  <si>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</si>
  <si>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</si>
  <si>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</si>
  <si>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</si>
  <si>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</si>
  <si>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</si>
  <si>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</si>
  <si>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</si>
  <si>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</si>
  <si>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</si>
  <si>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</si>
  <si>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</si>
  <si>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</si>
  <si>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</si>
  <si>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</si>
  <si>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</si>
  <si>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</si>
  <si>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</si>
  <si>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</si>
  <si>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</si>
  <si>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</si>
  <si>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</si>
  <si>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</si>
  <si>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</si>
  <si>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</si>
  <si>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</si>
  <si>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</si>
  <si>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</si>
  <si>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</si>
  <si>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</si>
  <si>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</si>
  <si>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</si>
  <si>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</si>
  <si>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</si>
  <si>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</si>
  <si>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</si>
  <si>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</si>
  <si>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</si>
  <si>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</si>
  <si>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</si>
  <si>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</si>
  <si>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</si>
  <si>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</si>
  <si>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</si>
  <si>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</si>
  <si>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</si>
  <si>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</si>
  <si>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</si>
  <si>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</si>
  <si>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</si>
  <si>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</si>
  <si>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</si>
  <si>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</si>
  <si>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</si>
  <si>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</si>
  <si>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</si>
  <si>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</si>
  <si>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</si>
  <si>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</si>
  <si>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</si>
  <si>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</si>
  <si>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</si>
  <si>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</si>
  <si>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</si>
  <si>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</si>
  <si>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</si>
  <si>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</si>
  <si>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</si>
  <si>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</si>
  <si>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</si>
  <si>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</si>
  <si>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</si>
  <si>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</si>
  <si>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</si>
  <si>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</si>
  <si>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</si>
  <si>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</si>
  <si>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</si>
  <si>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</si>
  <si>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</si>
  <si>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</si>
  <si>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</si>
  <si>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</si>
  <si>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</si>
  <si>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</si>
  <si>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</si>
  <si>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</si>
  <si>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</si>
  <si>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</si>
  <si>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</si>
  <si>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</si>
  <si>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</si>
  <si>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</si>
  <si>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</si>
  <si>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</si>
  <si>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</si>
  <si>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</si>
  <si>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</si>
  <si>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</si>
  <si>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</si>
  <si>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</si>
  <si>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</si>
  <si>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</si>
  <si>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</si>
  <si>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</si>
  <si>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</si>
  <si>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</si>
  <si>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</si>
  <si>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</si>
  <si>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</si>
  <si>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</si>
  <si>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</si>
  <si>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</si>
  <si>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</si>
  <si>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</si>
  <si>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</si>
  <si>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</si>
  <si>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</si>
  <si>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</si>
  <si>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</si>
  <si>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</si>
  <si>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</si>
  <si>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</si>
  <si>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</si>
  <si>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</si>
  <si>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</si>
  <si>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</si>
  <si>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</si>
  <si>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</si>
  <si>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</si>
  <si>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</si>
  <si>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</si>
  <si>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</si>
  <si>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</si>
  <si>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</si>
  <si>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</si>
  <si>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</si>
  <si>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</si>
  <si>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</si>
  <si>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</si>
  <si>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</si>
  <si>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</si>
  <si>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</si>
  <si>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</si>
  <si>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</si>
  <si>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</si>
  <si>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</si>
  <si>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</si>
  <si>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</si>
  <si>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</si>
  <si>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</si>
  <si>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</si>
  <si>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</si>
  <si>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</si>
  <si>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</si>
  <si>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</si>
  <si>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</si>
  <si>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</si>
  <si>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</si>
  <si>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</si>
  <si>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</si>
  <si>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</si>
  <si>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</si>
  <si>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</si>
  <si>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</si>
  <si>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</si>
  <si>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</si>
  <si>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</si>
  <si>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</si>
  <si>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</si>
  <si>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</si>
  <si>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</si>
  <si>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</si>
  <si>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</si>
  <si>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</si>
  <si>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</si>
  <si>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</si>
  <si>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</si>
  <si>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</si>
  <si>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</si>
  <si>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</si>
  <si>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</si>
  <si>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</si>
  <si>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</si>
  <si>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</si>
  <si>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</si>
  <si>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</si>
  <si>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</si>
  <si>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</si>
  <si>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</si>
  <si>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</si>
  <si>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</si>
  <si>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</si>
  <si>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</si>
  <si>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</si>
  <si>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</si>
  <si>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</si>
  <si>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</si>
  <si>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</si>
  <si>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</si>
  <si>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</si>
  <si>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</si>
  <si>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</si>
  <si>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</si>
  <si>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</si>
  <si>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</si>
  <si>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</si>
  <si>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</si>
  <si>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</si>
  <si>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</si>
  <si>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</si>
  <si>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</si>
  <si>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</si>
  <si>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</si>
  <si>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</si>
  <si>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</si>
  <si>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</si>
  <si>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</si>
  <si>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</si>
  <si>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</si>
  <si>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</si>
  <si>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</si>
  <si>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</si>
  <si>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</si>
  <si>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</si>
  <si>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</si>
  <si>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</si>
  <si>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</si>
  <si>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</si>
  <si>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</si>
  <si>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</si>
  <si>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</si>
  <si>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</si>
  <si>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</si>
  <si>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</si>
  <si>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</si>
  <si>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</si>
  <si>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</si>
  <si>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</si>
  <si>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</si>
  <si>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</si>
  <si>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</si>
  <si>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</si>
  <si>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</si>
  <si>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</si>
  <si>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</si>
  <si>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</si>
  <si>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</si>
  <si>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</si>
  <si>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</si>
  <si>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</si>
  <si>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</si>
  <si>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</si>
  <si>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</si>
  <si>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</si>
  <si>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</si>
  <si>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</si>
  <si>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</si>
  <si>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</si>
  <si>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</si>
  <si>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</si>
  <si>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</si>
  <si>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</si>
  <si>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</si>
  <si>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</si>
  <si>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</si>
  <si>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</si>
  <si>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</si>
  <si>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</si>
  <si>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</si>
  <si>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</si>
  <si>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</si>
  <si>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</si>
  <si>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</si>
  <si>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</si>
  <si>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</si>
  <si>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</si>
  <si>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</si>
  <si>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</si>
  <si>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</si>
  <si>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</si>
  <si>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</si>
  <si>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</si>
  <si>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</si>
  <si>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</si>
  <si>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</si>
  <si>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</si>
  <si>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</si>
  <si>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</si>
  <si>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</si>
  <si>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</si>
  <si>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</si>
  <si>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</si>
  <si>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</si>
  <si>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</si>
  <si>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</si>
  <si>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</si>
  <si>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</si>
  <si>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</si>
  <si>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</si>
  <si>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</si>
  <si>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</si>
  <si>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</si>
  <si>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</si>
  <si>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</si>
  <si>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</si>
  <si>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</si>
  <si>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</si>
  <si>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</si>
  <si>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</si>
  <si>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</si>
  <si>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</si>
  <si>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</si>
  <si>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</si>
  <si>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</si>
  <si>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</si>
  <si>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</si>
  <si>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</si>
  <si>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</si>
  <si>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</si>
  <si>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</si>
  <si>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</si>
  <si>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</si>
  <si>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</si>
  <si>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</si>
  <si>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</si>
  <si>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</si>
  <si>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</si>
  <si>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</si>
  <si>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</si>
  <si>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</si>
  <si>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</si>
  <si>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</si>
  <si>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</si>
  <si>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</si>
  <si>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</si>
  <si>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</si>
  <si>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</si>
  <si>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</si>
  <si>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</si>
  <si>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</si>
  <si>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</si>
  <si>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</si>
  <si>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</si>
  <si>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</si>
  <si>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</si>
  <si>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</si>
  <si>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</si>
  <si>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</si>
  <si>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</si>
  <si>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</si>
  <si>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</si>
  <si>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</si>
  <si>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</si>
  <si>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</si>
  <si>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</si>
  <si>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</si>
  <si>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</si>
  <si>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</si>
  <si>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</si>
  <si>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</si>
  <si>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</si>
  <si>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</si>
  <si>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</si>
  <si>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</si>
  <si>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</si>
  <si>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</si>
  <si>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</si>
  <si>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</si>
  <si>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</si>
  <si>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</si>
  <si>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</si>
  <si>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</si>
  <si>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</si>
  <si>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</si>
  <si>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</si>
  <si>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</si>
  <si>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</si>
  <si>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</si>
  <si>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</si>
  <si>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</si>
  <si>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</si>
  <si>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</si>
  <si>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</si>
  <si>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</si>
  <si>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</si>
  <si>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</si>
  <si>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</si>
  <si>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</si>
  <si>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</si>
  <si>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</si>
  <si>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</si>
  <si>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</si>
  <si>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</si>
  <si>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</si>
  <si>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</si>
  <si>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</si>
  <si>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</si>
  <si>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</si>
  <si>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</si>
  <si>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</si>
  <si>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</si>
  <si>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</si>
  <si>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</si>
  <si>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</si>
  <si>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</si>
  <si>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</si>
  <si>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</si>
  <si>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</si>
  <si>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</si>
  <si>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</si>
  <si>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</si>
  <si>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</si>
  <si>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</si>
  <si>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</si>
  <si>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</si>
  <si>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</si>
  <si>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</si>
  <si>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</si>
  <si>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</si>
  <si>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</si>
  <si>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</si>
  <si>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</si>
  <si>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</si>
  <si>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</si>
  <si>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</si>
  <si>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</si>
  <si>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</si>
  <si>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</si>
  <si>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</si>
  <si>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</si>
  <si>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</si>
  <si>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</si>
  <si>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</si>
  <si>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</si>
  <si>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</si>
  <si>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</si>
  <si>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</si>
  <si>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</si>
  <si>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</si>
  <si>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</si>
  <si>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</si>
  <si>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</si>
  <si>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</si>
  <si>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</si>
  <si>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</si>
  <si>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</si>
  <si>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</si>
  <si>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</si>
  <si>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</si>
  <si>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</si>
  <si>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</si>
  <si>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</si>
  <si>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</si>
  <si>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</si>
  <si>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</si>
  <si>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</si>
  <si>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</si>
  <si>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</si>
  <si>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</si>
  <si>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</si>
  <si>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</si>
  <si>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</si>
  <si>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</si>
  <si>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</si>
  <si>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</si>
  <si>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</si>
  <si>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</si>
  <si>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</si>
  <si>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</si>
  <si>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</si>
  <si>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</si>
  <si>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</si>
  <si>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</si>
  <si>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</si>
  <si>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</si>
  <si>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</si>
  <si>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</si>
  <si>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</si>
  <si>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</si>
  <si>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</si>
  <si>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</si>
  <si>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</si>
  <si>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</si>
  <si>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</si>
  <si>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</si>
  <si>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</si>
  <si>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</si>
  <si>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</si>
  <si>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</si>
  <si>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</si>
  <si>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</si>
  <si>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</si>
  <si>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</si>
  <si>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</si>
  <si>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</si>
  <si>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</si>
  <si>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</si>
  <si>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</si>
  <si>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</si>
  <si>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</si>
  <si>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</si>
  <si>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</si>
  <si>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</si>
  <si>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</si>
  <si>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</si>
  <si>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</si>
  <si>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</si>
  <si>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</si>
  <si>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</si>
  <si>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</si>
  <si>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</si>
  <si>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</si>
  <si>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</si>
  <si>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</si>
  <si>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</si>
  <si>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</si>
  <si>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</si>
  <si>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</si>
  <si>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</si>
  <si>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</si>
  <si>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</si>
  <si>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</si>
  <si>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</si>
  <si>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</si>
  <si>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</si>
  <si>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</si>
  <si>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</si>
  <si>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</si>
  <si>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</si>
  <si>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</si>
  <si>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</si>
  <si>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</si>
  <si>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</si>
  <si>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</si>
  <si>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</si>
  <si>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</si>
  <si>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</si>
  <si>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</si>
  <si>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</si>
  <si>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</si>
  <si>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</si>
  <si>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</si>
  <si>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</si>
  <si>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</si>
  <si>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</si>
  <si>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</si>
  <si>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</si>
  <si>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</si>
  <si>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</si>
  <si>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</si>
  <si>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</si>
  <si>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</si>
  <si>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</si>
  <si>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</si>
  <si>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</si>
  <si>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</si>
  <si>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</si>
  <si>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</si>
  <si>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</si>
  <si>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</si>
  <si>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</si>
  <si>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</si>
  <si>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</si>
  <si>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</si>
  <si>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</si>
  <si>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</si>
  <si>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</si>
  <si>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</si>
  <si>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</si>
  <si>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</si>
  <si>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</si>
  <si>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</si>
  <si>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</si>
  <si>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</si>
  <si>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</si>
  <si>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</si>
  <si>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</si>
  <si>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</si>
  <si>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</si>
  <si>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</si>
  <si>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</si>
  <si>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</si>
  <si>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</si>
  <si>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</si>
  <si>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</si>
  <si>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</si>
  <si>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</si>
  <si>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</si>
  <si>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</si>
  <si>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</si>
  <si>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</si>
  <si>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</si>
  <si>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</si>
  <si>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</si>
  <si>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</si>
  <si>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</si>
  <si>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</si>
  <si>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</si>
  <si>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</si>
  <si>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</si>
  <si>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</si>
  <si>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</si>
  <si>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</si>
  <si>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</si>
  <si>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</si>
  <si>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</si>
  <si>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</si>
  <si>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</si>
  <si>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</si>
  <si>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</si>
  <si>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</si>
  <si>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</si>
  <si>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</si>
  <si>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</si>
  <si>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</si>
  <si>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</si>
  <si>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</si>
  <si>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</si>
  <si>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</si>
  <si>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</si>
  <si>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</si>
  <si>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</si>
  <si>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</si>
  <si>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</si>
  <si>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</si>
  <si>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</si>
  <si>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</si>
  <si>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</si>
  <si>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</si>
  <si>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</si>
  <si>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</si>
  <si>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</si>
  <si>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</si>
  <si>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</si>
  <si>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</si>
  <si>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</si>
  <si>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</si>
  <si>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</si>
  <si>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</si>
  <si>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</si>
  <si>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</si>
  <si>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</si>
  <si>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</si>
  <si>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</si>
  <si>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</si>
  <si>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</si>
  <si>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</si>
  <si>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</si>
  <si>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</si>
  <si>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</si>
  <si>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</si>
  <si>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</si>
  <si>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</si>
  <si>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</si>
  <si>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</si>
  <si>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</si>
  <si>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</si>
  <si>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</si>
  <si>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</si>
  <si>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</si>
  <si>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</si>
  <si>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</si>
  <si>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</si>
  <si>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</si>
  <si>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</si>
  <si>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</si>
  <si>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</si>
  <si>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</si>
  <si>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</si>
  <si>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</si>
  <si>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</si>
  <si>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</si>
  <si>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</si>
  <si>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</si>
  <si>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</si>
  <si>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</si>
  <si>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</si>
  <si>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</si>
  <si>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</si>
  <si>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</si>
  <si>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</si>
  <si>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</si>
  <si>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</si>
  <si>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</si>
  <si>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</si>
  <si>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</si>
  <si>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</si>
  <si>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</si>
  <si>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</si>
  <si>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</si>
  <si>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</si>
  <si>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</si>
  <si>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</si>
  <si>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</si>
  <si>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</si>
  <si>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</si>
  <si>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</si>
  <si>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</si>
  <si>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</si>
  <si>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</si>
  <si>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</si>
  <si>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</si>
  <si>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</si>
  <si>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</si>
  <si>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</si>
  <si>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</si>
  <si>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</si>
  <si>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</si>
  <si>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</si>
  <si>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</si>
  <si>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</si>
  <si>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</si>
  <si>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</si>
  <si>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</si>
  <si>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</si>
  <si>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</si>
  <si>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</si>
  <si>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</si>
  <si>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</si>
  <si>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</si>
  <si>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</si>
  <si>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</si>
  <si>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</si>
  <si>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</si>
  <si>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</si>
  <si>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</si>
  <si>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</si>
  <si>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</si>
  <si>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</si>
  <si>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</si>
  <si>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</si>
  <si>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</si>
  <si>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</si>
  <si>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</si>
  <si>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</si>
  <si>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</si>
  <si>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</si>
  <si>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</si>
  <si>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</si>
  <si>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</si>
  <si>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</si>
  <si>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</si>
  <si>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</si>
  <si>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</si>
  <si>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</si>
  <si>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</si>
  <si>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</si>
  <si>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</si>
  <si>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</si>
  <si>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</si>
  <si>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</si>
  <si>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</si>
  <si>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</si>
  <si>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</si>
  <si>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</si>
  <si>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</si>
  <si>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</si>
  <si>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</si>
  <si>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</si>
  <si>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</si>
  <si>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</si>
  <si>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</si>
  <si>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</si>
  <si>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</si>
  <si>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</si>
  <si>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</si>
  <si>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</si>
  <si>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</si>
  <si>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</si>
  <si>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</si>
  <si>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</si>
  <si>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</si>
  <si>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</si>
  <si>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</si>
  <si>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</si>
  <si>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</si>
  <si>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</si>
  <si>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</si>
  <si>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</si>
  <si>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</si>
  <si>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</si>
  <si>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</si>
  <si>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</si>
  <si>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</si>
  <si>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</si>
  <si>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</si>
  <si>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</si>
  <si>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</si>
  <si>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</si>
  <si>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</si>
  <si>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</si>
  <si>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</si>
  <si>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</si>
  <si>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</si>
  <si>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</si>
  <si>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</si>
  <si>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</si>
  <si>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</si>
  <si>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</si>
  <si>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</si>
  <si>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</si>
  <si>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</si>
  <si>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</si>
  <si>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</si>
  <si>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</si>
  <si>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</si>
  <si>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</si>
  <si>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</si>
  <si>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</si>
  <si>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</si>
  <si>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</si>
  <si>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</si>
  <si>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</si>
  <si>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</si>
  <si>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</si>
  <si>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</si>
  <si>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</si>
  <si>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</si>
  <si>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</si>
  <si>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</si>
  <si>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</si>
  <si>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</si>
  <si>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</si>
  <si>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</si>
  <si>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</si>
  <si>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</si>
  <si>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</si>
  <si>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</si>
  <si>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</si>
  <si>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</si>
  <si>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</si>
  <si>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</si>
  <si>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</si>
  <si>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</si>
  <si>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</si>
  <si>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</si>
  <si>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</si>
  <si>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</si>
  <si>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</si>
  <si>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</si>
  <si>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</si>
  <si>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</si>
  <si>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</si>
  <si>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</si>
  <si>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</si>
  <si>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</si>
  <si>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</si>
  <si>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</si>
  <si>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</si>
  <si>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</si>
  <si>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</si>
  <si>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</si>
  <si>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</si>
  <si>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</si>
  <si>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</si>
  <si>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</si>
  <si>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</si>
  <si>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</si>
  <si>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</si>
  <si>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</si>
  <si>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</si>
  <si>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</si>
  <si>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</si>
  <si>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</si>
  <si>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</si>
  <si>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</si>
  <si>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</si>
  <si>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</si>
  <si>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</si>
  <si>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</si>
  <si>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</si>
  <si>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</si>
  <si>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</si>
  <si>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</si>
  <si>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</si>
  <si>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</si>
  <si>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</si>
  <si>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</si>
  <si>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</si>
  <si>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</si>
  <si>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</si>
  <si>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</si>
  <si>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</si>
  <si>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</si>
  <si>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</si>
  <si>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</si>
  <si>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</si>
  <si>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</si>
  <si>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</si>
  <si>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</si>
  <si>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</si>
  <si>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</si>
  <si>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</si>
  <si>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</si>
  <si>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</si>
  <si>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</si>
  <si>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</si>
  <si>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</si>
  <si>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</si>
  <si>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</si>
  <si>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</si>
  <si>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</si>
  <si>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</si>
  <si>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</si>
  <si>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</si>
  <si>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</si>
  <si>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</si>
  <si>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</si>
  <si>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</si>
  <si>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</si>
  <si>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</si>
  <si>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</si>
  <si>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</si>
  <si>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</si>
  <si>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</si>
  <si>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</si>
  <si>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</si>
  <si>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</si>
  <si>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</si>
  <si>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</si>
  <si>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</si>
  <si>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</si>
  <si>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</si>
  <si>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</si>
  <si>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</si>
  <si>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</si>
  <si>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</si>
  <si>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</si>
  <si>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</si>
  <si>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</si>
  <si>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</si>
  <si>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</si>
  <si>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</si>
  <si>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</si>
  <si>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</si>
  <si>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</si>
  <si>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</si>
  <si>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</si>
  <si>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</si>
  <si>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</si>
  <si>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</si>
  <si>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</si>
  <si>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</si>
  <si>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</si>
  <si>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</si>
  <si>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</si>
  <si>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</si>
  <si>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</si>
  <si>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</si>
  <si>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</si>
  <si>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</si>
  <si>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</si>
  <si>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</si>
  <si>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</si>
  <si>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</si>
  <si>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</si>
  <si>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</si>
  <si>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</si>
  <si>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</si>
  <si>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</si>
  <si>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</si>
  <si>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</si>
  <si>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</si>
  <si>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</si>
  <si>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</si>
  <si>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</si>
  <si>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</si>
  <si>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</si>
  <si>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</si>
  <si>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</si>
  <si>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</si>
  <si>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</si>
  <si>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</si>
  <si>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</si>
  <si>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</si>
  <si>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</si>
  <si>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</si>
  <si>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</si>
  <si>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</si>
  <si>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</si>
  <si>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</si>
  <si>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</si>
  <si>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</si>
  <si>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</si>
  <si>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</si>
  <si>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</si>
  <si>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</si>
  <si>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</si>
  <si>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</si>
  <si>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</si>
  <si>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</si>
  <si>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</si>
  <si>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</si>
  <si>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</si>
  <si>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</si>
  <si>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</si>
  <si>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</si>
  <si>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</si>
  <si>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</si>
  <si>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</si>
  <si>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</si>
  <si>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</si>
  <si>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</si>
  <si>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</si>
  <si>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</si>
  <si>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</si>
  <si>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</si>
  <si>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</si>
  <si>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</si>
  <si>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</si>
  <si>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</si>
  <si>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</si>
  <si>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</si>
  <si>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</si>
  <si>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</si>
  <si>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</si>
  <si>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</si>
  <si>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</si>
  <si>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</si>
  <si>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</si>
  <si>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</si>
  <si>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</si>
  <si>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</si>
  <si>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</si>
  <si>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</si>
  <si>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</si>
  <si>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</si>
  <si>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</si>
  <si>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</si>
  <si>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</si>
  <si>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</si>
  <si>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</si>
  <si>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</si>
  <si>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</si>
  <si>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</si>
  <si>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</si>
  <si>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</si>
  <si>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</si>
  <si>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</si>
  <si>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</si>
  <si>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</si>
  <si>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</si>
  <si>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</si>
  <si>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</si>
  <si>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</si>
  <si>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</si>
  <si>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</si>
  <si>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</si>
  <si>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</si>
  <si>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</si>
  <si>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</si>
  <si>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</si>
  <si>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</si>
  <si>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</si>
  <si>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</si>
  <si>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</si>
  <si>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</si>
  <si>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</si>
  <si>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</si>
  <si>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</si>
  <si>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</si>
  <si>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</si>
  <si>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</si>
  <si>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</si>
  <si>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</si>
  <si>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</si>
  <si>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</si>
  <si>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</si>
  <si>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</si>
  <si>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</si>
  <si>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</si>
  <si>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</si>
  <si>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</si>
  <si>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</si>
  <si>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</si>
  <si>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</si>
  <si>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</si>
  <si>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</si>
  <si>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</si>
  <si>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</si>
  <si>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</si>
  <si>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</si>
  <si>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</si>
  <si>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</si>
  <si>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</si>
  <si>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</si>
  <si>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</si>
  <si>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</si>
  <si>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</si>
  <si>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</si>
  <si>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</si>
  <si>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</si>
  <si>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</si>
  <si>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</si>
  <si>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</si>
  <si>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</si>
  <si>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</si>
  <si>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</si>
  <si>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</si>
  <si>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</si>
  <si>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</si>
  <si>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</si>
  <si>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</si>
  <si>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</si>
  <si>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</si>
  <si>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</si>
  <si>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</si>
  <si>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</si>
  <si>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</si>
  <si>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</si>
  <si>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</si>
  <si>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</si>
  <si>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</si>
  <si>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</si>
  <si>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</si>
  <si>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</si>
  <si>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</si>
  <si>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</si>
  <si>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</si>
  <si>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</si>
  <si>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</si>
  <si>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</si>
  <si>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</si>
  <si>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</si>
  <si>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</si>
  <si>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</si>
  <si>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</si>
  <si>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</si>
  <si>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</si>
  <si>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</si>
  <si>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</si>
  <si>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</si>
  <si>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</si>
  <si>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</si>
  <si>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</si>
  <si>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</si>
  <si>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</si>
  <si>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</si>
  <si>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</si>
  <si>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</si>
  <si>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</si>
  <si>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</si>
  <si>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</si>
  <si>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</si>
  <si>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</si>
  <si>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</si>
  <si>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</si>
  <si>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</si>
  <si>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</si>
  <si>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</si>
  <si>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</si>
  <si>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</si>
  <si>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</si>
  <si>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</si>
  <si>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</si>
  <si>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</si>
  <si>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</si>
  <si>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</si>
  <si>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</si>
  <si>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</si>
  <si>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</si>
  <si>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</si>
  <si>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</si>
  <si>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</si>
  <si>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</si>
  <si>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</si>
  <si>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</si>
  <si>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</si>
  <si>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</si>
  <si>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</si>
  <si>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</si>
  <si>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</si>
  <si>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</si>
  <si>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</si>
  <si>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</si>
  <si>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</si>
  <si>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</si>
  <si>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</si>
  <si>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</si>
  <si>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</si>
  <si>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</si>
  <si>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</si>
  <si>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</si>
  <si>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</si>
  <si>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</si>
  <si>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</si>
  <si>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</si>
  <si>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</si>
  <si>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</si>
  <si>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</si>
  <si>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</si>
  <si>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</si>
  <si>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</si>
  <si>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</si>
  <si>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</si>
  <si>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</si>
  <si>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</si>
  <si>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</si>
  <si>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</si>
  <si>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</si>
  <si>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</si>
  <si>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</si>
  <si>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</si>
  <si>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</si>
  <si>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</si>
  <si>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</si>
  <si>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</si>
  <si>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</si>
  <si>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</si>
  <si>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</si>
  <si>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</si>
  <si>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</si>
  <si>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</si>
  <si>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</si>
  <si>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</si>
  <si>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</si>
  <si>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</si>
  <si>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</si>
  <si>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</si>
  <si>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</si>
  <si>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</si>
  <si>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</si>
  <si>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</si>
  <si>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</si>
  <si>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</si>
  <si>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</si>
  <si>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</si>
  <si>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</si>
  <si>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</si>
  <si>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</si>
  <si>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</si>
  <si>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</si>
  <si>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</si>
  <si>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</si>
  <si>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</si>
  <si>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</si>
  <si>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</si>
  <si>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</si>
  <si>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</si>
  <si>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</si>
  <si>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</si>
  <si>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</si>
  <si>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</si>
  <si>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</si>
  <si>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</si>
  <si>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</si>
  <si>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</si>
  <si>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</si>
  <si>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</si>
  <si>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</si>
  <si>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</si>
  <si>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</si>
  <si>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</si>
  <si>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</si>
  <si>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</si>
  <si>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</si>
  <si>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</si>
  <si>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</si>
  <si>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</si>
  <si>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</si>
  <si>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</si>
  <si>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</si>
  <si>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</si>
  <si>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</si>
  <si>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</si>
  <si>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</si>
  <si>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</si>
  <si>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</si>
  <si>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</si>
  <si>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</si>
  <si>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</si>
  <si>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</si>
  <si>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</si>
  <si>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</si>
  <si>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</si>
  <si>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</si>
  <si>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</si>
  <si>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</si>
  <si>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</si>
  <si>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</si>
  <si>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</si>
  <si>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</si>
  <si>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</si>
  <si>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</si>
  <si>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</si>
  <si>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</si>
  <si>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</si>
  <si>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</si>
  <si>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</si>
  <si>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</si>
  <si>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</si>
  <si>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</si>
  <si>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</si>
  <si>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</si>
  <si>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</si>
  <si>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</si>
  <si>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</si>
  <si>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</si>
  <si>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</si>
  <si>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</si>
  <si>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</si>
  <si>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</si>
  <si>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</si>
  <si>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</si>
  <si>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</si>
  <si>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</si>
  <si>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</si>
  <si>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</si>
  <si>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</si>
  <si>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</si>
  <si>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</si>
  <si>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</si>
  <si>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</si>
  <si>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</si>
  <si>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</si>
  <si>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</si>
  <si>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</si>
  <si>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</si>
  <si>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</si>
  <si>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</si>
  <si>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</si>
  <si>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</si>
  <si>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</si>
  <si>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</si>
  <si>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</si>
  <si>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</si>
  <si>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</si>
  <si>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</si>
  <si>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</si>
  <si>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</si>
  <si>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</si>
  <si>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</si>
  <si>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</si>
  <si>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</si>
  <si>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</si>
  <si>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</si>
  <si>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</si>
  <si>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</si>
  <si>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</si>
  <si>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</si>
  <si>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</si>
  <si>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</si>
  <si>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</si>
  <si>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</si>
  <si>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</si>
  <si>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</si>
  <si>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</si>
  <si>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</si>
  <si>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</si>
  <si>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</si>
  <si>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</si>
  <si>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</si>
  <si>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</si>
  <si>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</si>
  <si>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</si>
  <si>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</si>
  <si>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</si>
  <si>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</si>
  <si>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</si>
  <si>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</si>
  <si>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</si>
  <si>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</si>
  <si>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</si>
  <si>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</si>
  <si>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</si>
  <si>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</si>
  <si>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</si>
  <si>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</si>
  <si>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</si>
  <si>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</si>
  <si>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</si>
  <si>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</si>
  <si>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</si>
  <si>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</si>
  <si>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</si>
  <si>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</si>
  <si>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</si>
  <si>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</si>
  <si>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</si>
  <si>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</si>
  <si>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</si>
  <si>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</si>
  <si>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</si>
  <si>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</si>
  <si>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</si>
  <si>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</si>
  <si>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</si>
  <si>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</si>
  <si>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</si>
  <si>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</si>
  <si>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</si>
  <si>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</si>
  <si>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</si>
  <si>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</si>
  <si>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</si>
  <si>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</si>
  <si>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</si>
  <si>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</si>
  <si>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</si>
  <si>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</si>
  <si>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</si>
  <si>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</si>
  <si>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</si>
  <si>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</si>
  <si>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</si>
  <si>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</si>
  <si>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</si>
  <si>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</si>
  <si>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</si>
  <si>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</si>
  <si>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</si>
  <si>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</si>
  <si>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</si>
  <si>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</si>
  <si>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</si>
  <si>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</si>
  <si>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</si>
  <si>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</si>
  <si>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</si>
  <si>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</si>
  <si>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</si>
  <si>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</si>
  <si>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</si>
  <si>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</si>
  <si>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</si>
  <si>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</si>
  <si>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</si>
  <si>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</si>
  <si>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</si>
  <si>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</si>
  <si>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</si>
  <si>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</si>
  <si>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</si>
  <si>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</si>
  <si>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</si>
  <si>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</si>
  <si>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</si>
  <si>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</si>
  <si>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</si>
  <si>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</si>
  <si>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</si>
  <si>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</si>
  <si>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</si>
  <si>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</si>
  <si>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</si>
  <si>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</si>
  <si>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</si>
  <si>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</si>
  <si>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</si>
  <si>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</si>
  <si>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</si>
  <si>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</si>
  <si>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</si>
  <si>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</si>
  <si>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</si>
  <si>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</si>
  <si>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</si>
  <si>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</si>
  <si>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</si>
  <si>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</si>
  <si>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</si>
  <si>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</si>
  <si>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</si>
  <si>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</si>
  <si>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</si>
  <si>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</si>
  <si>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</si>
  <si>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</si>
  <si>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</si>
  <si>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</si>
  <si>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</si>
  <si>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</si>
  <si>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</si>
  <si>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</si>
  <si>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</si>
  <si>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</si>
  <si>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</si>
  <si>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</si>
  <si>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</si>
  <si>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</si>
  <si>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</si>
  <si>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</si>
  <si>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</si>
  <si>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</si>
  <si>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</si>
  <si>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</si>
  <si>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</si>
  <si>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</si>
  <si>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</si>
  <si>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</si>
  <si>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</si>
  <si>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</si>
  <si>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</si>
  <si>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</si>
  <si>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</si>
  <si>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</si>
  <si>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</si>
  <si>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</si>
  <si>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</si>
  <si>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</si>
  <si>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</si>
  <si>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</si>
  <si>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</si>
  <si>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</si>
  <si>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</si>
  <si>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</si>
  <si>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</si>
  <si>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</si>
  <si>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</si>
  <si>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</si>
  <si>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</si>
  <si>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</si>
  <si>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</si>
  <si>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</si>
  <si>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</si>
  <si>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</si>
  <si>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</si>
  <si>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</si>
  <si>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</si>
  <si>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</si>
  <si>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</si>
  <si>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</si>
  <si>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</si>
  <si>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</si>
  <si>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</si>
  <si>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</si>
  <si>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</si>
  <si>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</si>
  <si>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</si>
  <si>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</si>
  <si>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</si>
  <si>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</si>
  <si>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</si>
  <si>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</si>
  <si>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</si>
  <si>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</si>
  <si>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</si>
  <si>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</si>
  <si>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</si>
  <si>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</si>
  <si>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</si>
  <si>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</si>
  <si>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</si>
  <si>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</si>
  <si>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</si>
  <si>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</si>
  <si>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</si>
  <si>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</si>
  <si>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</si>
  <si>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</si>
  <si>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</si>
  <si>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</si>
  <si>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</si>
  <si>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</si>
  <si>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</si>
  <si>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</si>
  <si>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</si>
  <si>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</si>
  <si>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</si>
  <si>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</si>
  <si>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</si>
  <si>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</si>
  <si>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</si>
  <si>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</si>
  <si>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</si>
  <si>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</si>
  <si>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</si>
  <si>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</si>
  <si>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</si>
  <si>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</si>
  <si>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</si>
  <si>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</si>
  <si>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</si>
  <si>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</si>
  <si>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</si>
  <si>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</si>
  <si>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</si>
  <si>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</si>
  <si>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</si>
  <si>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</si>
  <si>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</si>
  <si>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</si>
  <si>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</si>
  <si>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</si>
  <si>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</si>
  <si>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</si>
  <si>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</si>
  <si>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</si>
  <si>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</si>
  <si>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</si>
  <si>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</si>
  <si>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</si>
  <si>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</si>
  <si>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</si>
  <si>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</si>
  <si>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</si>
  <si>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</si>
  <si>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</si>
  <si>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</si>
  <si>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</si>
  <si>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</si>
  <si>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</si>
  <si>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</si>
  <si>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</si>
  <si>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</si>
  <si>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</si>
  <si>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</si>
  <si>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</si>
  <si>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</si>
  <si>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</si>
  <si>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</si>
  <si>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</si>
  <si>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</si>
  <si>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</si>
  <si>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</si>
  <si>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</si>
  <si>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</si>
  <si>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</si>
  <si>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</si>
  <si>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</si>
  <si>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</si>
  <si>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</si>
  <si>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</si>
  <si>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</si>
  <si>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</si>
  <si>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</si>
  <si>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</si>
  <si>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</si>
  <si>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</si>
  <si>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</si>
  <si>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</si>
  <si>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</si>
  <si>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</si>
  <si>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</si>
  <si>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</si>
  <si>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</si>
  <si>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</si>
  <si>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</si>
  <si>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</si>
  <si>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</si>
  <si>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</si>
  <si>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</si>
  <si>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</si>
  <si>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</si>
  <si>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</si>
  <si>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</si>
  <si>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</si>
  <si>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</si>
  <si>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</si>
  <si>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</si>
  <si>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</si>
  <si>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</si>
  <si>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</si>
  <si>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</si>
  <si>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</si>
  <si>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</si>
  <si>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</si>
  <si>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</si>
  <si>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</si>
  <si>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</si>
  <si>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</si>
  <si>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</si>
  <si>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</si>
  <si>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</si>
  <si>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</si>
  <si>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</si>
  <si>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</si>
  <si>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</si>
  <si>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</si>
  <si>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</si>
  <si>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</si>
  <si>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</si>
  <si>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</si>
  <si>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</si>
  <si>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</si>
  <si>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</si>
  <si>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</si>
  <si>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</si>
  <si>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</si>
  <si>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</si>
  <si>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</si>
  <si>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</si>
  <si>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</si>
  <si>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</si>
  <si>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</si>
  <si>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</si>
  <si>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</si>
  <si>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</si>
  <si>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</si>
  <si>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</si>
  <si>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</si>
  <si>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</si>
  <si>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</si>
  <si>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</si>
  <si>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</si>
  <si>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</si>
  <si>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</si>
  <si>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</si>
  <si>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</si>
  <si>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</si>
  <si>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</si>
  <si>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</si>
  <si>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</si>
  <si>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</si>
  <si>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</si>
  <si>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</si>
  <si>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</si>
  <si>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</si>
  <si>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</si>
  <si>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</si>
  <si>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</si>
  <si>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</si>
  <si>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</si>
  <si>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</si>
  <si>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</si>
  <si>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</si>
  <si>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</si>
  <si>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</si>
  <si>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</si>
  <si>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</si>
  <si>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</si>
  <si>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</si>
  <si>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</si>
  <si>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</si>
  <si>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</si>
  <si>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</si>
  <si>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</si>
  <si>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</si>
  <si>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</si>
  <si>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</si>
  <si>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</si>
  <si>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</si>
  <si>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</si>
  <si>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</si>
  <si>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</si>
  <si>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</si>
  <si>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</si>
  <si>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</si>
  <si>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</si>
  <si>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</si>
  <si>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</si>
  <si>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</si>
  <si>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</si>
  <si>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</si>
  <si>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</si>
  <si>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</si>
  <si>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</si>
  <si>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</si>
  <si>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</si>
  <si>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</si>
  <si>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</si>
  <si>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</si>
  <si>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</si>
  <si>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</si>
  <si>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</si>
  <si>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</si>
  <si>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</si>
  <si>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</si>
  <si>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</si>
  <si>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</si>
  <si>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</si>
  <si>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</si>
  <si>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</si>
  <si>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</si>
  <si>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</si>
  <si>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</si>
  <si>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</si>
  <si>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</si>
  <si>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</si>
  <si>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</si>
  <si>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</si>
  <si>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</si>
  <si>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</si>
  <si>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</si>
  <si>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</si>
  <si>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</si>
  <si>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</si>
  <si>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</si>
  <si>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</si>
  <si>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</si>
  <si>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</si>
  <si>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</si>
  <si>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</si>
  <si>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</si>
  <si>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</si>
  <si>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</si>
  <si>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</si>
  <si>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</si>
  <si>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</si>
  <si>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</si>
  <si>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</si>
  <si>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</si>
  <si>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</si>
  <si>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</si>
  <si>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</si>
  <si>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</si>
  <si>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</si>
  <si>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</si>
  <si>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</si>
  <si>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</si>
  <si>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</si>
  <si>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</si>
  <si>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</si>
  <si>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</si>
  <si>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</si>
  <si>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</si>
  <si>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</si>
  <si>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</si>
  <si>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</si>
  <si>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</si>
  <si>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</si>
  <si>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</si>
  <si>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</si>
  <si>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</si>
  <si>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</si>
  <si>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</si>
  <si>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</si>
  <si>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</si>
  <si>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</si>
  <si>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</si>
  <si>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</si>
  <si>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</si>
  <si>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</si>
  <si>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</si>
  <si>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</si>
  <si>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</si>
  <si>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</si>
  <si>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</si>
  <si>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</si>
  <si>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</si>
  <si>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</si>
  <si>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</si>
  <si>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</si>
  <si>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</si>
  <si>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</si>
  <si>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</si>
  <si>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</si>
  <si>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</si>
  <si>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</si>
  <si>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</si>
  <si>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</si>
  <si>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</si>
  <si>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</si>
  <si>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</si>
  <si>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</si>
  <si>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</si>
  <si>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</si>
  <si>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</si>
  <si>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</si>
  <si>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</si>
  <si>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</si>
  <si>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</si>
  <si>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</si>
  <si>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</si>
  <si>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</si>
  <si>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</si>
  <si>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</si>
  <si>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</si>
  <si>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</si>
  <si>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</si>
  <si>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</si>
  <si>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</si>
  <si>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</si>
  <si>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</si>
  <si>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</si>
  <si>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</si>
  <si>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</si>
  <si>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</si>
  <si>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</si>
  <si>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</si>
  <si>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</si>
  <si>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</si>
  <si>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</si>
  <si>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</si>
  <si>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</si>
  <si>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</si>
  <si>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</si>
  <si>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</si>
  <si>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</si>
  <si>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</si>
  <si>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</si>
  <si>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</si>
  <si>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</si>
  <si>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</si>
  <si>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</si>
  <si>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</si>
  <si>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</si>
  <si>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</si>
  <si>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</si>
  <si>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</si>
  <si>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</si>
  <si>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</si>
  <si>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</si>
  <si>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</si>
  <si>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</si>
  <si>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</si>
  <si>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</si>
  <si>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</si>
  <si>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</si>
  <si>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</si>
  <si>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</si>
  <si>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</si>
  <si>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</si>
  <si>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</si>
  <si>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</si>
  <si>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</si>
  <si>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</si>
  <si>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</si>
  <si>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</si>
  <si>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</si>
  <si>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</si>
  <si>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</si>
  <si>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</si>
  <si>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</si>
  <si>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</si>
  <si>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</si>
  <si>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</si>
  <si>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</si>
  <si>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</si>
  <si>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</si>
  <si>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</si>
  <si>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</si>
  <si>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</si>
  <si>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</si>
  <si>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</si>
  <si>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</si>
  <si>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</si>
  <si>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</si>
  <si>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</si>
  <si>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</si>
  <si>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</si>
  <si>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</si>
  <si>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</si>
  <si>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</si>
  <si>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</si>
  <si>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</si>
  <si>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</si>
  <si>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</si>
  <si>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</si>
  <si>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</si>
  <si>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</si>
  <si>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</si>
  <si>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</si>
  <si>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</si>
  <si>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</si>
  <si>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</si>
  <si>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</si>
  <si>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</si>
  <si>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</si>
  <si>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</si>
  <si>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</si>
  <si>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</si>
  <si>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</si>
  <si>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</si>
  <si>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</si>
  <si>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</si>
  <si>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</si>
  <si>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</si>
  <si>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</si>
  <si>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</si>
  <si>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</si>
  <si>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</si>
  <si>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</si>
  <si>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</si>
  <si>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</si>
  <si>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</si>
  <si>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</si>
  <si>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</si>
  <si>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</si>
  <si>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</si>
  <si>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</si>
  <si>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</si>
  <si>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</si>
  <si>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</si>
  <si>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</si>
  <si>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</si>
  <si>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</si>
  <si>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</si>
  <si>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</si>
  <si>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</si>
  <si>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</si>
  <si>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</si>
  <si>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</si>
  <si>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</si>
  <si>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</si>
  <si>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</si>
  <si>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</si>
  <si>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</si>
  <si>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</si>
  <si>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</si>
  <si>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</si>
  <si>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</si>
  <si>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</si>
  <si>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</si>
  <si>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</si>
  <si>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</si>
  <si>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</si>
  <si>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</si>
  <si>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</si>
  <si>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</si>
  <si>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</si>
  <si>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</si>
  <si>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</si>
  <si>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</si>
  <si>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</si>
  <si>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</si>
  <si>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</si>
  <si>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</si>
  <si>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</si>
  <si>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</si>
  <si>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</si>
  <si>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</si>
  <si>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</si>
  <si>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</si>
  <si>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</si>
  <si>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</si>
  <si>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</si>
  <si>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</si>
  <si>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</si>
  <si>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</si>
  <si>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</si>
  <si>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</si>
  <si>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</si>
  <si>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</si>
  <si>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</si>
  <si>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</si>
  <si>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</si>
  <si>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</si>
  <si>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</si>
  <si>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</si>
  <si>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</si>
  <si>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</si>
  <si>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</si>
  <si>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</si>
  <si>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</si>
  <si>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</si>
  <si>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</si>
  <si>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</si>
  <si>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</si>
  <si>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</si>
  <si>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</si>
  <si>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</si>
  <si>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</si>
  <si>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</si>
  <si>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</si>
  <si>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</si>
  <si>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</si>
  <si>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</si>
  <si>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</si>
  <si>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</si>
  <si>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</si>
  <si>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</si>
  <si>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</si>
  <si>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</si>
  <si>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</si>
  <si>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</si>
  <si>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</si>
  <si>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</si>
  <si>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</si>
  <si>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</si>
  <si>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</si>
  <si>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</si>
  <si>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</si>
  <si>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</si>
  <si>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</si>
  <si>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</si>
  <si>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</si>
  <si>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</si>
  <si>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</si>
  <si>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</si>
  <si>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</si>
  <si>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</si>
  <si>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</si>
  <si>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</si>
  <si>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</si>
  <si>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</si>
  <si>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</si>
  <si>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</si>
  <si>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</si>
  <si>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</si>
  <si>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</si>
  <si>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</si>
  <si>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</si>
  <si>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</si>
  <si>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</si>
  <si>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</si>
  <si>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</si>
  <si>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</si>
  <si>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</si>
  <si>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</si>
  <si>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</si>
  <si>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</si>
  <si>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</si>
  <si>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</si>
  <si>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</si>
  <si>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</si>
  <si>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</si>
  <si>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</si>
  <si>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</si>
  <si>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</si>
  <si>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</si>
  <si>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</si>
  <si>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</si>
  <si>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</si>
  <si>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</si>
  <si>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</si>
  <si>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</si>
  <si>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</si>
  <si>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</si>
  <si>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</si>
  <si>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</si>
  <si>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</si>
  <si>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</si>
  <si>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</si>
  <si>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</si>
  <si>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</si>
  <si>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</si>
  <si>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</si>
  <si>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</si>
  <si>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</si>
  <si>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</si>
  <si>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</si>
  <si>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</si>
  <si>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</si>
  <si>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</si>
  <si>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</si>
  <si>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</si>
  <si>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</si>
  <si>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</si>
  <si>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</si>
  <si>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</si>
  <si>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</si>
  <si>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</si>
  <si>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</si>
  <si>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</si>
  <si>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</si>
  <si>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</si>
  <si>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</si>
  <si>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</si>
  <si>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</si>
  <si>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</si>
  <si>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</si>
  <si>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</si>
  <si>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</si>
  <si>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</si>
  <si>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</si>
  <si>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</si>
  <si>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</si>
  <si>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</si>
  <si>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</si>
  <si>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</si>
  <si>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</si>
  <si>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</si>
  <si>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</si>
  <si>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</si>
  <si>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</si>
  <si>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</si>
  <si>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</si>
  <si>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</si>
  <si>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</si>
  <si>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</si>
  <si>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</si>
  <si>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</si>
  <si>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</si>
  <si>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</si>
  <si>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</si>
  <si>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</si>
  <si>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</si>
  <si>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</si>
  <si>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</si>
  <si>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</si>
  <si>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</si>
  <si>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</si>
  <si>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</si>
  <si>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</si>
  <si>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</si>
  <si>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</si>
  <si>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</si>
  <si>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</si>
  <si>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</si>
  <si>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</si>
  <si>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</si>
  <si>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</si>
  <si>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</si>
  <si>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</si>
  <si>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</si>
  <si>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</si>
  <si>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</si>
  <si>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</si>
  <si>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</si>
  <si>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</si>
  <si>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</si>
  <si>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</si>
  <si>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</si>
  <si>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</si>
  <si>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</si>
  <si>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</si>
  <si>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</si>
  <si>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</si>
  <si>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</si>
  <si>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</si>
  <si>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</si>
  <si>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</si>
  <si>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</si>
  <si>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</si>
  <si>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</si>
  <si>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</si>
  <si>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</si>
  <si>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</si>
  <si>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</si>
  <si>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</si>
  <si>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</si>
  <si>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</si>
  <si>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</si>
  <si>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</si>
  <si>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</si>
  <si>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</si>
  <si>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</si>
  <si>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</si>
  <si>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</si>
  <si>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</si>
  <si>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</si>
  <si>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</si>
  <si>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</si>
  <si>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</si>
  <si>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</si>
  <si>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</si>
  <si>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</si>
  <si>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</si>
  <si>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</si>
  <si>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</si>
  <si>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</si>
  <si>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</si>
  <si>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</si>
  <si>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</si>
  <si>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</si>
  <si>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</si>
  <si>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</si>
  <si>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</si>
  <si>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</si>
  <si>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</si>
  <si>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</si>
  <si>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</si>
  <si>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</si>
  <si>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</si>
  <si>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</si>
  <si>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</si>
  <si>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</si>
  <si>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</si>
  <si>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</si>
  <si>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</si>
  <si>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</si>
  <si>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</si>
  <si>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</si>
  <si>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</si>
  <si>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</si>
  <si>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</si>
  <si>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</si>
  <si>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</si>
  <si>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</si>
  <si>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</si>
  <si>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</si>
  <si>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</si>
  <si>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</si>
  <si>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</si>
  <si>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</si>
  <si>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</si>
  <si>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</si>
  <si>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</si>
  <si>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</si>
  <si>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</si>
  <si>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</si>
  <si>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</si>
  <si>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</si>
  <si>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</si>
  <si>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</si>
  <si>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</si>
  <si>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</si>
  <si>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</si>
  <si>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</si>
  <si>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</si>
  <si>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</si>
  <si>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</si>
  <si>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</si>
  <si>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</si>
  <si>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</si>
  <si>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</si>
  <si>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</si>
  <si>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</si>
  <si>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</si>
  <si>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</si>
  <si>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</si>
  <si>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</si>
  <si>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</si>
  <si>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</si>
  <si>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</si>
  <si>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</si>
  <si>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</si>
  <si>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</si>
  <si>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</si>
  <si>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</si>
  <si>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</si>
  <si>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</si>
  <si>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</si>
  <si>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</si>
  <si>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</si>
  <si>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</si>
  <si>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</si>
  <si>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</si>
  <si>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</si>
  <si>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</si>
  <si>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</si>
  <si>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</si>
  <si>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</si>
  <si>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</si>
  <si>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</si>
  <si>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</si>
  <si>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</si>
  <si>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</si>
  <si>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</si>
  <si>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</si>
  <si>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</si>
  <si>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</si>
  <si>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</si>
  <si>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</si>
  <si>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</si>
  <si>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</si>
  <si>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</si>
  <si>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</si>
  <si>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</si>
  <si>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</si>
  <si>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</si>
  <si>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</si>
  <si>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</si>
  <si>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</si>
  <si>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</si>
  <si>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</si>
  <si>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</si>
  <si>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</si>
  <si>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</si>
  <si>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</si>
  <si>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</si>
  <si>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</si>
  <si>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</si>
  <si>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</si>
  <si>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</si>
  <si>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</si>
  <si>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</si>
  <si>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</si>
  <si>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</si>
  <si>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</si>
  <si>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</si>
  <si>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</si>
  <si>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</si>
  <si>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</si>
  <si>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</si>
  <si>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</si>
  <si>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</si>
  <si>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</si>
  <si>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</si>
  <si>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</si>
  <si>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</si>
  <si>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</si>
  <si>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</si>
  <si>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</si>
  <si>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</si>
  <si>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</si>
  <si>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</si>
  <si>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</si>
  <si>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</si>
  <si>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</si>
  <si>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</si>
  <si>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</si>
  <si>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</si>
  <si>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</si>
  <si>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</si>
  <si>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</si>
  <si>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</si>
  <si>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</si>
  <si>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</si>
  <si>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</si>
  <si>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</si>
  <si>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</si>
  <si>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</si>
  <si>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</si>
  <si>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</si>
  <si>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</si>
  <si>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</si>
  <si>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</si>
  <si>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</si>
  <si>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</si>
  <si>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</si>
  <si>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</si>
  <si>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</si>
  <si>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</si>
  <si>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</si>
  <si>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</si>
  <si>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</si>
  <si>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</si>
  <si>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</si>
  <si>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</si>
  <si>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</si>
  <si>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</si>
  <si>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</si>
  <si>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</si>
  <si>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</si>
  <si>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</si>
  <si>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</si>
  <si>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</si>
  <si>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</si>
  <si>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</si>
  <si>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</si>
  <si>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</si>
  <si>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</si>
  <si>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</si>
  <si>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</si>
  <si>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</si>
  <si>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</si>
  <si>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</si>
  <si>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</si>
  <si>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</si>
  <si>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</si>
  <si>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</si>
  <si>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</si>
  <si>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</si>
  <si>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</si>
  <si>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</si>
  <si>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</si>
  <si>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</si>
  <si>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</si>
  <si>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</si>
  <si>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</si>
  <si>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</si>
  <si>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</si>
  <si>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</si>
  <si>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</si>
  <si>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</si>
  <si>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</si>
  <si>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</si>
  <si>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</si>
  <si>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</si>
  <si>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</si>
  <si>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</si>
  <si>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</si>
  <si>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</si>
  <si>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</si>
  <si>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</si>
  <si>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</si>
  <si>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</si>
  <si>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</si>
  <si>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</si>
  <si>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</si>
  <si>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</si>
  <si>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</si>
  <si>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</si>
  <si>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</si>
  <si>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</si>
  <si>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</si>
  <si>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</si>
  <si>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</si>
  <si>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</si>
  <si>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</si>
  <si>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</si>
  <si>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</si>
  <si>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</si>
  <si>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</si>
  <si>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</si>
  <si>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</si>
  <si>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</si>
  <si>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</si>
  <si>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</si>
  <si>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</si>
  <si>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</si>
  <si>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</si>
  <si>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</si>
  <si>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</si>
  <si>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</si>
  <si>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</si>
  <si>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</si>
  <si>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</si>
  <si>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</si>
  <si>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</si>
  <si>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</si>
  <si>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</si>
  <si>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</si>
  <si>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</si>
  <si>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</si>
  <si>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</si>
  <si>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</si>
  <si>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</si>
  <si>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</si>
  <si>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</si>
  <si>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</si>
  <si>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</si>
  <si>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</si>
  <si>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</si>
  <si>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</si>
  <si>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</si>
  <si>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</si>
  <si>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</si>
  <si>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</si>
  <si>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</si>
  <si>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</si>
  <si>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</si>
  <si>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</si>
  <si>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</si>
  <si>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</si>
  <si>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</si>
  <si>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</si>
  <si>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</si>
  <si>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</si>
  <si>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</si>
  <si>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</si>
  <si>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</si>
  <si>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</si>
  <si>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</si>
  <si>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</si>
  <si>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</si>
  <si>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</si>
  <si>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</si>
  <si>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</si>
  <si>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</si>
  <si>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</si>
  <si>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</si>
  <si>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</si>
  <si>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</si>
  <si>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</si>
  <si>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</si>
  <si>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</si>
  <si>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</si>
  <si>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</si>
  <si>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</si>
  <si>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</si>
  <si>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</si>
  <si>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</si>
  <si>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</si>
  <si>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</si>
  <si>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</si>
  <si>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</si>
  <si>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</si>
  <si>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</si>
  <si>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</si>
  <si>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</si>
  <si>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</si>
  <si>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</si>
  <si>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</si>
  <si>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</si>
  <si>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</si>
  <si>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</si>
  <si>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</si>
  <si>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</si>
  <si>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</si>
  <si>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</si>
  <si>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</si>
  <si>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</si>
  <si>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</si>
  <si>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</si>
  <si>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</si>
  <si>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</si>
  <si>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</si>
  <si>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</si>
  <si>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</si>
  <si>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</si>
  <si>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</si>
  <si>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</si>
  <si>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</si>
  <si>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</si>
  <si>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</si>
  <si>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</si>
  <si>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</si>
  <si>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</si>
  <si>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</si>
  <si>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</si>
  <si>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</si>
  <si>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</si>
  <si>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</si>
  <si>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</si>
  <si>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</si>
  <si>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</si>
  <si>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</si>
  <si>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</si>
  <si>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</si>
  <si>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</si>
  <si>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</si>
  <si>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</si>
  <si>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</si>
  <si>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</si>
  <si>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</si>
  <si>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</si>
  <si>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</si>
  <si>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</si>
  <si>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</si>
  <si>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</si>
  <si>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</si>
  <si>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</si>
  <si>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</si>
  <si>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</si>
  <si>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</si>
  <si>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</si>
  <si>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</si>
  <si>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</si>
  <si>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</si>
  <si>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</si>
  <si>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</si>
  <si>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</si>
  <si>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</si>
  <si>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</si>
  <si>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</si>
  <si>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</si>
  <si>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</si>
  <si>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</si>
  <si>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</si>
  <si>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</si>
  <si>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</si>
  <si>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</si>
  <si>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</si>
  <si>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</si>
  <si>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</si>
  <si>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</si>
  <si>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</si>
  <si>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</si>
  <si>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</si>
  <si>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</si>
  <si>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</si>
  <si>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</si>
  <si>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</si>
  <si>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</si>
  <si>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</si>
  <si>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</si>
  <si>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</si>
  <si>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</si>
  <si>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</si>
  <si>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</si>
  <si>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</si>
  <si>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</si>
  <si>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</si>
  <si>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</si>
  <si>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</si>
  <si>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</si>
  <si>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</si>
  <si>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</si>
  <si>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</si>
  <si>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</si>
  <si>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</si>
  <si>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</si>
  <si>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</si>
  <si>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</si>
  <si>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</si>
  <si>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</si>
  <si>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</si>
  <si>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</si>
  <si>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</si>
  <si>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</si>
  <si>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</si>
  <si>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</si>
  <si>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</si>
  <si>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</si>
  <si>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</si>
  <si>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</si>
  <si>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</si>
  <si>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</si>
  <si>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</si>
  <si>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</si>
  <si>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</si>
  <si>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</si>
  <si>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</si>
  <si>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</si>
  <si>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</si>
  <si>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</si>
  <si>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</si>
  <si>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</si>
  <si>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</si>
  <si>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</si>
  <si>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</si>
  <si>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</si>
  <si>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</si>
  <si>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</si>
  <si>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</si>
  <si>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</si>
  <si>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</si>
  <si>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</si>
  <si>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</si>
  <si>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</si>
  <si>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</si>
  <si>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</si>
  <si>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</si>
  <si>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</si>
  <si>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</si>
  <si>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</si>
  <si>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</si>
  <si>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</si>
  <si>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</si>
  <si>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</si>
  <si>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</si>
  <si>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</si>
  <si>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</si>
  <si>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</si>
  <si>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</si>
  <si>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</si>
  <si>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</si>
  <si>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</si>
  <si>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</si>
  <si>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</si>
  <si>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</si>
  <si>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</si>
  <si>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</si>
  <si>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</si>
  <si>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</si>
  <si>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</si>
  <si>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</si>
  <si>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</si>
  <si>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</si>
  <si>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</si>
  <si>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</si>
  <si>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</si>
  <si>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</si>
  <si>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</si>
  <si>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</si>
  <si>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</si>
  <si>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</si>
  <si>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</si>
  <si>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</si>
  <si>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</si>
  <si>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</si>
  <si>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</si>
  <si>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</si>
  <si>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</si>
  <si>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</si>
  <si>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</si>
  <si>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</si>
  <si>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</si>
  <si>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</si>
  <si>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</si>
  <si>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</si>
  <si>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</si>
  <si>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</si>
  <si>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</si>
  <si>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</si>
  <si>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</si>
  <si>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</si>
  <si>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</si>
  <si>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</si>
  <si>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</si>
  <si>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</si>
  <si>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</si>
  <si>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</si>
  <si>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</si>
  <si>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</si>
  <si>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</si>
  <si>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</si>
  <si>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</si>
  <si>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</si>
  <si>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</si>
  <si>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</si>
  <si>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</si>
  <si>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</si>
  <si>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</si>
  <si>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</si>
  <si>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</si>
  <si>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</si>
  <si>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</si>
  <si>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</si>
  <si>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</si>
  <si>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</si>
  <si>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</si>
  <si>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</si>
  <si>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</si>
  <si>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</si>
  <si>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</si>
  <si>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</si>
  <si>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</si>
  <si>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</si>
  <si>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</si>
  <si>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</si>
  <si>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</si>
  <si>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</si>
  <si>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</si>
  <si>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</si>
  <si>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</si>
  <si>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</si>
  <si>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</si>
  <si>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</si>
  <si>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</si>
  <si>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</si>
  <si>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</si>
  <si>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</si>
  <si>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</si>
  <si>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</si>
  <si>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</si>
  <si>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</si>
  <si>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</si>
  <si>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</si>
  <si>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</si>
  <si>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</si>
  <si>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</si>
  <si>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</si>
  <si>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</si>
  <si>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</si>
  <si>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</si>
  <si>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</si>
  <si>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</si>
  <si>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</si>
  <si>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</si>
  <si>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</si>
  <si>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</si>
  <si>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</si>
  <si>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</si>
  <si>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</si>
  <si>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</si>
  <si>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</si>
  <si>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</si>
  <si>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</si>
  <si>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</si>
  <si>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</si>
  <si>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</si>
  <si>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</si>
  <si>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</si>
  <si>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</si>
  <si>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</si>
  <si>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</si>
  <si>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</si>
  <si>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</si>
  <si>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</si>
  <si>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</si>
  <si>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</si>
  <si>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</si>
  <si>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</si>
  <si>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</si>
  <si>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</si>
  <si>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</si>
  <si>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</si>
  <si>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</si>
  <si>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</si>
  <si>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</si>
  <si>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</si>
  <si>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</si>
  <si>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</si>
  <si>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</si>
  <si>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</si>
  <si>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</si>
  <si>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</si>
  <si>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</si>
  <si>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</si>
  <si>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</si>
  <si>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</si>
  <si>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</si>
  <si>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</si>
  <si>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</si>
  <si>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</si>
  <si>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</si>
  <si>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</si>
  <si>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</si>
  <si>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</si>
  <si>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</si>
  <si>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</si>
  <si>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</si>
  <si>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</si>
  <si>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</si>
  <si>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</si>
  <si>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</si>
  <si>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</si>
  <si>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</si>
  <si>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</si>
  <si>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</si>
  <si>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</si>
  <si>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</si>
  <si>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</si>
  <si>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</si>
  <si>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</si>
  <si>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</si>
  <si>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</si>
  <si>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</si>
  <si>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</si>
  <si>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</si>
  <si>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</si>
  <si>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</si>
  <si>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</si>
  <si>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</si>
  <si>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</si>
  <si>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</si>
  <si>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</si>
  <si>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</si>
  <si>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</si>
  <si>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</si>
  <si>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</si>
  <si>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</si>
  <si>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</si>
  <si>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</si>
  <si>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</si>
  <si>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</si>
  <si>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</si>
  <si>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</si>
  <si>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</si>
  <si>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</si>
  <si>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</si>
  <si>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</si>
  <si>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</si>
  <si>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</si>
  <si>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</si>
  <si>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</si>
  <si>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</si>
  <si>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</si>
  <si>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</si>
  <si>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</si>
  <si>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</si>
  <si>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</si>
  <si>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</si>
  <si>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</si>
  <si>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</si>
  <si>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</si>
  <si>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</si>
  <si>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</si>
  <si>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</si>
  <si>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</si>
  <si>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</si>
  <si>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</si>
  <si>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</si>
  <si>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</si>
  <si>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</si>
  <si>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</si>
  <si>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</si>
  <si>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</si>
  <si>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</si>
  <si>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</si>
  <si>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</si>
  <si>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</si>
  <si>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</si>
  <si>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</si>
  <si>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</si>
  <si>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</si>
  <si>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</si>
  <si>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</si>
  <si>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</si>
  <si>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</si>
  <si>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</si>
  <si>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</si>
  <si>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</si>
  <si>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</si>
  <si>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</si>
  <si>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</si>
  <si>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</si>
  <si>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</si>
  <si>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</si>
  <si>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</si>
  <si>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</si>
  <si>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</si>
  <si>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</si>
  <si>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</si>
  <si>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</si>
  <si>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</si>
  <si>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</si>
  <si>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</si>
  <si>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</si>
  <si>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</si>
  <si>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</si>
  <si>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</si>
  <si>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</si>
  <si>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</si>
  <si>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</si>
  <si>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</si>
  <si>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</si>
  <si>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</si>
  <si>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</si>
  <si>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</si>
  <si>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</si>
  <si>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</si>
  <si>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</si>
  <si>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</si>
  <si>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</si>
  <si>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</si>
  <si>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</si>
  <si>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</si>
  <si>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</si>
  <si>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</si>
  <si>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</si>
  <si>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</si>
  <si>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</si>
  <si>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</si>
  <si>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</si>
  <si>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</si>
  <si>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</si>
  <si>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</si>
  <si>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</si>
  <si>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</si>
  <si>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</si>
  <si>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</si>
  <si>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</si>
  <si>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</si>
  <si>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</si>
  <si>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</si>
  <si>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</si>
  <si>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</si>
  <si>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</si>
  <si>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</si>
  <si>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</si>
  <si>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</si>
  <si>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</si>
  <si>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</si>
  <si>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</si>
  <si>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</si>
  <si>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</si>
  <si>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</si>
  <si>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</si>
  <si>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</si>
  <si>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</si>
  <si>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</si>
  <si>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</si>
  <si>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</si>
  <si>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</si>
  <si>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</si>
  <si>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</si>
  <si>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</si>
  <si>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</si>
  <si>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</si>
  <si>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</si>
  <si>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</si>
  <si>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</si>
  <si>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</si>
  <si>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</si>
  <si>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</si>
  <si>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</si>
  <si>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</si>
  <si>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</si>
  <si>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</si>
  <si>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</si>
  <si>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</si>
  <si>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</si>
  <si>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</si>
  <si>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</si>
  <si>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</si>
  <si>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</si>
  <si>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</si>
  <si>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</si>
  <si>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</si>
  <si>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</si>
  <si>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</si>
  <si>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</si>
  <si>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</si>
  <si>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</si>
  <si>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</si>
  <si>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</si>
  <si>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</si>
  <si>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</si>
  <si>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</si>
  <si>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</si>
  <si>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</si>
  <si>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</si>
  <si>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</si>
  <si>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</si>
  <si>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</si>
  <si>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</si>
  <si>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</si>
  <si>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</si>
  <si>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</si>
  <si>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</si>
  <si>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</si>
  <si>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</si>
  <si>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</si>
  <si>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</si>
  <si>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</si>
  <si>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</si>
  <si>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</si>
  <si>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</si>
  <si>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</si>
  <si>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</si>
  <si>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</si>
  <si>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</si>
  <si>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</si>
  <si>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</si>
  <si>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</si>
  <si>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</si>
  <si>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</si>
  <si>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</si>
  <si>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</si>
  <si>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</si>
  <si>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</si>
  <si>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</si>
  <si>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</si>
  <si>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</si>
  <si>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</si>
  <si>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</si>
  <si>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</si>
  <si>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</si>
  <si>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</si>
  <si>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</si>
  <si>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</si>
  <si>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</si>
  <si>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</si>
  <si>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</si>
  <si>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</si>
  <si>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</si>
  <si>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</si>
  <si>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</si>
  <si>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</si>
  <si>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</si>
  <si>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</si>
  <si>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</si>
  <si>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</si>
  <si>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</si>
  <si>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</si>
  <si>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</si>
  <si>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</si>
  <si>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</si>
  <si>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</si>
  <si>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</si>
  <si>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</si>
  <si>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</si>
  <si>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</si>
  <si>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</si>
  <si>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</si>
  <si>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</si>
  <si>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</si>
  <si>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</si>
  <si>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</si>
  <si>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</si>
  <si>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</si>
  <si>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</si>
  <si>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</si>
  <si>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</si>
  <si>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</si>
  <si>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</si>
  <si>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</si>
  <si>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</si>
  <si>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</si>
  <si>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</si>
  <si>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</si>
  <si>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</si>
  <si>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</si>
  <si>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</si>
  <si>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</si>
  <si>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</si>
  <si>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</si>
  <si>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</si>
  <si>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</si>
  <si>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</si>
  <si>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</si>
  <si>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</si>
  <si>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</si>
  <si>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</si>
  <si>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</si>
  <si>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</si>
  <si>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</si>
  <si>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</si>
  <si>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</si>
  <si>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</si>
  <si>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</si>
  <si>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</si>
  <si>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</si>
  <si>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</si>
  <si>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</si>
  <si>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</si>
  <si>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</si>
  <si>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</si>
  <si>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</si>
  <si>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</si>
  <si>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</si>
  <si>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</si>
  <si>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</si>
  <si>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</si>
  <si>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</si>
  <si>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</si>
  <si>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</si>
  <si>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</si>
  <si>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</si>
  <si>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</si>
  <si>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</si>
  <si>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</si>
  <si>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</si>
  <si>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</si>
  <si>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</si>
  <si>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</si>
  <si>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</si>
  <si>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</si>
  <si>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</si>
  <si>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</si>
  <si>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</si>
  <si>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</si>
  <si>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</si>
  <si>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</si>
  <si>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</si>
  <si>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</si>
  <si>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</si>
  <si>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</si>
  <si>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</si>
  <si>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</si>
  <si>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</si>
  <si>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</si>
  <si>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</si>
  <si>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</si>
  <si>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</si>
  <si>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</si>
  <si>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</si>
  <si>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</si>
  <si>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</si>
  <si>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</si>
  <si>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</si>
  <si>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</si>
  <si>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</si>
  <si>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</si>
  <si>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</si>
  <si>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</si>
  <si>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</si>
  <si>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</si>
  <si>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</si>
  <si>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</si>
  <si>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</si>
  <si>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</si>
  <si>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</si>
  <si>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</si>
  <si>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</si>
  <si>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</si>
  <si>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</si>
  <si>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</si>
  <si>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</si>
  <si>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</si>
  <si>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</si>
  <si>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</si>
  <si>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</si>
  <si>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</si>
  <si>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</si>
  <si>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</si>
  <si>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</si>
  <si>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</si>
  <si>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</si>
  <si>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</si>
  <si>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</si>
  <si>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</si>
  <si>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</si>
  <si>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</si>
  <si>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</si>
  <si>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</si>
  <si>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</si>
  <si>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</si>
  <si>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</si>
  <si>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</si>
  <si>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</si>
  <si>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</si>
  <si>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</si>
  <si>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</si>
  <si>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</si>
  <si>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</si>
  <si>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</si>
  <si>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</si>
  <si>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</si>
  <si>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</si>
  <si>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</si>
  <si>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</si>
  <si>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</si>
  <si>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</si>
  <si>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</si>
  <si>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</si>
  <si>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</si>
  <si>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</si>
  <si>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</si>
  <si>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</si>
  <si>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</si>
  <si>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</si>
  <si>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</si>
  <si>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</si>
  <si>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</si>
  <si>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</si>
  <si>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</si>
  <si>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</si>
  <si>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</si>
  <si>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</si>
  <si>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</si>
  <si>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</si>
  <si>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</si>
  <si>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</si>
  <si>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</si>
  <si>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</si>
  <si>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</si>
  <si>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</si>
  <si>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</si>
  <si>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</si>
  <si>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</si>
  <si>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</si>
  <si>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</si>
  <si>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</si>
  <si>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</si>
  <si>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</si>
  <si>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</si>
  <si>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</si>
  <si>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</si>
  <si>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</si>
  <si>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</si>
  <si>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</si>
  <si>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</si>
  <si>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</si>
  <si>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</si>
  <si>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</si>
  <si>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</si>
  <si>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</si>
  <si>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</si>
  <si>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</si>
  <si>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</si>
  <si>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</si>
  <si>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</si>
  <si>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</si>
  <si>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</si>
  <si>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</si>
  <si>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</si>
  <si>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</si>
  <si>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</si>
  <si>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</si>
  <si>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</si>
  <si>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</si>
  <si>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</si>
  <si>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</si>
  <si>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</si>
  <si>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</si>
  <si>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</si>
  <si>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</si>
  <si>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</si>
  <si>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</si>
  <si>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</si>
  <si>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</si>
  <si>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</si>
  <si>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</si>
  <si>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</si>
  <si>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</si>
  <si>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</si>
  <si>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</si>
  <si>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</si>
  <si>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</si>
  <si>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</si>
  <si>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</si>
  <si>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</si>
  <si>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</si>
  <si>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</si>
  <si>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</si>
  <si>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</si>
  <si>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</si>
  <si>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</si>
  <si>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</si>
  <si>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</si>
  <si>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</si>
  <si>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</si>
  <si>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</si>
  <si>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</si>
  <si>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</si>
  <si>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</si>
  <si>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</si>
  <si>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</si>
  <si>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</si>
  <si>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</si>
  <si>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</si>
  <si>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</si>
  <si>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</si>
  <si>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</si>
  <si>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</si>
  <si>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</si>
  <si>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</si>
  <si>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</si>
  <si>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</si>
  <si>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</si>
  <si>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</si>
  <si>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</si>
  <si>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</si>
  <si>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</si>
  <si>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</si>
  <si>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</si>
  <si>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</si>
  <si>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</si>
  <si>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</si>
  <si>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</si>
  <si>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</si>
  <si>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</si>
  <si>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</si>
  <si>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</si>
  <si>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</si>
  <si>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</si>
  <si>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</si>
  <si>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</si>
  <si>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</si>
  <si>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</si>
  <si>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</si>
  <si>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</si>
  <si>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</si>
  <si>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</si>
  <si>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</si>
  <si>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</si>
  <si>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</si>
  <si>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</si>
  <si>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</si>
  <si>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</si>
  <si>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</si>
  <si>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</si>
  <si>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</si>
  <si>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</si>
  <si>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</si>
  <si>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</si>
  <si>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</si>
  <si>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</si>
  <si>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</si>
  <si>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</si>
  <si>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</si>
  <si>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</si>
  <si>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</si>
  <si>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</si>
  <si>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</si>
  <si>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</si>
  <si>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</si>
  <si>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</si>
  <si>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</si>
  <si>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</si>
  <si>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</si>
  <si>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</si>
  <si>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</si>
  <si>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</si>
  <si>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</si>
  <si>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</si>
  <si>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</si>
  <si>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</si>
  <si>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</si>
  <si>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</si>
  <si>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</si>
  <si>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</si>
  <si>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</si>
  <si>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</si>
  <si>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</si>
  <si>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</si>
  <si>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</si>
  <si>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</si>
  <si>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</si>
  <si>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</si>
  <si>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</si>
  <si>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</si>
  <si>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</si>
  <si>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</si>
  <si>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</si>
  <si>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</si>
  <si>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</si>
  <si>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</si>
  <si>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</si>
  <si>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</si>
  <si>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</si>
  <si>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</si>
  <si>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</si>
  <si>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</si>
  <si>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</si>
  <si>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</si>
  <si>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</si>
  <si>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</si>
  <si>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</si>
  <si>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</si>
  <si>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</si>
  <si>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</si>
  <si>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</si>
  <si>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</si>
  <si>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</si>
  <si>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</si>
  <si>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</si>
  <si>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</si>
  <si>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</si>
  <si>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</si>
  <si>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</si>
  <si>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</si>
  <si>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</si>
  <si>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</si>
  <si>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</si>
  <si>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</si>
  <si>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</si>
  <si>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</si>
  <si>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</si>
  <si>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</si>
  <si>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</si>
  <si>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</si>
  <si>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</si>
  <si>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</si>
  <si>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</si>
  <si>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</si>
  <si>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</si>
  <si>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</si>
  <si>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</si>
  <si>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</si>
  <si>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</si>
  <si>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</si>
  <si>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</si>
  <si>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</si>
  <si>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</si>
  <si>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</si>
  <si>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</si>
  <si>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</si>
  <si>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</si>
  <si>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</si>
  <si>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</si>
  <si>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</si>
  <si>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</si>
  <si>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</si>
  <si>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</si>
  <si>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</si>
  <si>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</si>
  <si>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</si>
  <si>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</si>
  <si>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</si>
  <si>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</si>
  <si>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</si>
  <si>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</si>
  <si>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</si>
  <si>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</si>
  <si>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</si>
  <si>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</si>
  <si>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</si>
  <si>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</si>
  <si>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</si>
  <si>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</si>
  <si>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</si>
  <si>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</si>
  <si>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</si>
  <si>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</si>
  <si>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</si>
  <si>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</si>
  <si>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</si>
  <si>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</si>
  <si>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</si>
  <si>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</si>
  <si>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</si>
  <si>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</si>
  <si>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</si>
  <si>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</si>
  <si>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</si>
  <si>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</si>
  <si>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</si>
  <si>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</si>
  <si>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</si>
  <si>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</si>
  <si>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</si>
  <si>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</si>
  <si>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</si>
  <si>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</si>
  <si>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</si>
  <si>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</si>
  <si>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</si>
  <si>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</si>
  <si>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</si>
  <si>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</si>
  <si>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</si>
  <si>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</si>
  <si>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</si>
  <si>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</si>
  <si>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</si>
  <si>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</si>
  <si>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</si>
  <si>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</si>
  <si>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</si>
  <si>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</si>
  <si>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</si>
  <si>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</si>
  <si>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</si>
  <si>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</si>
  <si>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</si>
  <si>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</si>
  <si>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</si>
  <si>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</si>
  <si>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</si>
  <si>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</si>
  <si>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</si>
  <si>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</si>
  <si>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</si>
  <si>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</si>
  <si>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</si>
  <si>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</si>
  <si>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</si>
  <si>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</si>
  <si>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</si>
  <si>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</si>
  <si>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</si>
  <si>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</si>
  <si>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</si>
  <si>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</si>
  <si>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</si>
  <si>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</si>
  <si>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</si>
  <si>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</si>
  <si>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</si>
  <si>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</si>
  <si>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</si>
  <si>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</si>
  <si>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</si>
  <si>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</si>
  <si>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</si>
  <si>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</si>
  <si>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</si>
  <si>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</si>
  <si>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</si>
  <si>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</si>
  <si>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</si>
  <si>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</si>
  <si>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</si>
  <si>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</si>
  <si>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</si>
  <si>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</si>
  <si>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</si>
  <si>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</si>
  <si>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</si>
  <si>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</si>
  <si>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</si>
  <si>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</si>
  <si>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</si>
  <si>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</si>
  <si>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</si>
  <si>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</si>
  <si>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</si>
  <si>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</si>
  <si>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</si>
  <si>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</si>
  <si>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</si>
  <si>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</si>
  <si>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</si>
  <si>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</si>
  <si>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</si>
  <si>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</si>
  <si>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</si>
  <si>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</si>
  <si>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</si>
  <si>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</si>
  <si>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</si>
  <si>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</si>
  <si>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</si>
  <si>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</si>
  <si>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</si>
  <si>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</si>
  <si>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</si>
  <si>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</si>
  <si>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</si>
  <si>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</si>
  <si>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</si>
  <si>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</si>
  <si>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</si>
  <si>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</si>
  <si>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</si>
  <si>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</si>
  <si>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</si>
  <si>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</si>
  <si>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</si>
  <si>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</si>
  <si>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</si>
  <si>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</si>
  <si>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</si>
  <si>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</si>
  <si>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</si>
  <si>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</si>
  <si>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</si>
  <si>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</si>
  <si>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</si>
  <si>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</si>
  <si>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</si>
  <si>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</si>
  <si>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</si>
  <si>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</si>
  <si>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</si>
  <si>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</si>
  <si>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</si>
  <si>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</si>
  <si>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</si>
  <si>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</si>
  <si>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</si>
  <si>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</si>
  <si>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</si>
  <si>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</si>
  <si>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</si>
  <si>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</si>
  <si>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</si>
  <si>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</si>
  <si>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</si>
  <si>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</si>
  <si>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</si>
  <si>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</si>
  <si>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</si>
  <si>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</si>
  <si>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</si>
  <si>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</si>
  <si>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</si>
  <si>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</si>
  <si>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</si>
  <si>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</si>
  <si>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</si>
  <si>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</si>
  <si>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</si>
  <si>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</si>
  <si>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</si>
  <si>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</si>
  <si>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</si>
  <si>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</si>
  <si>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</si>
  <si>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</si>
  <si>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</si>
  <si>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</si>
  <si>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</si>
  <si>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</si>
  <si>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</si>
  <si>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</si>
  <si>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</si>
  <si>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</si>
  <si>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</si>
  <si>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</si>
  <si>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</si>
  <si>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</si>
  <si>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</si>
  <si>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</si>
  <si>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</si>
  <si>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</si>
  <si>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</si>
  <si>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</si>
  <si>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</si>
  <si>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</si>
  <si>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</si>
  <si>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</si>
  <si>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</si>
  <si>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</si>
  <si>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</si>
  <si>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</si>
  <si>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</si>
  <si>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</si>
  <si>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</si>
  <si>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</si>
  <si>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</si>
  <si>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</si>
  <si>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</si>
  <si>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</si>
  <si>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</si>
  <si>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</si>
  <si>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</si>
  <si>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</si>
  <si>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</si>
  <si>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</si>
  <si>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</si>
  <si>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</si>
  <si>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</si>
  <si>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</si>
  <si>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</si>
  <si>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</si>
  <si>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</si>
  <si>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</si>
  <si>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</si>
  <si>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</si>
  <si>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</si>
  <si>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</si>
  <si>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</si>
  <si>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</si>
  <si>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</si>
  <si>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</si>
  <si>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</si>
  <si>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</si>
  <si>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</si>
  <si>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</si>
  <si>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</si>
  <si>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</si>
  <si>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</si>
  <si>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</si>
  <si>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</si>
  <si>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</si>
  <si>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</si>
  <si>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</si>
  <si>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</si>
  <si>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</si>
  <si>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</si>
  <si>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</si>
  <si>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</si>
  <si>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</si>
  <si>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</si>
  <si>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</si>
  <si>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</si>
  <si>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</si>
  <si>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</si>
  <si>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</si>
  <si>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</si>
  <si>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</si>
  <si>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</si>
  <si>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</si>
  <si>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</si>
  <si>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</si>
  <si>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</si>
  <si>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</si>
  <si>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</si>
  <si>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</si>
  <si>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</si>
  <si>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</si>
  <si>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</si>
  <si>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</si>
  <si>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</si>
  <si>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</si>
  <si>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</si>
  <si>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</si>
  <si>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</si>
  <si>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</si>
  <si>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</si>
  <si>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</si>
  <si>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</si>
  <si>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</si>
  <si>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</si>
  <si>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</si>
  <si>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</si>
  <si>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</si>
  <si>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</si>
  <si>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</si>
  <si>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</si>
  <si>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</si>
  <si>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</si>
  <si>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</si>
  <si>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</si>
  <si>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</si>
  <si>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</si>
  <si>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</si>
  <si>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</si>
  <si>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</si>
  <si>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</si>
  <si>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</si>
  <si>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</si>
  <si>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</si>
  <si>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</si>
  <si>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</si>
  <si>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</si>
  <si>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</si>
  <si>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</si>
  <si>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</si>
  <si>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</si>
  <si>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</si>
  <si>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</si>
  <si>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</si>
  <si>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</si>
  <si>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</si>
  <si>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</si>
  <si>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</si>
  <si>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</si>
  <si>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</si>
  <si>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</si>
  <si>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</si>
  <si>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</si>
  <si>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</si>
  <si>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</si>
  <si>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</si>
  <si>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</si>
  <si>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</si>
  <si>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</si>
  <si>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</si>
  <si>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</si>
  <si>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</si>
  <si>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</si>
  <si>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</si>
  <si>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</si>
  <si>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</si>
  <si>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</si>
  <si>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</si>
  <si>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</si>
  <si>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</si>
  <si>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</si>
  <si>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</si>
  <si>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</si>
  <si>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</si>
  <si>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</si>
  <si>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</si>
  <si>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</si>
  <si>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</si>
  <si>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</si>
  <si>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</si>
  <si>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</si>
  <si>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</si>
  <si>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</si>
  <si>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</si>
  <si>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</si>
  <si>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</si>
  <si>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</si>
  <si>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</si>
  <si>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</si>
  <si>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</si>
  <si>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</si>
  <si>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</si>
  <si>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</si>
  <si>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</si>
  <si>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</si>
  <si>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</si>
  <si>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</si>
  <si>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</si>
  <si>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</si>
  <si>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</si>
  <si>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</si>
  <si>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</si>
  <si>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</si>
  <si>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</si>
  <si>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</si>
  <si>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</si>
  <si>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</si>
  <si>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</si>
  <si>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</si>
  <si>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</si>
  <si>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</si>
  <si>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</si>
  <si>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</si>
  <si>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</si>
  <si>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</si>
  <si>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</si>
  <si>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</si>
  <si>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</si>
  <si>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</si>
  <si>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</si>
  <si>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</si>
  <si>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</si>
  <si>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</si>
  <si>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</si>
  <si>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</si>
  <si>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</si>
  <si>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</si>
  <si>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</si>
  <si>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</si>
  <si>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</si>
  <si>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</si>
  <si>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</si>
  <si>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</si>
  <si>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</si>
  <si>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</si>
  <si>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</si>
  <si>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</si>
  <si>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</si>
  <si>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</si>
  <si>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</si>
  <si>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</si>
  <si>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</si>
  <si>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</si>
  <si>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</si>
  <si>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</si>
  <si>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</si>
  <si>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</si>
  <si>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</si>
  <si>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</si>
  <si>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</si>
  <si>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</si>
  <si>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</si>
  <si>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</si>
  <si>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</si>
  <si>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</si>
  <si>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</si>
  <si>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</si>
  <si>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</si>
  <si>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</si>
  <si>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</si>
  <si>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</si>
  <si>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</si>
  <si>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</si>
  <si>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</si>
  <si>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</si>
  <si>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</si>
  <si>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</si>
  <si>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</si>
  <si>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</si>
  <si>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</si>
  <si>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</si>
  <si>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</si>
  <si>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</si>
  <si>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</si>
  <si>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</si>
  <si>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</si>
  <si>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</si>
  <si>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</si>
  <si>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</si>
  <si>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</si>
  <si>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</si>
  <si>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</si>
  <si>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</si>
  <si>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</si>
  <si>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</si>
  <si>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</si>
  <si>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</si>
  <si>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</si>
  <si>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</si>
  <si>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</si>
  <si>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</si>
  <si>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</si>
  <si>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</si>
  <si>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</si>
  <si>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</si>
  <si>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</si>
  <si>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</si>
  <si>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</si>
  <si>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</si>
  <si>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</si>
  <si>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</si>
  <si>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</si>
  <si>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</si>
  <si>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</si>
  <si>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</si>
  <si>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</si>
  <si>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</si>
  <si>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</si>
  <si>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</si>
  <si>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</si>
  <si>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</si>
  <si>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</si>
  <si>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</si>
  <si>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</si>
  <si>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</si>
  <si>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</si>
  <si>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</si>
  <si>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</si>
  <si>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</si>
  <si>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</si>
  <si>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</si>
  <si>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</si>
  <si>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</si>
  <si>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</si>
  <si>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</si>
  <si>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</si>
  <si>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</si>
  <si>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</si>
  <si>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</si>
  <si>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</si>
  <si>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</si>
  <si>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</si>
  <si>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</si>
  <si>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</si>
  <si>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</si>
  <si>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</si>
  <si>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</si>
  <si>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</si>
  <si>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</si>
  <si>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</si>
  <si>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</si>
  <si>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</si>
  <si>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</si>
  <si>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</si>
  <si>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</si>
  <si>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</si>
  <si>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</si>
  <si>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</si>
  <si>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</si>
  <si>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</si>
  <si>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</si>
  <si>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</si>
  <si>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</si>
  <si>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</si>
  <si>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</si>
  <si>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</si>
  <si>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</si>
  <si>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</si>
  <si>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</si>
  <si>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</si>
  <si>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</si>
  <si>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</si>
  <si>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</si>
  <si>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</si>
  <si>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</si>
  <si>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</si>
  <si>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</si>
  <si>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</si>
  <si>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</si>
  <si>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</si>
  <si>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</si>
  <si>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</si>
  <si>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</si>
  <si>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</si>
  <si>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</si>
  <si>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</si>
  <si>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</si>
  <si>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</si>
  <si>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</si>
  <si>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</si>
  <si>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</si>
  <si>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</si>
  <si>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</si>
  <si>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</si>
  <si>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</si>
  <si>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</si>
  <si>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</si>
  <si>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</si>
  <si>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</si>
  <si>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</si>
  <si>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</si>
  <si>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</si>
  <si>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</si>
  <si>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</si>
  <si>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</si>
  <si>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</si>
  <si>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</si>
  <si>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</si>
  <si>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</si>
  <si>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</si>
  <si>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</si>
  <si>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</si>
  <si>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</si>
  <si>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</si>
  <si>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</si>
  <si>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</si>
  <si>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</si>
  <si>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</si>
  <si>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</si>
  <si>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</si>
  <si>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</si>
  <si>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</si>
  <si>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</si>
  <si>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</si>
  <si>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</si>
  <si>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</si>
  <si>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</si>
  <si>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</si>
  <si>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</si>
  <si>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</si>
  <si>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</si>
  <si>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</si>
  <si>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</si>
  <si>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</si>
  <si>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</si>
  <si>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</si>
  <si>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</si>
  <si>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</si>
  <si>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</si>
  <si>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</si>
  <si>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</si>
  <si>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</si>
  <si>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</si>
  <si>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</si>
  <si>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</si>
  <si>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</si>
  <si>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</si>
  <si>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</si>
  <si>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</si>
  <si>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</si>
  <si>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</si>
  <si>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</si>
  <si>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</si>
  <si>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</si>
  <si>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</si>
  <si>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</si>
  <si>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</si>
  <si>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</si>
  <si>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</si>
  <si>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</si>
  <si>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</si>
  <si>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</si>
  <si>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</si>
  <si>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</si>
  <si>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</si>
  <si>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</si>
  <si>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</si>
  <si>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</si>
  <si>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</si>
  <si>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</si>
  <si>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</si>
  <si>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</si>
  <si>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</si>
  <si>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</si>
  <si>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</si>
  <si>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</si>
  <si>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</si>
  <si>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</si>
  <si>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</si>
  <si>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</si>
  <si>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</si>
  <si>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</si>
  <si>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</si>
  <si>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</si>
  <si>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</si>
  <si>
    <t>Ketika bekerja dengan orang yang memiliki gaya komunikasi atau cara kerja yang berbeda, saya menyesuaikan pendekatan agar kerja sama tetap efektif.</t>
  </si>
  <si>
    <t>Saya hampir tidak pernah menunjukkan perilaku tersebut.</t>
  </si>
  <si>
    <t>Saya menunjukkan perilaku tersebut sesekali dan masih membutuhkan arahan.</t>
  </si>
  <si>
    <t>Saya cukup konsisten menunjukkan perilaku tersebut dalam situasi kerja.</t>
  </si>
  <si>
    <t>Saya secara aktif dan konsisten menunjukkan perilaku tersebut dalam berbagai situasi.</t>
  </si>
  <si>
    <t>Saya menjadi contoh bagi orang lain dalam menunjukkan perilaku tersebut dan membantu orang lain mengembangkannya.</t>
  </si>
  <si>
    <t>Ketika terjadi perbedaan pendapat yang berpotensi menghambat pekerjaan tim, saya membantu mengarahkan diskusi menuju penyelesaian.</t>
  </si>
  <si>
    <t>Ketika menerima perspektif yang berbeda dari keyakinan atau pendapat pribadi, saya berusaha memahami alasan di balik perspektif tersebut.</t>
  </si>
  <si>
    <t>Ketika perlu membangun kepercayaan dengan pihak yang baru dikenal atau memiliki kepentingan berbeda, saya membangun komunikasi secara terbuka dan konsisten.</t>
  </si>
  <si>
    <t>Ketika menghadapi stakeholder dengan kebutuhan yang berbeda, saya berusaha memahami kepentingan masing-masing sebelum menentukan pendekatan.</t>
  </si>
  <si>
    <t>Ketika ada anggota tim yang memiliki pendapat berbeda, saya memberi ruang agar pendapat tersebut dapat dipertimbangkan dalam proses kerja.</t>
  </si>
  <si>
    <t>Inclusive Collaboration</t>
  </si>
  <si>
    <t>Stakeholder Understanding</t>
  </si>
  <si>
    <t>Trust Building</t>
  </si>
  <si>
    <t>Perspective Taking</t>
  </si>
  <si>
    <t>Conflict Navigation</t>
  </si>
  <si>
    <t>Relationship Building</t>
  </si>
  <si>
    <t>Outcome Prioritization</t>
  </si>
  <si>
    <t>Outcome Recovery</t>
  </si>
  <si>
    <t>Ketika hasil pekerjaan tidak sesuai target, saya mampu mengevaluasi penyebabnya dan menyesuaikan tindakan untuk mencapai hasil yang diharapkan.</t>
  </si>
  <si>
    <t>Ketika menghadapi beberapa tuntutan pekerjaan sekaligus, saya mampu menentukan prioritas berdasarkan dampak terhadap hasil yang ingin dicapai.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</si>
</sst>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
      <sz val="9"/>
      <color theme="1"/>
      <name val="Aptos Narrow"/>
      <family val="2"/>
      <scheme val="minor"/>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72" fillId="0" borderId="0" applyFont="0" applyFill="0" applyBorder="0" applyAlignment="0" applyProtection="0"/>
  </cellStyleXfs>
  <cellXfs count="31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14" fontId="2" fillId="0" borderId="0" xfId="0" applyNumberFormat="1" applyFont="1" applyAlignment="1">
      <alignment horizontal="left"/>
    </xf>
    <xf numFmtId="0" fontId="95" fillId="0" borderId="0" xfId="0" applyFont="1" applyAlignment="1">
      <alignment wrapText="1"/>
    </xf>
    <xf numFmtId="0" fontId="95" fillId="0" borderId="0" xfId="0" applyFont="1" applyAlignment="1">
      <alignment horizontal="left" vertical="center" wrapText="1"/>
    </xf>
    <xf numFmtId="0" fontId="95" fillId="0" borderId="0" xfId="0" applyFont="1" applyAlignment="1">
      <alignment vertical="center"/>
    </xf>
    <xf numFmtId="0" fontId="95" fillId="0" borderId="0" xfId="0" applyFont="1" applyAlignment="1">
      <alignment vertical="center" wrapText="1"/>
    </xf>
    <xf numFmtId="0" fontId="66" fillId="2" borderId="13" xfId="0" applyFont="1" applyFill="1" applyBorder="1" applyAlignment="1">
      <alignment vertical="center"/>
    </xf>
    <xf numFmtId="0" fontId="66" fillId="2" borderId="14" xfId="0" applyFont="1" applyFill="1" applyBorder="1" applyAlignment="1">
      <alignment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2" fontId="93" fillId="0" borderId="1" xfId="0" applyNumberFormat="1" applyFont="1" applyBorder="1" applyAlignment="1">
      <alignment horizontal="center"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7233</v>
      </c>
      <c r="C6" s="2" t="s">
        <v>1</v>
      </c>
      <c r="D6" s="274"/>
    </row>
    <row r="7" spans="2:4">
      <c r="B7" s="1" t="s">
        <v>7</v>
      </c>
      <c r="C7" s="2" t="s">
        <v>1</v>
      </c>
    </row>
    <row r="8" spans="2:4">
      <c r="B8" s="1" t="s">
        <v>8</v>
      </c>
      <c r="C8" s="2" t="s">
        <v>1</v>
      </c>
    </row>
    <row r="9" spans="2:4">
      <c r="B9" s="1" t="s">
        <v>9</v>
      </c>
      <c r="C9" s="2" t="s">
        <v>1</v>
      </c>
    </row>
    <row r="10" spans="2:4">
      <c r="B10" s="1" t="s">
        <v>10</v>
      </c>
      <c r="C10" s="2" t="s">
        <v>1</v>
      </c>
    </row>
    <row r="12" spans="2:4">
      <c r="B12" s="1" t="s">
        <v>11</v>
      </c>
      <c r="C12" s="2" t="s">
        <v>1</v>
      </c>
      <c r="D12" s="1" t="s">
        <v>12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topLeftCell="H5" zoomScale="70" zoomScaleNormal="70" workbookViewId="0">
      <selection activeCell="N13" sqref="N13:N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274">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9" customHeight="1">
      <c r="A13" s="11">
        <v>1</v>
      </c>
      <c r="B13" s="27" t="s">
        <v>28</v>
      </c>
      <c r="C13" s="27" t="s">
        <v>29</v>
      </c>
      <c r="D13" s="10" t="s">
        <v>30</v>
      </c>
      <c r="E13" s="10" t="s">
        <v>31</v>
      </c>
      <c r="F13" s="10" t="s">
        <v>32</v>
      </c>
      <c r="G13" s="10" t="s">
        <v>33</v>
      </c>
      <c r="H13" s="10" t="s">
        <v>34</v>
      </c>
      <c r="I13" s="11"/>
      <c r="J13" s="9"/>
      <c r="K13" s="11"/>
      <c r="L13" s="9"/>
      <c r="M13" s="14">
        <f t="shared" ref="M13:M21" si="0">I13-K13</f>
        <v>0</v>
      </c>
      <c r="N13" s="14" t="str">
        <f>IF(M13="","",IF(M13&gt;=2,"Major Positive Gap",IF(M13&gt;=1,"Minor Positive Gap",IF(M13&gt;=0,"No Gap",IF(M13&gt;=-1,"Minor Negative Gap","Major Negative Gap")))))</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6.9" customHeight="1">
      <c r="A14" s="11">
        <f>A13+1</f>
        <v>2</v>
      </c>
      <c r="B14" s="27" t="s">
        <v>35</v>
      </c>
      <c r="C14" s="27" t="s">
        <v>36</v>
      </c>
      <c r="D14" s="10" t="s">
        <v>37</v>
      </c>
      <c r="E14" s="10" t="s">
        <v>38</v>
      </c>
      <c r="F14" s="10" t="s">
        <v>39</v>
      </c>
      <c r="G14" s="10" t="s">
        <v>40</v>
      </c>
      <c r="H14" s="10" t="s">
        <v>41</v>
      </c>
      <c r="I14" s="11"/>
      <c r="J14" s="9"/>
      <c r="K14" s="11"/>
      <c r="L14" s="9"/>
      <c r="M14" s="14">
        <f t="shared" si="0"/>
        <v>0</v>
      </c>
      <c r="N14" s="14" t="str">
        <f t="shared" ref="N14:N22" si="1">IF(M14="","",IF(M14&gt;=2,"Major Positive Gap",IF(M14&gt;=1,"Minor Positive Gap",IF(M14&gt;=0,"No Gap",IF(M14&gt;=-1,"Minor Negative Gap","Major Negative Gap")))))</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60.65" customHeight="1">
      <c r="A15" s="11">
        <f t="shared" ref="A15:A22" si="2">A14+1</f>
        <v>3</v>
      </c>
      <c r="B15" s="27" t="s">
        <v>42</v>
      </c>
      <c r="C15" s="27" t="s">
        <v>43</v>
      </c>
      <c r="D15" s="10" t="s">
        <v>44</v>
      </c>
      <c r="E15" s="10" t="s">
        <v>45</v>
      </c>
      <c r="F15" s="10" t="s">
        <v>46</v>
      </c>
      <c r="G15" s="10" t="s">
        <v>47</v>
      </c>
      <c r="H15" s="10" t="s">
        <v>48</v>
      </c>
      <c r="I15" s="11"/>
      <c r="J15" s="9"/>
      <c r="K15" s="11"/>
      <c r="L15" s="9"/>
      <c r="M15" s="14">
        <f t="shared" si="0"/>
        <v>0</v>
      </c>
      <c r="N15" s="14" t="str">
        <f t="shared" si="1"/>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1">
        <f t="shared" si="2"/>
        <v>4</v>
      </c>
      <c r="B16" s="27" t="s">
        <v>49</v>
      </c>
      <c r="C16" s="27" t="s">
        <v>50</v>
      </c>
      <c r="D16" s="10" t="s">
        <v>51</v>
      </c>
      <c r="E16" s="10" t="s">
        <v>52</v>
      </c>
      <c r="F16" s="10" t="s">
        <v>53</v>
      </c>
      <c r="G16" s="10" t="s">
        <v>54</v>
      </c>
      <c r="H16" s="10" t="s">
        <v>55</v>
      </c>
      <c r="I16" s="11"/>
      <c r="J16" s="9"/>
      <c r="K16" s="11"/>
      <c r="L16" s="9"/>
      <c r="M16" s="14">
        <f t="shared" si="0"/>
        <v>0</v>
      </c>
      <c r="N16" s="14" t="str">
        <f t="shared" si="1"/>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88.9" customHeight="1">
      <c r="A17" s="11">
        <f t="shared" si="2"/>
        <v>5</v>
      </c>
      <c r="B17" s="27" t="s">
        <v>56</v>
      </c>
      <c r="C17" s="27" t="s">
        <v>57</v>
      </c>
      <c r="D17" s="10" t="s">
        <v>58</v>
      </c>
      <c r="E17" s="10" t="s">
        <v>59</v>
      </c>
      <c r="F17" s="10" t="s">
        <v>60</v>
      </c>
      <c r="G17" s="10" t="s">
        <v>61</v>
      </c>
      <c r="H17" s="10" t="s">
        <v>62</v>
      </c>
      <c r="I17" s="11"/>
      <c r="J17" s="9"/>
      <c r="K17" s="11"/>
      <c r="L17" s="9"/>
      <c r="M17" s="14">
        <f t="shared" si="0"/>
        <v>0</v>
      </c>
      <c r="N17" s="14" t="str">
        <f t="shared" si="1"/>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102.65" customHeight="1">
      <c r="A18" s="11">
        <f t="shared" si="2"/>
        <v>6</v>
      </c>
      <c r="B18" s="27" t="s">
        <v>63</v>
      </c>
      <c r="C18" s="27" t="s">
        <v>64</v>
      </c>
      <c r="D18" s="10" t="s">
        <v>65</v>
      </c>
      <c r="E18" s="10" t="s">
        <v>66</v>
      </c>
      <c r="F18" s="10" t="s">
        <v>67</v>
      </c>
      <c r="G18" s="10" t="s">
        <v>68</v>
      </c>
      <c r="H18" s="10" t="s">
        <v>69</v>
      </c>
      <c r="I18" s="11"/>
      <c r="J18" s="9"/>
      <c r="K18" s="11"/>
      <c r="L18" s="9"/>
      <c r="M18" s="14">
        <f t="shared" si="0"/>
        <v>0</v>
      </c>
      <c r="N18" s="14" t="str">
        <f t="shared" si="1"/>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64.150000000000006" customHeight="1">
      <c r="A19" s="11">
        <f t="shared" si="2"/>
        <v>7</v>
      </c>
      <c r="B19" s="27" t="s">
        <v>70</v>
      </c>
      <c r="C19" s="27" t="s">
        <v>71</v>
      </c>
      <c r="D19" s="10" t="s">
        <v>72</v>
      </c>
      <c r="E19" s="10" t="s">
        <v>73</v>
      </c>
      <c r="F19" s="10" t="s">
        <v>74</v>
      </c>
      <c r="G19" s="10" t="s">
        <v>75</v>
      </c>
      <c r="H19" s="10" t="s">
        <v>76</v>
      </c>
      <c r="I19" s="11"/>
      <c r="J19" s="9"/>
      <c r="K19" s="11"/>
      <c r="L19" s="9"/>
      <c r="M19" s="14">
        <f t="shared" si="0"/>
        <v>0</v>
      </c>
      <c r="N19" s="14" t="str">
        <f t="shared" si="1"/>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50.5" customHeight="1">
      <c r="A20" s="11">
        <f t="shared" si="2"/>
        <v>8</v>
      </c>
      <c r="B20" s="27" t="s">
        <v>77</v>
      </c>
      <c r="C20" s="27" t="s">
        <v>78</v>
      </c>
      <c r="D20" s="10" t="s">
        <v>79</v>
      </c>
      <c r="E20" s="10" t="s">
        <v>80</v>
      </c>
      <c r="F20" s="10" t="s">
        <v>81</v>
      </c>
      <c r="G20" s="10" t="s">
        <v>82</v>
      </c>
      <c r="H20" s="10" t="s">
        <v>83</v>
      </c>
      <c r="I20" s="11"/>
      <c r="J20" s="9"/>
      <c r="K20" s="11"/>
      <c r="L20" s="9"/>
      <c r="M20" s="14">
        <f t="shared" si="0"/>
        <v>0</v>
      </c>
      <c r="N20" s="14" t="str">
        <f t="shared" si="1"/>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51" customHeight="1">
      <c r="A21" s="11">
        <f t="shared" si="2"/>
        <v>9</v>
      </c>
      <c r="B21" s="27" t="s">
        <v>84</v>
      </c>
      <c r="C21" s="27" t="s">
        <v>85</v>
      </c>
      <c r="D21" s="10" t="s">
        <v>86</v>
      </c>
      <c r="E21" s="10" t="s">
        <v>87</v>
      </c>
      <c r="F21" s="10" t="s">
        <v>88</v>
      </c>
      <c r="G21" s="10" t="s">
        <v>89</v>
      </c>
      <c r="H21" s="10" t="s">
        <v>90</v>
      </c>
      <c r="I21" s="11"/>
      <c r="J21" s="9"/>
      <c r="K21" s="11"/>
      <c r="L21" s="9"/>
      <c r="M21" s="14">
        <f t="shared" si="0"/>
        <v>0</v>
      </c>
      <c r="N21" s="14" t="str">
        <f t="shared" si="1"/>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75" customHeight="1">
      <c r="A22" s="11">
        <f t="shared" si="2"/>
        <v>10</v>
      </c>
      <c r="B22" s="27" t="s">
        <v>91</v>
      </c>
      <c r="C22" s="27" t="s">
        <v>92</v>
      </c>
      <c r="D22" s="10" t="s">
        <v>93</v>
      </c>
      <c r="E22" s="10" t="s">
        <v>94</v>
      </c>
      <c r="F22" s="10" t="s">
        <v>95</v>
      </c>
      <c r="G22" s="10" t="s">
        <v>96</v>
      </c>
      <c r="H22" s="10" t="s">
        <v>97</v>
      </c>
      <c r="I22" s="11"/>
      <c r="J22" s="9"/>
      <c r="K22" s="11"/>
      <c r="L22" s="9"/>
      <c r="M22" s="14">
        <f t="shared" ref="M22" si="3">I22-K22</f>
        <v>0</v>
      </c>
      <c r="N22" s="14" t="str">
        <f t="shared" si="1"/>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9"/>
  <sheetViews>
    <sheetView topLeftCell="F21" zoomScale="70" zoomScaleNormal="70" workbookViewId="0">
      <selection activeCell="N28" sqref="N28"/>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274">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15" customHeight="1">
      <c r="A13" s="11">
        <v>1</v>
      </c>
      <c r="B13" s="27" t="s">
        <v>99</v>
      </c>
      <c r="C13" s="10" t="s">
        <v>100</v>
      </c>
      <c r="D13" s="10" t="s">
        <v>101</v>
      </c>
      <c r="E13" s="10" t="s">
        <v>102</v>
      </c>
      <c r="F13" s="10" t="s">
        <v>103</v>
      </c>
      <c r="G13" s="10" t="s">
        <v>104</v>
      </c>
      <c r="H13" s="10" t="s">
        <v>105</v>
      </c>
      <c r="I13" s="11"/>
      <c r="J13" s="9"/>
      <c r="K13" s="11"/>
      <c r="L13" s="11"/>
      <c r="M13" s="14">
        <f t="shared" ref="M13:M21" si="0">I13-K13</f>
        <v>0</v>
      </c>
      <c r="N13" s="14" t="str">
        <f>IF(M13="","",IF(M13&gt;=2,"Major Positive Gap",IF(M13&gt;=1,"Minor Positive Gap",IF(M13&gt;=0,"No Gap",IF(M13&gt;=-1,"Minor Negative Gap","Major Negative Gap")))))</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4.5" customHeight="1">
      <c r="A14" s="111">
        <v>2</v>
      </c>
      <c r="B14" s="27" t="s">
        <v>106</v>
      </c>
      <c r="C14" s="27" t="s">
        <v>107</v>
      </c>
      <c r="D14" s="10" t="s">
        <v>108</v>
      </c>
      <c r="E14" s="10" t="s">
        <v>109</v>
      </c>
      <c r="F14" s="10" t="s">
        <v>110</v>
      </c>
      <c r="G14" s="10" t="s">
        <v>111</v>
      </c>
      <c r="H14" s="10" t="s">
        <v>112</v>
      </c>
      <c r="I14" s="11"/>
      <c r="J14" s="9"/>
      <c r="K14" s="11"/>
      <c r="L14" s="11"/>
      <c r="M14" s="14">
        <f t="shared" si="0"/>
        <v>0</v>
      </c>
      <c r="N14" s="14" t="str">
        <f t="shared" ref="N14:N28" si="1">IF(M14="","",IF(M14&gt;=2,"Major Positive Gap",IF(M14&gt;=1,"Minor Positive Gap",IF(M14&gt;=0,"No Gap",IF(M14&gt;=-1,"Minor Negative Gap","Major Negative Gap")))))</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45" customHeight="1">
      <c r="A15" s="11">
        <v>3</v>
      </c>
      <c r="B15" s="27" t="s">
        <v>113</v>
      </c>
      <c r="C15" s="27" t="s">
        <v>114</v>
      </c>
      <c r="D15" s="10" t="s">
        <v>115</v>
      </c>
      <c r="E15" s="10" t="s">
        <v>116</v>
      </c>
      <c r="F15" s="10" t="s">
        <v>117</v>
      </c>
      <c r="G15" s="10" t="s">
        <v>118</v>
      </c>
      <c r="H15" s="10" t="s">
        <v>119</v>
      </c>
      <c r="I15" s="11"/>
      <c r="J15" s="9"/>
      <c r="K15" s="11"/>
      <c r="L15" s="11"/>
      <c r="M15" s="14">
        <f t="shared" si="0"/>
        <v>0</v>
      </c>
      <c r="N15" s="14" t="str">
        <f t="shared" si="1"/>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52.9" customHeight="1">
      <c r="A16" s="11">
        <v>4</v>
      </c>
      <c r="B16" s="27" t="s">
        <v>120</v>
      </c>
      <c r="C16" s="27" t="s">
        <v>121</v>
      </c>
      <c r="D16" s="10" t="s">
        <v>122</v>
      </c>
      <c r="E16" s="10" t="s">
        <v>123</v>
      </c>
      <c r="F16" s="10" t="s">
        <v>124</v>
      </c>
      <c r="G16" s="10" t="s">
        <v>125</v>
      </c>
      <c r="H16" s="10" t="s">
        <v>126</v>
      </c>
      <c r="I16" s="11"/>
      <c r="J16" s="9"/>
      <c r="K16" s="11"/>
      <c r="L16" s="11"/>
      <c r="M16" s="14">
        <f t="shared" si="0"/>
        <v>0</v>
      </c>
      <c r="N16" s="14" t="str">
        <f t="shared" si="1"/>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69">
      <c r="A17" s="11">
        <v>5</v>
      </c>
      <c r="B17" s="27" t="s">
        <v>127</v>
      </c>
      <c r="C17" s="27" t="s">
        <v>128</v>
      </c>
      <c r="D17" s="10" t="s">
        <v>129</v>
      </c>
      <c r="E17" s="10" t="s">
        <v>130</v>
      </c>
      <c r="F17" s="10" t="s">
        <v>131</v>
      </c>
      <c r="G17" s="10" t="s">
        <v>132</v>
      </c>
      <c r="H17" s="10" t="s">
        <v>133</v>
      </c>
      <c r="I17" s="11"/>
      <c r="J17" s="9"/>
      <c r="K17" s="11"/>
      <c r="L17" s="11"/>
      <c r="M17" s="14">
        <f t="shared" si="0"/>
        <v>0</v>
      </c>
      <c r="N17" s="14" t="str">
        <f t="shared" si="1"/>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89.5" customHeight="1">
      <c r="A18" s="11">
        <v>6</v>
      </c>
      <c r="B18" s="27" t="s">
        <v>134</v>
      </c>
      <c r="C18" s="27" t="s">
        <v>135</v>
      </c>
      <c r="D18" s="10" t="s">
        <v>136</v>
      </c>
      <c r="E18" s="10" t="s">
        <v>137</v>
      </c>
      <c r="F18" s="10" t="s">
        <v>138</v>
      </c>
      <c r="G18" s="10" t="s">
        <v>139</v>
      </c>
      <c r="H18" s="10" t="s">
        <v>140</v>
      </c>
      <c r="I18" s="11"/>
      <c r="J18" s="9"/>
      <c r="K18" s="11"/>
      <c r="L18" s="11"/>
      <c r="M18" s="14">
        <f t="shared" si="0"/>
        <v>0</v>
      </c>
      <c r="N18" s="14" t="str">
        <f t="shared" si="1"/>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34.5">
      <c r="A19" s="11">
        <v>7</v>
      </c>
      <c r="B19" s="27" t="s">
        <v>141</v>
      </c>
      <c r="C19" s="27" t="s">
        <v>142</v>
      </c>
      <c r="D19" s="10" t="s">
        <v>143</v>
      </c>
      <c r="E19" s="10" t="s">
        <v>144</v>
      </c>
      <c r="F19" s="10" t="s">
        <v>145</v>
      </c>
      <c r="G19" s="10" t="s">
        <v>146</v>
      </c>
      <c r="H19" s="10" t="s">
        <v>147</v>
      </c>
      <c r="I19" s="11"/>
      <c r="J19" s="9"/>
      <c r="K19" s="11"/>
      <c r="L19" s="11"/>
      <c r="M19" s="14">
        <f t="shared" si="0"/>
        <v>0</v>
      </c>
      <c r="N19" s="14" t="str">
        <f t="shared" si="1"/>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40.15" customHeight="1">
      <c r="A20" s="11">
        <v>8</v>
      </c>
      <c r="B20" s="27" t="s">
        <v>148</v>
      </c>
      <c r="C20" s="27" t="s">
        <v>149</v>
      </c>
      <c r="D20" s="10" t="s">
        <v>150</v>
      </c>
      <c r="E20" s="10" t="s">
        <v>151</v>
      </c>
      <c r="F20" s="10" t="s">
        <v>152</v>
      </c>
      <c r="G20" s="10" t="s">
        <v>153</v>
      </c>
      <c r="H20" s="10" t="s">
        <v>154</v>
      </c>
      <c r="I20" s="11"/>
      <c r="J20" s="9"/>
      <c r="K20" s="11"/>
      <c r="L20" s="11"/>
      <c r="M20" s="14">
        <f t="shared" si="0"/>
        <v>0</v>
      </c>
      <c r="N20" s="14" t="str">
        <f t="shared" si="1"/>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63" customHeight="1">
      <c r="A21" s="111">
        <v>9</v>
      </c>
      <c r="B21" s="27" t="s">
        <v>155</v>
      </c>
      <c r="C21" s="27" t="s">
        <v>156</v>
      </c>
      <c r="D21" s="10" t="s">
        <v>157</v>
      </c>
      <c r="E21" s="10" t="s">
        <v>158</v>
      </c>
      <c r="F21" s="10" t="s">
        <v>159</v>
      </c>
      <c r="G21" s="10" t="s">
        <v>160</v>
      </c>
      <c r="H21" s="10" t="s">
        <v>161</v>
      </c>
      <c r="I21" s="11"/>
      <c r="J21" s="9"/>
      <c r="K21" s="11"/>
      <c r="L21" s="11"/>
      <c r="M21" s="14">
        <f t="shared" si="0"/>
        <v>0</v>
      </c>
      <c r="N21" s="14" t="str">
        <f t="shared" si="1"/>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52.9" customHeight="1">
      <c r="A22" s="11">
        <v>10</v>
      </c>
      <c r="B22" s="27" t="s">
        <v>162</v>
      </c>
      <c r="C22" s="27" t="s">
        <v>163</v>
      </c>
      <c r="D22" s="10" t="s">
        <v>164</v>
      </c>
      <c r="E22" s="10" t="s">
        <v>165</v>
      </c>
      <c r="F22" s="10" t="s">
        <v>166</v>
      </c>
      <c r="G22" s="10" t="s">
        <v>167</v>
      </c>
      <c r="H22" s="10" t="s">
        <v>168</v>
      </c>
      <c r="I22" s="11"/>
      <c r="J22" s="9"/>
      <c r="K22" s="11"/>
      <c r="L22" s="11"/>
      <c r="M22" s="14">
        <f t="shared" ref="M22:M28" si="2">I22-K22</f>
        <v>0</v>
      </c>
      <c r="N22" s="14" t="str">
        <f t="shared" si="1"/>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ht="52.9" customHeight="1">
      <c r="A23" s="11">
        <v>11</v>
      </c>
      <c r="B23" s="277" t="s">
        <v>7250</v>
      </c>
      <c r="C23" s="276" t="s">
        <v>7234</v>
      </c>
      <c r="D23" s="79" t="s">
        <v>7235</v>
      </c>
      <c r="E23" s="79" t="s">
        <v>7236</v>
      </c>
      <c r="F23" s="79" t="s">
        <v>7237</v>
      </c>
      <c r="G23" s="79" t="s">
        <v>7238</v>
      </c>
      <c r="H23" s="79" t="s">
        <v>7239</v>
      </c>
      <c r="I23" s="11"/>
      <c r="J23" s="9"/>
      <c r="K23" s="11"/>
      <c r="L23" s="11"/>
      <c r="M23" s="14">
        <f t="shared" si="2"/>
        <v>0</v>
      </c>
      <c r="N23" s="14" t="str">
        <f t="shared" si="1"/>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ht="52.9" customHeight="1">
      <c r="A24" s="11">
        <v>12</v>
      </c>
      <c r="B24" s="277" t="s">
        <v>7249</v>
      </c>
      <c r="C24" s="275" t="s">
        <v>7240</v>
      </c>
      <c r="D24" s="79" t="s">
        <v>7235</v>
      </c>
      <c r="E24" s="79" t="s">
        <v>7236</v>
      </c>
      <c r="F24" s="79" t="s">
        <v>7237</v>
      </c>
      <c r="G24" s="79" t="s">
        <v>7238</v>
      </c>
      <c r="H24" s="79" t="s">
        <v>7239</v>
      </c>
      <c r="I24" s="11"/>
      <c r="J24" s="9"/>
      <c r="K24" s="11"/>
      <c r="L24" s="11"/>
      <c r="M24" s="14">
        <f t="shared" si="2"/>
        <v>0</v>
      </c>
      <c r="N24" s="14" t="str">
        <f t="shared" si="1"/>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ht="52.9" customHeight="1">
      <c r="A25" s="11">
        <v>13</v>
      </c>
      <c r="B25" s="277" t="s">
        <v>7248</v>
      </c>
      <c r="C25" s="275" t="s">
        <v>7241</v>
      </c>
      <c r="D25" s="79" t="s">
        <v>7235</v>
      </c>
      <c r="E25" s="79" t="s">
        <v>7236</v>
      </c>
      <c r="F25" s="79" t="s">
        <v>7237</v>
      </c>
      <c r="G25" s="79" t="s">
        <v>7238</v>
      </c>
      <c r="H25" s="79" t="s">
        <v>7239</v>
      </c>
      <c r="I25" s="11"/>
      <c r="J25" s="9"/>
      <c r="K25" s="11"/>
      <c r="L25" s="11"/>
      <c r="M25" s="14">
        <f t="shared" si="2"/>
        <v>0</v>
      </c>
      <c r="N25" s="14" t="str">
        <f t="shared" si="1"/>
        <v>No Gap</v>
      </c>
      <c r="O25" s="105"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0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pans="1:16" ht="52.9" customHeight="1">
      <c r="A26" s="11">
        <v>14</v>
      </c>
      <c r="B26" s="277" t="s">
        <v>7247</v>
      </c>
      <c r="C26" s="275" t="s">
        <v>7242</v>
      </c>
      <c r="D26" s="79" t="s">
        <v>7235</v>
      </c>
      <c r="E26" s="79" t="s">
        <v>7236</v>
      </c>
      <c r="F26" s="79" t="s">
        <v>7237</v>
      </c>
      <c r="G26" s="79" t="s">
        <v>7238</v>
      </c>
      <c r="H26" s="79" t="s">
        <v>7239</v>
      </c>
      <c r="I26" s="11"/>
      <c r="J26" s="9"/>
      <c r="K26" s="11"/>
      <c r="L26" s="11"/>
      <c r="M26" s="14">
        <f t="shared" si="2"/>
        <v>0</v>
      </c>
      <c r="N26" s="14" t="str">
        <f t="shared" si="1"/>
        <v>No Gap</v>
      </c>
      <c r="O26" s="105"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0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pans="1:16" ht="52.9" customHeight="1">
      <c r="A27" s="11">
        <v>15</v>
      </c>
      <c r="B27" s="277" t="s">
        <v>7246</v>
      </c>
      <c r="C27" s="275" t="s">
        <v>7243</v>
      </c>
      <c r="D27" s="79" t="s">
        <v>7235</v>
      </c>
      <c r="E27" s="79" t="s">
        <v>7236</v>
      </c>
      <c r="F27" s="79" t="s">
        <v>7237</v>
      </c>
      <c r="G27" s="79" t="s">
        <v>7238</v>
      </c>
      <c r="H27" s="79" t="s">
        <v>7239</v>
      </c>
      <c r="I27" s="11"/>
      <c r="J27" s="9"/>
      <c r="K27" s="11"/>
      <c r="L27" s="11"/>
      <c r="M27" s="14">
        <f t="shared" si="2"/>
        <v>0</v>
      </c>
      <c r="N27" s="14" t="str">
        <f t="shared" si="1"/>
        <v>No Gap</v>
      </c>
      <c r="O27" s="105"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0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pans="1:16" ht="52.9" customHeight="1">
      <c r="A28" s="11">
        <v>16</v>
      </c>
      <c r="B28" s="277" t="s">
        <v>7245</v>
      </c>
      <c r="C28" s="275" t="s">
        <v>7244</v>
      </c>
      <c r="D28" s="79" t="s">
        <v>7235</v>
      </c>
      <c r="E28" s="79" t="s">
        <v>7236</v>
      </c>
      <c r="F28" s="79" t="s">
        <v>7237</v>
      </c>
      <c r="G28" s="79" t="s">
        <v>7238</v>
      </c>
      <c r="H28" s="79" t="s">
        <v>7239</v>
      </c>
      <c r="I28" s="11"/>
      <c r="J28" s="9"/>
      <c r="K28" s="11"/>
      <c r="L28" s="11"/>
      <c r="M28" s="14">
        <f t="shared" si="2"/>
        <v>0</v>
      </c>
      <c r="N28" s="14" t="str">
        <f t="shared" si="1"/>
        <v>No Gap</v>
      </c>
      <c r="O28" s="105"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0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9" customFormat="1" ht="26.5" customHeight="1">
      <c r="A29" s="279" t="s">
        <v>98</v>
      </c>
      <c r="B29" s="280"/>
      <c r="C29" s="124"/>
      <c r="D29" s="124"/>
      <c r="E29" s="124"/>
      <c r="F29" s="124"/>
      <c r="G29" s="124"/>
      <c r="H29" s="124"/>
      <c r="I29" s="125" t="e">
        <f>AVERAGE(I13:J28)</f>
        <v>#DIV/0!</v>
      </c>
      <c r="J29" s="125" t="e">
        <f>AVERAGE(J13:K22)</f>
        <v>#DIV/0!</v>
      </c>
      <c r="K29" s="125" t="e">
        <f>AVERAGE(K13:L28)</f>
        <v>#DIV/0!</v>
      </c>
      <c r="L29" s="125"/>
      <c r="M29" s="122" t="e">
        <f>I29-K29</f>
        <v>#DIV/0!</v>
      </c>
      <c r="N29" s="28" t="e" cm="1">
        <f t="array" ref="N29">_xlfn.IFS(
  VALUE(M29) &gt;= 1, "Major Positive Gap",
  VALUE(M29) &gt;= 0.5, "Minor Positive Gap",
  VALUE(M29) &gt;= -0.49, "Aligned",
  VALUE(M29) &gt;= -0.99, "Minor Negative Gap",
  VALUE(M29) &lt;= -1, "Major Negative Gap"
)</f>
        <v>#DIV/0!</v>
      </c>
      <c r="O29" s="110"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topLeftCell="F16" zoomScale="70" zoomScaleNormal="70" workbookViewId="0">
      <selection activeCell="N13" sqref="N13:N22"/>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7.65" customHeight="1">
      <c r="A13" s="9">
        <v>1</v>
      </c>
      <c r="B13" s="27" t="s">
        <v>169</v>
      </c>
      <c r="C13" s="27" t="s">
        <v>170</v>
      </c>
      <c r="D13" s="27" t="s">
        <v>171</v>
      </c>
      <c r="E13" s="27" t="s">
        <v>172</v>
      </c>
      <c r="F13" s="27" t="s">
        <v>173</v>
      </c>
      <c r="G13" s="27" t="s">
        <v>174</v>
      </c>
      <c r="H13" s="27" t="s">
        <v>175</v>
      </c>
      <c r="I13" s="11"/>
      <c r="J13" s="9"/>
      <c r="K13" s="11"/>
      <c r="L13" s="9"/>
      <c r="M13" s="14">
        <f t="shared" ref="M13:M22" si="0">I13-K13</f>
        <v>0</v>
      </c>
      <c r="N13" s="14" t="str">
        <f>IF(M13="","",IF(M13&gt;=2,"Major Positive Gap",IF(M13&gt;=1,"Minor Positive Gap",IF(M13&gt;=0,"No Gap",IF(M13&gt;=-1,"Minor Negative Gap","Major Negative Gap")))))</f>
        <v>No Gap</v>
      </c>
      <c r="O13" s="105" t="s">
        <v>176</v>
      </c>
      <c r="P13" s="109" t="s">
        <v>177</v>
      </c>
    </row>
    <row r="14" spans="1:16" ht="49.9" customHeight="1">
      <c r="A14" s="9">
        <v>2</v>
      </c>
      <c r="B14" s="27" t="s">
        <v>178</v>
      </c>
      <c r="C14" s="27" t="s">
        <v>179</v>
      </c>
      <c r="D14" s="27" t="s">
        <v>180</v>
      </c>
      <c r="E14" s="27" t="s">
        <v>181</v>
      </c>
      <c r="F14" s="27" t="s">
        <v>182</v>
      </c>
      <c r="G14" s="27" t="s">
        <v>183</v>
      </c>
      <c r="H14" s="27" t="s">
        <v>184</v>
      </c>
      <c r="I14" s="11"/>
      <c r="J14" s="9"/>
      <c r="K14" s="11"/>
      <c r="L14" s="9"/>
      <c r="M14" s="14">
        <f t="shared" si="0"/>
        <v>0</v>
      </c>
      <c r="N14" s="14" t="str">
        <f t="shared" ref="N14:N22" si="1">IF(M14="","",IF(M14&gt;=2,"Major Positive Gap",IF(M14&gt;=1,"Minor Positive Gap",IF(M14&gt;=0,"No Gap",IF(M14&gt;=-1,"Minor Negative Gap","Major Negative Gap")))))</f>
        <v>No Gap</v>
      </c>
      <c r="O14" s="105" t="s">
        <v>176</v>
      </c>
      <c r="P14" s="109" t="s">
        <v>177</v>
      </c>
    </row>
    <row r="15" spans="1:16" ht="84" customHeight="1">
      <c r="A15" s="9">
        <v>3</v>
      </c>
      <c r="B15" s="27" t="s">
        <v>185</v>
      </c>
      <c r="C15" s="27" t="s">
        <v>186</v>
      </c>
      <c r="D15" s="27" t="s">
        <v>187</v>
      </c>
      <c r="E15" s="27" t="s">
        <v>188</v>
      </c>
      <c r="F15" s="27" t="s">
        <v>189</v>
      </c>
      <c r="G15" s="27" t="s">
        <v>190</v>
      </c>
      <c r="H15" s="27" t="s">
        <v>191</v>
      </c>
      <c r="I15" s="11"/>
      <c r="J15" s="9"/>
      <c r="K15" s="11"/>
      <c r="L15" s="9"/>
      <c r="M15" s="14">
        <f t="shared" si="0"/>
        <v>0</v>
      </c>
      <c r="N15" s="14" t="str">
        <f t="shared" si="1"/>
        <v>No Gap</v>
      </c>
      <c r="O15" s="105" t="s">
        <v>192</v>
      </c>
      <c r="P15" s="109" t="s">
        <v>193</v>
      </c>
    </row>
    <row r="16" spans="1:16" ht="71.5" customHeight="1">
      <c r="A16" s="26">
        <v>4</v>
      </c>
      <c r="B16" s="27" t="s">
        <v>194</v>
      </c>
      <c r="C16" s="27" t="s">
        <v>195</v>
      </c>
      <c r="D16" s="27" t="s">
        <v>196</v>
      </c>
      <c r="E16" s="27" t="s">
        <v>197</v>
      </c>
      <c r="F16" s="27" t="s">
        <v>198</v>
      </c>
      <c r="G16" s="27" t="s">
        <v>199</v>
      </c>
      <c r="H16" s="27" t="s">
        <v>200</v>
      </c>
      <c r="I16" s="11"/>
      <c r="J16" s="9"/>
      <c r="K16" s="11"/>
      <c r="L16" s="9"/>
      <c r="M16" s="14">
        <f t="shared" si="0"/>
        <v>0</v>
      </c>
      <c r="N16" s="14" t="str">
        <f t="shared" si="1"/>
        <v>No Gap</v>
      </c>
      <c r="O16" s="105" t="s">
        <v>201</v>
      </c>
      <c r="P16" s="109" t="s">
        <v>202</v>
      </c>
    </row>
    <row r="17" spans="1:16" ht="60.65" customHeight="1">
      <c r="A17" s="9">
        <v>5</v>
      </c>
      <c r="B17" s="27" t="s">
        <v>203</v>
      </c>
      <c r="C17" s="27" t="s">
        <v>204</v>
      </c>
      <c r="D17" s="27" t="s">
        <v>205</v>
      </c>
      <c r="E17" s="27" t="s">
        <v>206</v>
      </c>
      <c r="F17" s="27" t="s">
        <v>207</v>
      </c>
      <c r="G17" s="27" t="s">
        <v>208</v>
      </c>
      <c r="H17" s="27" t="s">
        <v>209</v>
      </c>
      <c r="I17" s="11"/>
      <c r="J17" s="9"/>
      <c r="K17" s="11"/>
      <c r="L17" s="9"/>
      <c r="M17" s="14">
        <f t="shared" si="0"/>
        <v>0</v>
      </c>
      <c r="N17" s="14" t="str">
        <f t="shared" si="1"/>
        <v>No Gap</v>
      </c>
      <c r="O17" s="105" t="s">
        <v>201</v>
      </c>
      <c r="P17" s="109" t="s">
        <v>202</v>
      </c>
    </row>
    <row r="18" spans="1:16" ht="54" customHeight="1">
      <c r="A18" s="9">
        <v>6</v>
      </c>
      <c r="B18" s="27" t="s">
        <v>210</v>
      </c>
      <c r="C18" s="27" t="s">
        <v>211</v>
      </c>
      <c r="D18" s="27" t="s">
        <v>212</v>
      </c>
      <c r="E18" s="27" t="s">
        <v>213</v>
      </c>
      <c r="F18" s="27" t="s">
        <v>214</v>
      </c>
      <c r="G18" s="27" t="s">
        <v>215</v>
      </c>
      <c r="H18" s="27" t="s">
        <v>216</v>
      </c>
      <c r="I18" s="11"/>
      <c r="J18" s="9"/>
      <c r="K18" s="11"/>
      <c r="L18" s="9"/>
      <c r="M18" s="14">
        <f t="shared" si="0"/>
        <v>0</v>
      </c>
      <c r="N18" s="14" t="str">
        <f t="shared" si="1"/>
        <v>No Gap</v>
      </c>
      <c r="O18" s="105" t="s">
        <v>217</v>
      </c>
      <c r="P18" s="109" t="s">
        <v>218</v>
      </c>
    </row>
    <row r="19" spans="1:16" ht="71.5" customHeight="1">
      <c r="A19" s="26">
        <v>7</v>
      </c>
      <c r="B19" s="27" t="s">
        <v>219</v>
      </c>
      <c r="C19" s="27" t="s">
        <v>220</v>
      </c>
      <c r="D19" s="27" t="s">
        <v>221</v>
      </c>
      <c r="E19" s="27" t="s">
        <v>222</v>
      </c>
      <c r="F19" s="27" t="s">
        <v>223</v>
      </c>
      <c r="G19" s="27" t="s">
        <v>224</v>
      </c>
      <c r="H19" s="27" t="s">
        <v>225</v>
      </c>
      <c r="I19" s="11"/>
      <c r="J19" s="9"/>
      <c r="K19" s="11"/>
      <c r="L19" s="9"/>
      <c r="M19" s="14">
        <f t="shared" si="0"/>
        <v>0</v>
      </c>
      <c r="N19" s="14" t="str">
        <f t="shared" si="1"/>
        <v>No Gap</v>
      </c>
      <c r="O19" s="105" t="s">
        <v>201</v>
      </c>
      <c r="P19" s="109" t="s">
        <v>202</v>
      </c>
    </row>
    <row r="20" spans="1:16" ht="60" customHeight="1">
      <c r="A20" s="9">
        <v>8</v>
      </c>
      <c r="B20" s="27" t="s">
        <v>226</v>
      </c>
      <c r="C20" s="27" t="s">
        <v>227</v>
      </c>
      <c r="D20" s="27" t="s">
        <v>228</v>
      </c>
      <c r="E20" s="27" t="s">
        <v>229</v>
      </c>
      <c r="F20" s="27" t="s">
        <v>230</v>
      </c>
      <c r="G20" s="27" t="s">
        <v>231</v>
      </c>
      <c r="H20" s="27" t="s">
        <v>232</v>
      </c>
      <c r="I20" s="11"/>
      <c r="J20" s="9"/>
      <c r="K20" s="11"/>
      <c r="L20" s="9"/>
      <c r="M20" s="14">
        <f t="shared" si="0"/>
        <v>0</v>
      </c>
      <c r="N20" s="14" t="str">
        <f t="shared" si="1"/>
        <v>No Gap</v>
      </c>
      <c r="O20" s="105" t="s">
        <v>217</v>
      </c>
      <c r="P20" s="109" t="s">
        <v>218</v>
      </c>
    </row>
    <row r="21" spans="1:16" ht="93.65" customHeight="1">
      <c r="A21" s="9">
        <v>9</v>
      </c>
      <c r="B21" s="27" t="s">
        <v>233</v>
      </c>
      <c r="C21" s="27" t="s">
        <v>234</v>
      </c>
      <c r="D21" s="27" t="s">
        <v>235</v>
      </c>
      <c r="E21" s="27" t="s">
        <v>236</v>
      </c>
      <c r="F21" s="27" t="s">
        <v>237</v>
      </c>
      <c r="G21" s="27" t="s">
        <v>238</v>
      </c>
      <c r="H21" s="27" t="s">
        <v>239</v>
      </c>
      <c r="I21" s="11"/>
      <c r="J21" s="9"/>
      <c r="K21" s="11"/>
      <c r="L21" s="9"/>
      <c r="M21" s="14">
        <f t="shared" si="0"/>
        <v>0</v>
      </c>
      <c r="N21" s="14" t="str">
        <f t="shared" si="1"/>
        <v>No Gap</v>
      </c>
      <c r="O21" s="105" t="s">
        <v>192</v>
      </c>
      <c r="P21" s="109" t="s">
        <v>193</v>
      </c>
    </row>
    <row r="22" spans="1:16" ht="34.5">
      <c r="A22" s="9">
        <v>10</v>
      </c>
      <c r="B22" s="27" t="s">
        <v>240</v>
      </c>
      <c r="C22" s="27" t="s">
        <v>241</v>
      </c>
      <c r="D22" s="27" t="s">
        <v>242</v>
      </c>
      <c r="E22" s="27" t="s">
        <v>243</v>
      </c>
      <c r="F22" s="27" t="s">
        <v>244</v>
      </c>
      <c r="G22" s="27" t="s">
        <v>245</v>
      </c>
      <c r="H22" s="27" t="s">
        <v>246</v>
      </c>
      <c r="I22" s="11"/>
      <c r="J22" s="9"/>
      <c r="K22" s="11"/>
      <c r="L22" s="9"/>
      <c r="M22" s="14">
        <f t="shared" si="0"/>
        <v>0</v>
      </c>
      <c r="N22" s="14" t="str">
        <f t="shared" si="1"/>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5"/>
  <sheetViews>
    <sheetView topLeftCell="F25" zoomScale="70" zoomScaleNormal="70" workbookViewId="0">
      <selection activeCell="N13" sqref="N13:N24"/>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8.15" customHeight="1">
      <c r="A13" s="9">
        <v>1</v>
      </c>
      <c r="B13" s="27" t="s">
        <v>247</v>
      </c>
      <c r="C13" s="27" t="s">
        <v>248</v>
      </c>
      <c r="D13" s="27" t="s">
        <v>249</v>
      </c>
      <c r="E13" s="27" t="s">
        <v>250</v>
      </c>
      <c r="F13" s="27" t="s">
        <v>251</v>
      </c>
      <c r="G13" s="27" t="s">
        <v>252</v>
      </c>
      <c r="H13" s="27" t="s">
        <v>253</v>
      </c>
      <c r="I13" s="11"/>
      <c r="J13" s="9"/>
      <c r="K13" s="11"/>
      <c r="L13" s="9"/>
      <c r="M13" s="14">
        <f t="shared" ref="M13:M21" si="0">I13-K13</f>
        <v>0</v>
      </c>
      <c r="N13" s="14" t="str">
        <f>IF(M13="","",IF(M13&gt;=2,"Major Positive Gap",IF(M13&gt;=1,"Minor Positive Gap",IF(M13&gt;=0,"No Gap",IF(M13&gt;=-1,"Minor Negative Gap","Major Negative Gap")))))</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72.650000000000006" customHeight="1">
      <c r="A14" s="9">
        <v>2</v>
      </c>
      <c r="B14" s="27" t="s">
        <v>254</v>
      </c>
      <c r="C14" s="27" t="s">
        <v>255</v>
      </c>
      <c r="D14" s="27" t="s">
        <v>256</v>
      </c>
      <c r="E14" s="27" t="s">
        <v>257</v>
      </c>
      <c r="F14" s="27" t="s">
        <v>258</v>
      </c>
      <c r="G14" s="27" t="s">
        <v>259</v>
      </c>
      <c r="H14" s="27" t="s">
        <v>260</v>
      </c>
      <c r="I14" s="11"/>
      <c r="J14" s="9"/>
      <c r="K14" s="11"/>
      <c r="L14" s="9"/>
      <c r="M14" s="14">
        <f t="shared" si="0"/>
        <v>0</v>
      </c>
      <c r="N14" s="14" t="str">
        <f t="shared" ref="N14:N24" si="1">IF(M14="","",IF(M14&gt;=2,"Major Positive Gap",IF(M14&gt;=1,"Minor Positive Gap",IF(M14&gt;=0,"No Gap",IF(M14&gt;=-1,"Minor Negative Gap","Major Negative Gap")))))</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58.9" customHeight="1">
      <c r="A15" s="9">
        <v>3</v>
      </c>
      <c r="B15" s="27" t="s">
        <v>261</v>
      </c>
      <c r="C15" s="27" t="s">
        <v>262</v>
      </c>
      <c r="D15" s="27" t="s">
        <v>263</v>
      </c>
      <c r="E15" s="27" t="s">
        <v>264</v>
      </c>
      <c r="F15" s="27" t="s">
        <v>265</v>
      </c>
      <c r="G15" s="27" t="s">
        <v>266</v>
      </c>
      <c r="H15" s="27" t="s">
        <v>267</v>
      </c>
      <c r="I15" s="11"/>
      <c r="J15" s="9"/>
      <c r="K15" s="11"/>
      <c r="L15" s="9"/>
      <c r="M15" s="14">
        <f t="shared" si="0"/>
        <v>0</v>
      </c>
      <c r="N15" s="14" t="str">
        <f t="shared" si="1"/>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72" customHeight="1">
      <c r="A16" s="26">
        <v>4</v>
      </c>
      <c r="B16" s="27" t="s">
        <v>268</v>
      </c>
      <c r="C16" s="27" t="s">
        <v>269</v>
      </c>
      <c r="D16" s="27" t="s">
        <v>270</v>
      </c>
      <c r="E16" s="27" t="s">
        <v>271</v>
      </c>
      <c r="F16" s="27" t="s">
        <v>272</v>
      </c>
      <c r="G16" s="27" t="s">
        <v>273</v>
      </c>
      <c r="H16" s="27" t="s">
        <v>274</v>
      </c>
      <c r="I16" s="11"/>
      <c r="J16" s="9"/>
      <c r="K16" s="11"/>
      <c r="L16" s="9"/>
      <c r="M16" s="14">
        <f t="shared" si="0"/>
        <v>0</v>
      </c>
      <c r="N16" s="14" t="str">
        <f t="shared" si="1"/>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75.650000000000006" customHeight="1">
      <c r="A17" s="9">
        <v>5</v>
      </c>
      <c r="B17" s="27" t="s">
        <v>275</v>
      </c>
      <c r="C17" s="27" t="s">
        <v>276</v>
      </c>
      <c r="D17" s="27" t="s">
        <v>277</v>
      </c>
      <c r="E17" s="27" t="s">
        <v>278</v>
      </c>
      <c r="F17" s="27" t="s">
        <v>279</v>
      </c>
      <c r="G17" s="27" t="s">
        <v>280</v>
      </c>
      <c r="H17" s="27" t="s">
        <v>281</v>
      </c>
      <c r="I17" s="11"/>
      <c r="J17" s="9"/>
      <c r="K17" s="11"/>
      <c r="L17" s="9"/>
      <c r="M17" s="14">
        <f t="shared" si="0"/>
        <v>0</v>
      </c>
      <c r="N17" s="14" t="str">
        <f t="shared" si="1"/>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90.65" customHeight="1">
      <c r="A18" s="9">
        <v>6</v>
      </c>
      <c r="B18" s="27" t="s">
        <v>282</v>
      </c>
      <c r="C18" s="27" t="s">
        <v>283</v>
      </c>
      <c r="D18" s="27" t="s">
        <v>284</v>
      </c>
      <c r="E18" s="27" t="s">
        <v>285</v>
      </c>
      <c r="F18" s="27" t="s">
        <v>286</v>
      </c>
      <c r="G18" s="27" t="s">
        <v>287</v>
      </c>
      <c r="H18" s="27" t="s">
        <v>288</v>
      </c>
      <c r="I18" s="11"/>
      <c r="J18" s="9"/>
      <c r="K18" s="11"/>
      <c r="L18" s="9"/>
      <c r="M18" s="14">
        <f t="shared" si="0"/>
        <v>0</v>
      </c>
      <c r="N18" s="14" t="str">
        <f t="shared" si="1"/>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87" customHeight="1">
      <c r="A19" s="9">
        <v>7</v>
      </c>
      <c r="B19" s="27" t="s">
        <v>289</v>
      </c>
      <c r="C19" s="27" t="s">
        <v>290</v>
      </c>
      <c r="D19" s="27" t="s">
        <v>291</v>
      </c>
      <c r="E19" s="27" t="s">
        <v>292</v>
      </c>
      <c r="F19" s="27" t="s">
        <v>293</v>
      </c>
      <c r="G19" s="27" t="s">
        <v>294</v>
      </c>
      <c r="H19" s="27" t="s">
        <v>295</v>
      </c>
      <c r="I19" s="11"/>
      <c r="J19" s="9"/>
      <c r="K19" s="11"/>
      <c r="L19" s="9"/>
      <c r="M19" s="14">
        <f t="shared" si="0"/>
        <v>0</v>
      </c>
      <c r="N19" s="14" t="str">
        <f t="shared" si="1"/>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82.9" customHeight="1">
      <c r="A20" s="9">
        <v>8</v>
      </c>
      <c r="B20" s="27" t="s">
        <v>296</v>
      </c>
      <c r="C20" s="27" t="s">
        <v>297</v>
      </c>
      <c r="D20" s="27" t="s">
        <v>298</v>
      </c>
      <c r="E20" s="27" t="s">
        <v>299</v>
      </c>
      <c r="F20" s="27" t="s">
        <v>300</v>
      </c>
      <c r="G20" s="27" t="s">
        <v>301</v>
      </c>
      <c r="H20" s="27" t="s">
        <v>302</v>
      </c>
      <c r="I20" s="11"/>
      <c r="J20" s="9"/>
      <c r="K20" s="11"/>
      <c r="L20" s="9"/>
      <c r="M20" s="14">
        <f t="shared" si="0"/>
        <v>0</v>
      </c>
      <c r="N20" s="14" t="str">
        <f t="shared" si="1"/>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82.15" customHeight="1">
      <c r="A21" s="9">
        <v>9</v>
      </c>
      <c r="B21" s="27" t="s">
        <v>303</v>
      </c>
      <c r="C21" s="27" t="s">
        <v>304</v>
      </c>
      <c r="D21" s="27" t="s">
        <v>305</v>
      </c>
      <c r="E21" s="27" t="s">
        <v>306</v>
      </c>
      <c r="F21" s="27" t="s">
        <v>307</v>
      </c>
      <c r="G21" s="27" t="s">
        <v>308</v>
      </c>
      <c r="H21" s="27" t="s">
        <v>309</v>
      </c>
      <c r="I21" s="11"/>
      <c r="J21" s="9"/>
      <c r="K21" s="11"/>
      <c r="L21" s="9"/>
      <c r="M21" s="14">
        <f t="shared" si="0"/>
        <v>0</v>
      </c>
      <c r="N21" s="14" t="str">
        <f t="shared" si="1"/>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58.15" customHeight="1">
      <c r="A22" s="26">
        <v>10</v>
      </c>
      <c r="B22" s="27" t="s">
        <v>310</v>
      </c>
      <c r="C22" s="27" t="s">
        <v>311</v>
      </c>
      <c r="D22" s="27" t="s">
        <v>312</v>
      </c>
      <c r="E22" s="27" t="s">
        <v>313</v>
      </c>
      <c r="F22" s="27" t="s">
        <v>314</v>
      </c>
      <c r="G22" s="27" t="s">
        <v>315</v>
      </c>
      <c r="H22" s="27" t="s">
        <v>316</v>
      </c>
      <c r="I22" s="11"/>
      <c r="J22" s="9"/>
      <c r="K22" s="11"/>
      <c r="L22" s="9"/>
      <c r="M22" s="14">
        <f t="shared" ref="M22:M24" si="2">I22-K22</f>
        <v>0</v>
      </c>
      <c r="N22" s="14" t="str">
        <f t="shared" si="1"/>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ht="58.15" customHeight="1">
      <c r="A23" s="26">
        <v>11</v>
      </c>
      <c r="B23" t="s">
        <v>7251</v>
      </c>
      <c r="C23" s="278" t="s">
        <v>7254</v>
      </c>
      <c r="D23" s="278" t="s">
        <v>7235</v>
      </c>
      <c r="E23" s="278" t="s">
        <v>7236</v>
      </c>
      <c r="F23" s="278" t="s">
        <v>7237</v>
      </c>
      <c r="G23" s="278" t="s">
        <v>7238</v>
      </c>
      <c r="H23" s="278" t="s">
        <v>7239</v>
      </c>
      <c r="I23" s="11"/>
      <c r="J23" s="9"/>
      <c r="K23" s="11"/>
      <c r="L23" s="9"/>
      <c r="M23" s="14">
        <f t="shared" si="2"/>
        <v>0</v>
      </c>
      <c r="N23" s="14" t="str">
        <f t="shared" si="1"/>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29" customFormat="1" ht="58.5" customHeight="1">
      <c r="A24" s="26">
        <v>12</v>
      </c>
      <c r="B24" t="s">
        <v>7252</v>
      </c>
      <c r="C24" s="278" t="s">
        <v>7253</v>
      </c>
      <c r="D24" s="278" t="s">
        <v>7235</v>
      </c>
      <c r="E24" s="278" t="s">
        <v>7236</v>
      </c>
      <c r="F24" s="278" t="s">
        <v>7237</v>
      </c>
      <c r="G24" s="278" t="s">
        <v>7238</v>
      </c>
      <c r="H24" s="278" t="s">
        <v>7239</v>
      </c>
      <c r="I24" s="11"/>
      <c r="J24" s="9"/>
      <c r="K24" s="11"/>
      <c r="L24" s="9"/>
      <c r="M24" s="14">
        <f t="shared" si="2"/>
        <v>0</v>
      </c>
      <c r="N24" s="14" t="str">
        <f t="shared" si="1"/>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c r="A25" s="123" t="s">
        <v>98</v>
      </c>
      <c r="B25" s="124"/>
      <c r="C25" s="124"/>
      <c r="D25" s="124"/>
      <c r="E25" s="124"/>
      <c r="F25" s="124"/>
      <c r="G25" s="124"/>
      <c r="H25" s="124"/>
      <c r="I25" s="125" t="e">
        <f>AVERAGE(I13:J24)</f>
        <v>#DIV/0!</v>
      </c>
      <c r="J25" s="127" t="e">
        <f>AVERAGE(J13:K22)</f>
        <v>#DIV/0!</v>
      </c>
      <c r="K25" s="125" t="e">
        <f>AVERAGE(K13:L24)</f>
        <v>#DIV/0!</v>
      </c>
      <c r="L25" s="127"/>
      <c r="M25" s="122" t="e">
        <f>I25-K25</f>
        <v>#DIV/0!</v>
      </c>
      <c r="N25" s="28" t="e" cm="1">
        <f t="array" ref="N25">_xlfn.IFS(
  VALUE(M25) &gt;= 1, "Major Positive Gap",
  VALUE(M25) &gt;= 0.5, "Minor Positive Gap",
  VALUE(M25) &gt;= -0.49, "Aligned",
  VALUE(M25) &gt;= -0.99, "Minor Negative Gap",
  VALUE(M25) &lt;= -1, "Major Negative Gap"
)</f>
        <v>#DIV/0!</v>
      </c>
      <c r="O25" s="110"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topLeftCell="H10" zoomScale="85" zoomScaleNormal="85" workbookViewId="0">
      <selection activeCell="O13" sqref="O1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2.15" customHeight="1">
      <c r="A13" s="26">
        <v>1</v>
      </c>
      <c r="B13" s="27" t="s">
        <v>317</v>
      </c>
      <c r="C13" s="27" t="s">
        <v>318</v>
      </c>
      <c r="D13" s="10" t="s">
        <v>319</v>
      </c>
      <c r="E13" s="10" t="s">
        <v>320</v>
      </c>
      <c r="F13" s="10" t="s">
        <v>321</v>
      </c>
      <c r="G13" s="10" t="s">
        <v>322</v>
      </c>
      <c r="H13" s="10" t="s">
        <v>323</v>
      </c>
      <c r="I13" s="11"/>
      <c r="J13" s="9"/>
      <c r="K13" s="11"/>
      <c r="L13" s="9"/>
      <c r="M13" s="14">
        <f t="shared" ref="M13:M21" si="0">I13-K13</f>
        <v>0</v>
      </c>
      <c r="N13" s="14" t="str">
        <f>IF(M13="","",IF(M13&gt;=2,"Major Positive Gap",IF(M13&gt;=1,"Minor Positive Gap",IF(M13&gt;=0,"No Gap",IF(M13&gt;=-1,"Minor Negative Gap","Major Negative Gap")))))</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9.15" customHeight="1">
      <c r="A14" s="9">
        <v>2</v>
      </c>
      <c r="B14" s="27" t="s">
        <v>324</v>
      </c>
      <c r="C14" s="27" t="s">
        <v>325</v>
      </c>
      <c r="D14" s="10" t="s">
        <v>326</v>
      </c>
      <c r="E14" s="10" t="s">
        <v>327</v>
      </c>
      <c r="F14" s="10" t="s">
        <v>328</v>
      </c>
      <c r="G14" s="10" t="s">
        <v>329</v>
      </c>
      <c r="H14" s="10" t="s">
        <v>330</v>
      </c>
      <c r="I14" s="11"/>
      <c r="J14" s="9"/>
      <c r="K14" s="11"/>
      <c r="L14" s="9"/>
      <c r="M14" s="14">
        <f t="shared" si="0"/>
        <v>0</v>
      </c>
      <c r="N14" s="14" t="str">
        <f t="shared" ref="N14:N22" si="1">IF(M14="","",IF(M14&gt;=2,"Major Positive Gap",IF(M14&gt;=1,"Minor Positive Gap",IF(M14&gt;=0,"No Gap",IF(M14&gt;=-1,"Minor Negative Gap","Major Negative Gap")))))</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28">
      <c r="A15" s="9">
        <v>3</v>
      </c>
      <c r="B15" s="27" t="s">
        <v>331</v>
      </c>
      <c r="C15" s="27" t="s">
        <v>332</v>
      </c>
      <c r="D15" s="10" t="s">
        <v>333</v>
      </c>
      <c r="E15" s="10" t="s">
        <v>334</v>
      </c>
      <c r="F15" s="10" t="s">
        <v>335</v>
      </c>
      <c r="G15" s="10" t="s">
        <v>336</v>
      </c>
      <c r="H15" s="10" t="s">
        <v>337</v>
      </c>
      <c r="I15" s="11"/>
      <c r="J15" s="9"/>
      <c r="K15" s="11"/>
      <c r="L15" s="9"/>
      <c r="M15" s="14">
        <f t="shared" si="0"/>
        <v>0</v>
      </c>
      <c r="N15" s="14" t="str">
        <f t="shared" si="1"/>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28">
      <c r="A16" s="26">
        <v>4</v>
      </c>
      <c r="B16" s="27" t="s">
        <v>338</v>
      </c>
      <c r="C16" s="27" t="s">
        <v>339</v>
      </c>
      <c r="D16" s="10" t="s">
        <v>340</v>
      </c>
      <c r="E16" s="10" t="s">
        <v>341</v>
      </c>
      <c r="F16" s="10" t="s">
        <v>342</v>
      </c>
      <c r="G16" s="10" t="s">
        <v>343</v>
      </c>
      <c r="H16" s="10" t="s">
        <v>344</v>
      </c>
      <c r="I16" s="11"/>
      <c r="J16" s="9"/>
      <c r="K16" s="11"/>
      <c r="L16" s="9"/>
      <c r="M16" s="14">
        <f t="shared" si="0"/>
        <v>0</v>
      </c>
      <c r="N16" s="14" t="str">
        <f t="shared" si="1"/>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34.5">
      <c r="A17" s="9">
        <v>5</v>
      </c>
      <c r="B17" s="27" t="s">
        <v>345</v>
      </c>
      <c r="C17" s="10" t="s">
        <v>346</v>
      </c>
      <c r="D17" s="10" t="s">
        <v>347</v>
      </c>
      <c r="E17" s="10" t="s">
        <v>348</v>
      </c>
      <c r="F17" s="10" t="s">
        <v>349</v>
      </c>
      <c r="G17" s="10" t="s">
        <v>350</v>
      </c>
      <c r="H17" s="10" t="s">
        <v>351</v>
      </c>
      <c r="I17" s="11"/>
      <c r="J17" s="9"/>
      <c r="K17" s="11"/>
      <c r="L17" s="9"/>
      <c r="M17" s="14">
        <f t="shared" si="0"/>
        <v>0</v>
      </c>
      <c r="N17" s="14" t="str">
        <f t="shared" si="1"/>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34.5">
      <c r="A18" s="9">
        <v>6</v>
      </c>
      <c r="B18" s="27" t="s">
        <v>352</v>
      </c>
      <c r="C18" s="10" t="s">
        <v>353</v>
      </c>
      <c r="D18" s="10" t="s">
        <v>354</v>
      </c>
      <c r="E18" s="10" t="s">
        <v>355</v>
      </c>
      <c r="F18" s="10" t="s">
        <v>356</v>
      </c>
      <c r="G18" s="10" t="s">
        <v>357</v>
      </c>
      <c r="H18" s="10" t="s">
        <v>358</v>
      </c>
      <c r="I18" s="11"/>
      <c r="J18" s="9"/>
      <c r="K18" s="11"/>
      <c r="L18" s="9"/>
      <c r="M18" s="14">
        <f t="shared" si="0"/>
        <v>0</v>
      </c>
      <c r="N18" s="14" t="str">
        <f t="shared" si="1"/>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48.65" customHeight="1">
      <c r="A19" s="9">
        <v>7</v>
      </c>
      <c r="B19" s="27" t="s">
        <v>359</v>
      </c>
      <c r="C19" s="10" t="s">
        <v>360</v>
      </c>
      <c r="D19" s="10" t="s">
        <v>361</v>
      </c>
      <c r="E19" s="10" t="s">
        <v>362</v>
      </c>
      <c r="F19" s="10" t="s">
        <v>363</v>
      </c>
      <c r="G19" s="10" t="s">
        <v>364</v>
      </c>
      <c r="H19" s="10" t="s">
        <v>365</v>
      </c>
      <c r="I19" s="11"/>
      <c r="J19" s="9"/>
      <c r="K19" s="11"/>
      <c r="L19" s="9"/>
      <c r="M19" s="14">
        <f t="shared" si="0"/>
        <v>0</v>
      </c>
      <c r="N19" s="14" t="str">
        <f t="shared" si="1"/>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34.5">
      <c r="A20" s="9">
        <v>8</v>
      </c>
      <c r="B20" s="27" t="s">
        <v>366</v>
      </c>
      <c r="C20" s="10" t="s">
        <v>367</v>
      </c>
      <c r="D20" s="10" t="s">
        <v>368</v>
      </c>
      <c r="E20" s="10" t="s">
        <v>369</v>
      </c>
      <c r="F20" s="10" t="s">
        <v>370</v>
      </c>
      <c r="G20" s="10" t="s">
        <v>371</v>
      </c>
      <c r="H20" s="10" t="s">
        <v>372</v>
      </c>
      <c r="I20" s="11"/>
      <c r="J20" s="9"/>
      <c r="K20" s="11"/>
      <c r="L20" s="9"/>
      <c r="M20" s="14">
        <f t="shared" si="0"/>
        <v>0</v>
      </c>
      <c r="N20" s="14" t="str">
        <f t="shared" si="1"/>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34.5">
      <c r="A21" s="9">
        <v>9</v>
      </c>
      <c r="B21" s="27" t="s">
        <v>373</v>
      </c>
      <c r="C21" s="10" t="s">
        <v>374</v>
      </c>
      <c r="D21" s="10" t="s">
        <v>375</v>
      </c>
      <c r="E21" s="10" t="s">
        <v>376</v>
      </c>
      <c r="F21" s="10" t="s">
        <v>377</v>
      </c>
      <c r="G21" s="10" t="s">
        <v>378</v>
      </c>
      <c r="H21" s="10" t="s">
        <v>379</v>
      </c>
      <c r="I21" s="11"/>
      <c r="J21" s="9"/>
      <c r="K21" s="11"/>
      <c r="L21" s="9"/>
      <c r="M21" s="14">
        <f t="shared" si="0"/>
        <v>0</v>
      </c>
      <c r="N21" s="14" t="str">
        <f t="shared" si="1"/>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49.15" customHeight="1">
      <c r="A22" s="9">
        <v>10</v>
      </c>
      <c r="B22" s="27" t="s">
        <v>380</v>
      </c>
      <c r="C22" s="10" t="s">
        <v>381</v>
      </c>
      <c r="D22" s="37" t="s">
        <v>382</v>
      </c>
      <c r="E22" s="30" t="s">
        <v>383</v>
      </c>
      <c r="F22" s="30" t="s">
        <v>384</v>
      </c>
      <c r="G22" s="30" t="s">
        <v>385</v>
      </c>
      <c r="H22" s="30" t="s">
        <v>386</v>
      </c>
      <c r="I22" s="11"/>
      <c r="J22" s="9"/>
      <c r="K22" s="11"/>
      <c r="L22" s="9"/>
      <c r="M22" s="14">
        <f t="shared" ref="M22" si="2">I22-K22</f>
        <v>0</v>
      </c>
      <c r="N22" s="14" t="str">
        <f t="shared" si="1"/>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tabSelected="1" zoomScale="55" zoomScaleNormal="55" workbookViewId="0">
      <selection activeCell="F12" sqref="F12"/>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274">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agility'!K29</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agility'!K25</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agility'!I29</f>
        <v>#DIV/0!</v>
      </c>
      <c r="C49" s="272" t="e">
        <f>'people agility'!K29</f>
        <v>#DIV/0!</v>
      </c>
      <c r="D49" s="273" t="e">
        <f>'people agility'!M29</f>
        <v>#DIV/0!</v>
      </c>
      <c r="E49" s="80" t="e">
        <f>'people agility'!N29</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agility'!I25</f>
        <v>#DIV/0!</v>
      </c>
      <c r="C78" s="131" t="e">
        <f>'result agility'!K25</f>
        <v>#DIV/0!</v>
      </c>
      <c r="D78" s="132" t="e">
        <f>'result agility'!M25</f>
        <v>#DIV/0!</v>
      </c>
      <c r="E78" s="87" t="e">
        <f>'result agility'!N25</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82" t="s">
        <v>390</v>
      </c>
      <c r="D108" s="282"/>
    </row>
    <row r="109" spans="1:5" s="32" customFormat="1" ht="13">
      <c r="A109" s="34" t="s">
        <v>396</v>
      </c>
      <c r="B109" s="136" t="e">
        <f>C98</f>
        <v>#DIV/0!</v>
      </c>
      <c r="C109" s="281" t="e">
        <f>'Profile Summary'!C14</f>
        <v>#DIV/0!</v>
      </c>
      <c r="D109" s="281"/>
    </row>
    <row r="110" spans="1:5" s="32" customFormat="1" ht="13">
      <c r="A110" s="34" t="s">
        <v>397</v>
      </c>
      <c r="B110" s="136" t="e">
        <f t="shared" ref="B110:B113" si="6">C99</f>
        <v>#DIV/0!</v>
      </c>
      <c r="C110" s="281" t="e">
        <f>'Profile Summary'!C15</f>
        <v>#DIV/0!</v>
      </c>
      <c r="D110" s="281"/>
    </row>
    <row r="111" spans="1:5" s="32" customFormat="1" ht="13">
      <c r="A111" s="34" t="s">
        <v>398</v>
      </c>
      <c r="B111" s="136" t="e">
        <f t="shared" si="6"/>
        <v>#DIV/0!</v>
      </c>
      <c r="C111" s="281" t="e">
        <f>'Profile Summary'!C16</f>
        <v>#DIV/0!</v>
      </c>
      <c r="D111" s="281"/>
    </row>
    <row r="112" spans="1:5" s="32" customFormat="1" ht="13">
      <c r="A112" s="34" t="s">
        <v>399</v>
      </c>
      <c r="B112" s="136" t="e">
        <f t="shared" si="6"/>
        <v>#DIV/0!</v>
      </c>
      <c r="C112" s="281" t="e">
        <f>'Profile Summary'!C17</f>
        <v>#DIV/0!</v>
      </c>
      <c r="D112" s="281"/>
    </row>
    <row r="113" spans="1:4" s="32" customFormat="1" ht="13">
      <c r="A113" s="34" t="s">
        <v>400</v>
      </c>
      <c r="B113" s="136" t="e">
        <f t="shared" si="6"/>
        <v>#DIV/0!</v>
      </c>
      <c r="C113" s="281" t="e">
        <f>'Profile Summary'!C18</f>
        <v>#DIV/0!</v>
      </c>
      <c r="D113" s="281"/>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opLeftCell="A28" zoomScale="60" zoomScaleNormal="60" workbookViewId="0">
      <selection activeCell="C45" sqref="C45"/>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274">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83" t="s">
        <v>433</v>
      </c>
      <c r="O12" s="283"/>
      <c r="P12" s="283"/>
      <c r="Q12" s="283"/>
      <c r="R12" s="283"/>
      <c r="S12" s="283"/>
      <c r="T12" s="283"/>
      <c r="U12" s="283"/>
      <c r="V12" s="283" t="s">
        <v>434</v>
      </c>
      <c r="W12" s="283"/>
      <c r="X12" s="283"/>
      <c r="Y12" s="283"/>
      <c r="Z12" s="283"/>
      <c r="AA12" s="283"/>
      <c r="AB12" s="283"/>
      <c r="AC12" s="283"/>
      <c r="AD12" s="283" t="s">
        <v>435</v>
      </c>
      <c r="AE12" s="283"/>
      <c r="AF12" s="283"/>
      <c r="AG12" s="283"/>
      <c r="AH12" s="283"/>
      <c r="AI12" s="283"/>
      <c r="AJ12" s="283"/>
      <c r="AK12" s="283"/>
      <c r="AL12" s="283" t="s">
        <v>436</v>
      </c>
      <c r="AM12" s="283"/>
      <c r="AN12" s="283"/>
      <c r="AO12" s="283"/>
      <c r="AP12" s="283"/>
      <c r="AQ12" s="283"/>
      <c r="AR12" s="283"/>
      <c r="AS12" s="283"/>
    </row>
    <row r="13" spans="1:45">
      <c r="A13" s="109" t="s">
        <v>437</v>
      </c>
      <c r="B13" s="146">
        <f>IFERROR(INDEX(panduan!$C$3:$H$16,
       MATCH(TRIM(A13), panduan!$B$3:$B$16, 0),
       MATCH(TRIM($B$4), panduan!$C$2:$H$2, 0)),"")</f>
        <v>2</v>
      </c>
      <c r="C13" s="144">
        <f>IFERROR(INDEX(panduan!$C$3:$H$16,
       MATCH(TRIM(A13), panduan!$B$3:$B$16, 0),
       MATCH(TRIM($B$5), panduan!$C$2:$H$2, 0)),"")</f>
        <v>3</v>
      </c>
      <c r="D13" s="142"/>
      <c r="E13" s="14">
        <f>D13-C13</f>
        <v>-3</v>
      </c>
      <c r="F13" s="14">
        <f>IF(E13&lt;0, MIN(-E13, 4), "")</f>
        <v>3</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1</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c r="E14" s="14">
        <f t="shared" ref="E14:E26" si="0">D14-C14</f>
        <v>-2</v>
      </c>
      <c r="F14" s="14">
        <f t="shared" ref="F14:F26" si="1">IF(E14&lt;0, MIN(-E14, 4), "")</f>
        <v>2</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f>IF(E14&lt;0,_xlfn.RANK.EQ(E14,$E$13:$E$26,1)+COUNTIF($E$13:E14,E14)-1,"")</f>
        <v>5</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c r="E15" s="14">
        <f t="shared" si="0"/>
        <v>-2</v>
      </c>
      <c r="F15" s="14">
        <f t="shared" si="1"/>
        <v>2</v>
      </c>
      <c r="G15" s="14" t="str">
        <f>IFERROR(
    INDEX(panduan!$C$167:$G$171,
          MATCH($F$37,panduan!$B$167:$B$171,0),
          MATCH($F15,panduan!$C$166:$G$166,0)
    ),
"")</f>
        <v/>
      </c>
      <c r="H15" s="141" t="str">
        <f t="shared" si="2"/>
        <v/>
      </c>
      <c r="I15" s="14">
        <f>IF(E15&lt;0,_xlfn.RANK.EQ(E15,$E$13:$E$26,1)+COUNTIF($E$13:E15,E15)-1,"")</f>
        <v>6</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c r="E16" s="14">
        <f t="shared" si="0"/>
        <v>-2</v>
      </c>
      <c r="F16" s="14">
        <f t="shared" si="1"/>
        <v>2</v>
      </c>
      <c r="G16" s="14" t="str">
        <f>IFERROR(
    INDEX(panduan!$C$167:$G$171,
          MATCH($F$37,panduan!$B$167:$B$171,0),
          MATCH($F16,panduan!$C$166:$G$166,0)
    ),
"")</f>
        <v/>
      </c>
      <c r="H16" s="141" t="str">
        <f t="shared" si="2"/>
        <v/>
      </c>
      <c r="I16" s="14">
        <f>IF(E16&lt;0,_xlfn.RANK.EQ(E16,$E$13:$E$26,1)+COUNTIF($E$13:E16,E16)-1,"")</f>
        <v>7</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c r="E17" s="14">
        <f t="shared" si="0"/>
        <v>-3</v>
      </c>
      <c r="F17" s="14">
        <f t="shared" si="1"/>
        <v>3</v>
      </c>
      <c r="G17" s="14" t="str">
        <f>IFERROR(
    INDEX(panduan!$C$167:$G$171,
          MATCH($F$37,panduan!$B$167:$B$171,0),
          MATCH($F17,panduan!$C$166:$G$166,0)
    ),
"")</f>
        <v/>
      </c>
      <c r="H17" s="141" t="str">
        <f t="shared" si="2"/>
        <v/>
      </c>
      <c r="I17" s="14">
        <f>IF(E17&lt;0,_xlfn.RANK.EQ(E17,$E$13:$E$26,1)+COUNTIF($E$13:E17,E17)-1,"")</f>
        <v>2</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c r="E18" s="14">
        <f t="shared" si="0"/>
        <v>-2</v>
      </c>
      <c r="F18" s="14">
        <f t="shared" si="1"/>
        <v>2</v>
      </c>
      <c r="G18" s="14" t="str">
        <f>IFERROR(
    INDEX(panduan!$C$167:$G$171,
          MATCH($F$37,panduan!$B$167:$B$171,0),
          MATCH($F18,panduan!$C$166:$G$166,0)
    ),
"")</f>
        <v/>
      </c>
      <c r="H18" s="141" t="str">
        <f t="shared" si="2"/>
        <v/>
      </c>
      <c r="I18" s="14">
        <f>IF(E18&lt;0,_xlfn.RANK.EQ(E18,$E$13:$E$26,1)+COUNTIF($E$13:E18,E18)-1,"")</f>
        <v>8</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c r="E19" s="14">
        <f t="shared" si="0"/>
        <v>-2</v>
      </c>
      <c r="F19" s="14">
        <f t="shared" si="1"/>
        <v>2</v>
      </c>
      <c r="G19" s="14" t="str">
        <f>IFERROR(
    INDEX(panduan!$C$167:$G$171,
          MATCH($F$37,panduan!$B$167:$B$171,0),
          MATCH($F19,panduan!$C$166:$G$166,0)
    ),
"")</f>
        <v/>
      </c>
      <c r="H19" s="141" t="str">
        <f t="shared" si="2"/>
        <v/>
      </c>
      <c r="I19" s="14">
        <f>IF(E19&lt;0,_xlfn.RANK.EQ(E19,$E$13:$E$26,1)+COUNTIF($E$13:E19,E19)-1,"")</f>
        <v>9</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c r="E20" s="14">
        <f t="shared" si="0"/>
        <v>-2</v>
      </c>
      <c r="F20" s="14">
        <f t="shared" si="1"/>
        <v>2</v>
      </c>
      <c r="G20" s="14" t="str">
        <f>IFERROR(
    INDEX(panduan!$C$167:$G$171,
          MATCH($F$37,panduan!$B$167:$B$171,0),
          MATCH($F20,panduan!$C$166:$G$166,0)
    ),
"")</f>
        <v/>
      </c>
      <c r="H20" s="141" t="str">
        <f t="shared" si="2"/>
        <v/>
      </c>
      <c r="I20" s="14">
        <f>IF(E20&lt;0,_xlfn.RANK.EQ(E20,$E$13:$E$26,1)+COUNTIF($E$13:E20,E20)-1,"")</f>
        <v>10</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c r="E21" s="14">
        <f t="shared" si="0"/>
        <v>-2</v>
      </c>
      <c r="F21" s="14">
        <f t="shared" si="1"/>
        <v>2</v>
      </c>
      <c r="G21" s="14" t="str">
        <f>IFERROR(
    INDEX(panduan!$C$167:$G$171,
          MATCH($F$37,panduan!$B$167:$B$171,0),
          MATCH($F21,panduan!$C$166:$G$166,0)
    ),
"")</f>
        <v/>
      </c>
      <c r="H21" s="141" t="str">
        <f t="shared" si="2"/>
        <v/>
      </c>
      <c r="I21" s="14">
        <f>IF(E21&lt;0,_xlfn.RANK.EQ(E21,$E$13:$E$26,1)+COUNTIF($E$13:E21,E21)-1,"")</f>
        <v>11</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c r="E22" s="14">
        <f t="shared" si="0"/>
        <v>-3</v>
      </c>
      <c r="F22" s="14">
        <f t="shared" si="1"/>
        <v>3</v>
      </c>
      <c r="G22" s="14" t="str">
        <f>IFERROR(
    INDEX(panduan!$C$167:$G$171,
          MATCH($F$37,panduan!$B$167:$B$171,0),
          MATCH($F22,panduan!$C$166:$G$166,0)
    ),
"")</f>
        <v/>
      </c>
      <c r="H22" s="141" t="str">
        <f t="shared" si="2"/>
        <v/>
      </c>
      <c r="I22" s="14">
        <f>IF(E22&lt;0,_xlfn.RANK.EQ(E22,$E$13:$E$26,1)+COUNTIF($E$13:E22,E22)-1,"")</f>
        <v>3</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c r="E23" s="14">
        <f t="shared" si="0"/>
        <v>-2</v>
      </c>
      <c r="F23" s="14">
        <f t="shared" si="1"/>
        <v>2</v>
      </c>
      <c r="G23" s="14" t="str">
        <f>IFERROR(
    INDEX(panduan!$C$167:$G$171,
          MATCH($F$37,panduan!$B$167:$B$171,0),
          MATCH($F23,panduan!$C$166:$G$166,0)
    ),
"")</f>
        <v/>
      </c>
      <c r="H23" s="141" t="str">
        <f t="shared" si="2"/>
        <v/>
      </c>
      <c r="I23" s="14">
        <f>IF(E23&lt;0,_xlfn.RANK.EQ(E23,$E$13:$E$26,1)+COUNTIF($E$13:E23,E23)-1,"")</f>
        <v>12</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c r="E24" s="14">
        <f t="shared" si="0"/>
        <v>-3</v>
      </c>
      <c r="F24" s="14">
        <f t="shared" si="1"/>
        <v>3</v>
      </c>
      <c r="G24" s="14" t="str">
        <f>IFERROR(
    INDEX(panduan!$C$167:$G$171,
          MATCH($F$37,panduan!$B$167:$B$171,0),
          MATCH($F24,panduan!$C$166:$G$166,0)
    ),
"")</f>
        <v/>
      </c>
      <c r="H24" s="141" t="str">
        <f t="shared" si="2"/>
        <v/>
      </c>
      <c r="I24" s="14">
        <f>IF(E24&lt;0,_xlfn.RANK.EQ(E24,$E$13:$E$26,1)+COUNTIF($E$13:E24,E24)-1,"")</f>
        <v>4</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c r="E25" s="14">
        <f t="shared" si="0"/>
        <v>-2</v>
      </c>
      <c r="F25" s="14">
        <f t="shared" si="1"/>
        <v>2</v>
      </c>
      <c r="G25" s="14" t="str">
        <f>IFERROR(
    INDEX(panduan!$C$167:$G$171,
          MATCH($F$37,panduan!$B$167:$B$171,0),
          MATCH($F25,panduan!$C$166:$G$166,0)
    ),
"")</f>
        <v/>
      </c>
      <c r="H25" s="141" t="str">
        <f t="shared" si="2"/>
        <v/>
      </c>
      <c r="I25" s="14">
        <f>IF(E25&lt;0,_xlfn.RANK.EQ(E25,$E$13:$E$26,1)+COUNTIF($E$13:E25,E25)-1,"")</f>
        <v>13</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c r="E26" s="14">
        <f t="shared" si="0"/>
        <v>-2</v>
      </c>
      <c r="F26" s="14">
        <f t="shared" si="1"/>
        <v>2</v>
      </c>
      <c r="G26" s="14" t="str">
        <f>IFERROR(
    INDEX(panduan!$C$167:$G$171,
          MATCH($F$37,panduan!$B$167:$B$171,0),
          MATCH($F26,panduan!$C$166:$G$166,0)
    ),
"")</f>
        <v/>
      </c>
      <c r="H26" s="141" t="str">
        <f t="shared" si="2"/>
        <v/>
      </c>
      <c r="I26" s="14">
        <f>IF(E26&lt;0,_xlfn.RANK.EQ(E26,$E$13:$E$26,1)+COUNTIF($E$13:E26,E26)-1,"")</f>
        <v>14</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83" t="s">
        <v>433</v>
      </c>
      <c r="O43" s="283"/>
      <c r="P43" s="283"/>
      <c r="Q43" s="283"/>
      <c r="R43" s="283"/>
      <c r="S43" s="283"/>
      <c r="T43" s="283"/>
      <c r="U43" s="283"/>
      <c r="V43" s="283" t="s">
        <v>434</v>
      </c>
      <c r="W43" s="283"/>
      <c r="X43" s="283"/>
      <c r="Y43" s="283"/>
      <c r="Z43" s="283"/>
      <c r="AA43" s="283"/>
      <c r="AB43" s="283"/>
      <c r="AC43" s="283"/>
      <c r="AD43" s="283" t="s">
        <v>435</v>
      </c>
      <c r="AE43" s="283"/>
      <c r="AF43" s="283"/>
      <c r="AG43" s="283"/>
      <c r="AH43" s="283"/>
      <c r="AI43" s="283"/>
      <c r="AJ43" s="283"/>
      <c r="AK43" s="283"/>
      <c r="AL43" s="283" t="s">
        <v>436</v>
      </c>
      <c r="AM43" s="283"/>
      <c r="AN43" s="283"/>
      <c r="AO43" s="283"/>
      <c r="AP43" s="283"/>
      <c r="AQ43" s="283"/>
      <c r="AR43" s="283"/>
      <c r="AS43" s="283"/>
    </row>
    <row r="44" spans="1:45">
      <c r="A44" s="109" t="s">
        <v>437</v>
      </c>
      <c r="B44" s="146">
        <f>IFERROR(INDEX(panduan!$C$3:$H$16,
       MATCH(TRIM(A44), panduan!$B$3:$B$16, 0),
       MATCH(TRIM($B$4), panduan!$C$2:$H$2, 0)),"")</f>
        <v>2</v>
      </c>
      <c r="C44" s="144">
        <f>IFERROR(INDEX(panduan!$C$3:$H$16,
       MATCH(TRIM(A44), panduan!$B$3:$B$16, 0),
       MATCH(TRIM($B$41), panduan!$C$2:$H$2, 0)),"")</f>
        <v>3</v>
      </c>
      <c r="D44" s="142"/>
      <c r="E44" s="14">
        <f>D44-C44</f>
        <v>-3</v>
      </c>
      <c r="F44" s="14">
        <f>IF(E44&lt;0, MIN(-E44, 4), "")</f>
        <v>3</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3</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c r="E45" s="14">
        <f t="shared" ref="E45:E57" si="7">D45-C45</f>
        <v>-3</v>
      </c>
      <c r="F45" s="14">
        <f t="shared" ref="F45:F57" si="8">IF(E45&lt;0, MIN(-E45, 4), "")</f>
        <v>3</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4</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c r="E46" s="14">
        <f t="shared" si="7"/>
        <v>-3</v>
      </c>
      <c r="F46" s="14">
        <f t="shared" si="8"/>
        <v>3</v>
      </c>
      <c r="G46" s="14" t="str">
        <f>IFERROR(
    INDEX(panduan!$C$167:$G$171,
          MATCH($F$37,panduan!$B$167:$B$171,0),
          MATCH($F46,panduan!$C$166:$G$166,0)
    ),
"")</f>
        <v/>
      </c>
      <c r="H46" s="141" t="str">
        <f t="shared" si="9"/>
        <v/>
      </c>
      <c r="I46" s="14">
        <f>IF(E46&lt;0,_xlfn.RANK.EQ(E46,$E$44:$E$57,1)+COUNTIF($E$44:E46,E46)-1,"")</f>
        <v>5</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c r="E47" s="14">
        <f t="shared" si="7"/>
        <v>-4</v>
      </c>
      <c r="F47" s="14">
        <f t="shared" si="8"/>
        <v>4</v>
      </c>
      <c r="G47" s="14" t="str">
        <f>IFERROR(
    INDEX(panduan!$C$167:$G$171,
          MATCH($F$37,panduan!$B$167:$B$171,0),
          MATCH($F47,panduan!$C$166:$G$166,0)
    ),
"")</f>
        <v/>
      </c>
      <c r="H47" s="141" t="str">
        <f t="shared" si="9"/>
        <v/>
      </c>
      <c r="I47" s="14">
        <f>IF(E47&lt;0,_xlfn.RANK.EQ(E47,$E$44:$E$57,1)+COUNTIF($E$44:E47,E47)-1,"")</f>
        <v>1</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c r="E48" s="14">
        <f t="shared" si="7"/>
        <v>-3</v>
      </c>
      <c r="F48" s="14">
        <f t="shared" si="8"/>
        <v>3</v>
      </c>
      <c r="G48" s="14" t="str">
        <f>IFERROR(
    INDEX(panduan!$C$167:$G$171,
          MATCH($F$37,panduan!$B$167:$B$171,0),
          MATCH($F48,panduan!$C$166:$G$166,0)
    ),
"")</f>
        <v/>
      </c>
      <c r="H48" s="141" t="str">
        <f t="shared" si="9"/>
        <v/>
      </c>
      <c r="I48" s="14">
        <f>IF(E48&lt;0,_xlfn.RANK.EQ(E48,$E$44:$E$57,1)+COUNTIF($E$44:E48,E48)-1,"")</f>
        <v>6</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c r="E49" s="14">
        <f t="shared" si="7"/>
        <v>-3</v>
      </c>
      <c r="F49" s="14">
        <f t="shared" si="8"/>
        <v>3</v>
      </c>
      <c r="G49" s="14" t="str">
        <f>IFERROR(
    INDEX(panduan!$C$167:$G$171,
          MATCH($F$37,panduan!$B$167:$B$171,0),
          MATCH($F49,panduan!$C$166:$G$166,0)
    ),
"")</f>
        <v/>
      </c>
      <c r="H49" s="141" t="str">
        <f t="shared" si="9"/>
        <v/>
      </c>
      <c r="I49" s="14">
        <f>IF(E49&lt;0,_xlfn.RANK.EQ(E49,$E$44:$E$57,1)+COUNTIF($E$44:E49,E49)-1,"")</f>
        <v>7</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c r="E50" s="14">
        <f t="shared" si="7"/>
        <v>-3</v>
      </c>
      <c r="F50" s="14">
        <f t="shared" si="8"/>
        <v>3</v>
      </c>
      <c r="G50" s="14" t="str">
        <f>IFERROR(
    INDEX(panduan!$C$167:$G$171,
          MATCH($F$37,panduan!$B$167:$B$171,0),
          MATCH($F50,panduan!$C$166:$G$166,0)
    ),
"")</f>
        <v/>
      </c>
      <c r="H50" s="141" t="str">
        <f t="shared" si="9"/>
        <v/>
      </c>
      <c r="I50" s="14">
        <f>IF(E50&lt;0,_xlfn.RANK.EQ(E50,$E$44:$E$57,1)+COUNTIF($E$44:E50,E50)-1,"")</f>
        <v>8</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c r="E51" s="14">
        <f t="shared" si="7"/>
        <v>-3</v>
      </c>
      <c r="F51" s="14">
        <f t="shared" si="8"/>
        <v>3</v>
      </c>
      <c r="G51" s="14" t="str">
        <f>IFERROR(
    INDEX(panduan!$C$167:$G$171,
          MATCH($F$37,panduan!$B$167:$B$171,0),
          MATCH($F51,panduan!$C$166:$G$166,0)
    ),
"")</f>
        <v/>
      </c>
      <c r="H51" s="141" t="str">
        <f t="shared" si="9"/>
        <v/>
      </c>
      <c r="I51" s="14">
        <f>IF(E51&lt;0,_xlfn.RANK.EQ(E51,$E$44:$E$57,1)+COUNTIF($E$44:E51,E51)-1,"")</f>
        <v>9</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c r="E52" s="14">
        <f t="shared" si="7"/>
        <v>-3</v>
      </c>
      <c r="F52" s="14">
        <f t="shared" si="8"/>
        <v>3</v>
      </c>
      <c r="G52" s="14" t="str">
        <f>IFERROR(
    INDEX(panduan!$C$167:$G$171,
          MATCH($F$37,panduan!$B$167:$B$171,0),
          MATCH($F52,panduan!$C$166:$G$166,0)
    ),
"")</f>
        <v/>
      </c>
      <c r="H52" s="141" t="str">
        <f t="shared" si="9"/>
        <v/>
      </c>
      <c r="I52" s="14">
        <f>IF(E52&lt;0,_xlfn.RANK.EQ(E52,$E$44:$E$57,1)+COUNTIF($E$44:E52,E52)-1,"")</f>
        <v>10</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c r="E53" s="14">
        <f t="shared" si="7"/>
        <v>-4</v>
      </c>
      <c r="F53" s="14">
        <f t="shared" si="8"/>
        <v>4</v>
      </c>
      <c r="G53" s="14" t="str">
        <f>IFERROR(
    INDEX(panduan!$C$167:$G$171,
          MATCH($F$37,panduan!$B$167:$B$171,0),
          MATCH($F53,panduan!$C$166:$G$166,0)
    ),
"")</f>
        <v/>
      </c>
      <c r="H53" s="141" t="str">
        <f t="shared" si="9"/>
        <v/>
      </c>
      <c r="I53" s="14">
        <f>IF(E53&lt;0,_xlfn.RANK.EQ(E53,$E$44:$E$57,1)+COUNTIF($E$44:E53,E53)-1,"")</f>
        <v>2</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c r="E54" s="14">
        <f t="shared" si="7"/>
        <v>-3</v>
      </c>
      <c r="F54" s="14">
        <f t="shared" si="8"/>
        <v>3</v>
      </c>
      <c r="G54" s="14" t="str">
        <f>IFERROR(
    INDEX(panduan!$C$167:$G$171,
          MATCH($F$37,panduan!$B$167:$B$171,0),
          MATCH($F54,panduan!$C$166:$G$166,0)
    ),
"")</f>
        <v/>
      </c>
      <c r="H54" s="141" t="str">
        <f t="shared" si="9"/>
        <v/>
      </c>
      <c r="I54" s="14">
        <f>IF(E54&lt;0,_xlfn.RANK.EQ(E54,$E$44:$E$57,1)+COUNTIF($E$44:E54,E54)-1,"")</f>
        <v>11</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c r="E55" s="14">
        <f t="shared" si="7"/>
        <v>-3</v>
      </c>
      <c r="F55" s="14">
        <f t="shared" si="8"/>
        <v>3</v>
      </c>
      <c r="G55" s="14" t="str">
        <f>IFERROR(
    INDEX(panduan!$C$167:$G$171,
          MATCH($F$37,panduan!$B$167:$B$171,0),
          MATCH($F55,panduan!$C$166:$G$166,0)
    ),
"")</f>
        <v/>
      </c>
      <c r="H55" s="141" t="str">
        <f t="shared" si="9"/>
        <v/>
      </c>
      <c r="I55" s="14">
        <f>IF(E55&lt;0,_xlfn.RANK.EQ(E55,$E$44:$E$57,1)+COUNTIF($E$44:E55,E55)-1,"")</f>
        <v>12</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c r="E56" s="14">
        <f t="shared" si="7"/>
        <v>-3</v>
      </c>
      <c r="F56" s="14">
        <f t="shared" si="8"/>
        <v>3</v>
      </c>
      <c r="G56" s="14" t="str">
        <f>IFERROR(
    INDEX(panduan!$C$167:$G$171,
          MATCH($F$37,panduan!$B$167:$B$171,0),
          MATCH($F56,panduan!$C$166:$G$166,0)
    ),
"")</f>
        <v/>
      </c>
      <c r="H56" s="141" t="str">
        <f t="shared" si="9"/>
        <v/>
      </c>
      <c r="I56" s="14">
        <f>IF(E56&lt;0,_xlfn.RANK.EQ(E56,$E$44:$E$57,1)+COUNTIF($E$44:E56,E56)-1,"")</f>
        <v>13</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c r="E57" s="14">
        <f t="shared" si="7"/>
        <v>-3</v>
      </c>
      <c r="F57" s="14">
        <f t="shared" si="8"/>
        <v>3</v>
      </c>
      <c r="G57" s="14" t="str">
        <f>IFERROR(
    INDEX(panduan!$C$167:$G$171,
          MATCH($F$37,panduan!$B$167:$B$171,0),
          MATCH($F57,panduan!$C$166:$G$166,0)
    ),
"")</f>
        <v/>
      </c>
      <c r="H57" s="141" t="str">
        <f t="shared" si="9"/>
        <v/>
      </c>
      <c r="I57" s="14">
        <f>IF(E57&lt;0,_xlfn.RANK.EQ(E57,$E$44:$E$57,1)+COUNTIF($E$44:E57,E57)-1,"")</f>
        <v>14</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84" t="s">
        <v>6736</v>
      </c>
      <c r="B1" s="285"/>
      <c r="C1" s="285"/>
      <c r="D1" s="285"/>
      <c r="E1" s="285"/>
      <c r="F1" s="285"/>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86" t="s">
        <v>6751</v>
      </c>
      <c r="B34" s="287"/>
      <c r="C34" s="287"/>
      <c r="D34" s="287"/>
      <c r="E34" s="287"/>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8" t="s">
        <v>6764</v>
      </c>
      <c r="C1" s="289"/>
      <c r="D1" s="289"/>
      <c r="E1" s="289"/>
      <c r="F1" s="289"/>
      <c r="G1" s="289"/>
      <c r="H1" s="289"/>
      <c r="I1" s="289"/>
      <c r="J1" s="289"/>
      <c r="K1" s="289"/>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84" t="s">
        <v>6775</v>
      </c>
      <c r="B1" s="284"/>
      <c r="C1" s="284"/>
      <c r="D1" s="284"/>
      <c r="E1" s="284"/>
      <c r="F1" s="284"/>
      <c r="G1" s="284"/>
      <c r="H1" s="284"/>
      <c r="I1" s="284"/>
      <c r="J1" s="284"/>
      <c r="K1" s="284"/>
      <c r="L1" s="284"/>
      <c r="M1" s="284"/>
      <c r="N1" s="284"/>
      <c r="O1" s="284"/>
      <c r="P1" s="284"/>
      <c r="Q1" s="284"/>
      <c r="R1" s="284"/>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84" t="s">
        <v>6856</v>
      </c>
      <c r="B1" s="284"/>
      <c r="C1" s="284"/>
      <c r="D1" s="284"/>
      <c r="E1" s="284"/>
      <c r="F1" s="284"/>
      <c r="G1" s="284"/>
      <c r="H1" s="284"/>
      <c r="I1" s="284"/>
      <c r="J1" s="284"/>
      <c r="K1" s="284"/>
      <c r="L1" s="284"/>
      <c r="M1" s="284"/>
      <c r="N1" s="284"/>
      <c r="O1" s="284"/>
      <c r="P1" s="284"/>
      <c r="Q1" s="284"/>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93" t="s">
        <v>443</v>
      </c>
      <c r="B12" s="294" t="s">
        <v>467</v>
      </c>
      <c r="C12" s="294" t="s">
        <v>6874</v>
      </c>
      <c r="D12" s="294" t="s">
        <v>6875</v>
      </c>
      <c r="E12" s="260" t="s">
        <v>6876</v>
      </c>
      <c r="F12" s="260"/>
      <c r="G12" s="260"/>
      <c r="H12" s="290" t="s">
        <v>6877</v>
      </c>
      <c r="I12" s="290" t="s">
        <v>6878</v>
      </c>
      <c r="J12" s="290" t="s">
        <v>6879</v>
      </c>
      <c r="K12" s="290" t="s">
        <v>6880</v>
      </c>
      <c r="L12" s="290" t="s">
        <v>6881</v>
      </c>
      <c r="M12" s="290" t="s">
        <v>6882</v>
      </c>
      <c r="N12" s="296">
        <v>1</v>
      </c>
      <c r="O12" s="296">
        <v>2</v>
      </c>
      <c r="P12" s="296">
        <v>3</v>
      </c>
      <c r="Q12" s="297">
        <f>AVERAGE(N12:P14)</f>
        <v>2</v>
      </c>
      <c r="R12" s="261">
        <f>AVERAGE(N12:P14)</f>
        <v>2</v>
      </c>
    </row>
    <row r="13" spans="1:26" s="262" customFormat="1" ht="49.9" customHeight="1">
      <c r="A13" s="293"/>
      <c r="B13" s="294"/>
      <c r="C13" s="294"/>
      <c r="D13" s="294"/>
      <c r="E13" s="260" t="s">
        <v>6883</v>
      </c>
      <c r="F13" s="260"/>
      <c r="G13" s="260"/>
      <c r="H13" s="291"/>
      <c r="I13" s="291"/>
      <c r="J13" s="291"/>
      <c r="K13" s="291"/>
      <c r="L13" s="291"/>
      <c r="M13" s="291"/>
      <c r="N13" s="296"/>
      <c r="O13" s="296"/>
      <c r="P13" s="296"/>
      <c r="Q13" s="297"/>
      <c r="R13" s="259"/>
    </row>
    <row r="14" spans="1:26" s="262" customFormat="1" ht="49.9" customHeight="1">
      <c r="A14" s="293"/>
      <c r="B14" s="294"/>
      <c r="C14" s="294"/>
      <c r="D14" s="294"/>
      <c r="E14" s="260" t="s">
        <v>6884</v>
      </c>
      <c r="F14" s="260"/>
      <c r="G14" s="260"/>
      <c r="H14" s="292"/>
      <c r="I14" s="292"/>
      <c r="J14" s="292"/>
      <c r="K14" s="292"/>
      <c r="L14" s="292"/>
      <c r="M14" s="292"/>
      <c r="N14" s="296"/>
      <c r="O14" s="296"/>
      <c r="P14" s="296"/>
      <c r="Q14" s="297"/>
      <c r="R14" s="259"/>
    </row>
    <row r="15" spans="1:26" s="262" customFormat="1" ht="49.9" customHeight="1">
      <c r="A15" s="293" t="s">
        <v>443</v>
      </c>
      <c r="B15" s="294" t="s">
        <v>485</v>
      </c>
      <c r="C15" s="294" t="s">
        <v>6885</v>
      </c>
      <c r="D15" s="294" t="s">
        <v>6886</v>
      </c>
      <c r="E15" s="260" t="s">
        <v>6887</v>
      </c>
      <c r="F15" s="260"/>
      <c r="G15" s="260"/>
      <c r="H15" s="290" t="s">
        <v>6888</v>
      </c>
      <c r="I15" s="290" t="s">
        <v>6889</v>
      </c>
      <c r="J15" s="290" t="s">
        <v>6890</v>
      </c>
      <c r="K15" s="290" t="s">
        <v>6891</v>
      </c>
      <c r="L15" s="290" t="s">
        <v>6892</v>
      </c>
      <c r="M15" s="290" t="s">
        <v>6893</v>
      </c>
      <c r="N15" s="296">
        <v>2</v>
      </c>
      <c r="O15" s="296">
        <v>3</v>
      </c>
      <c r="P15" s="296">
        <v>4</v>
      </c>
      <c r="Q15" s="297">
        <f>AVERAGE(N15:P17)</f>
        <v>3</v>
      </c>
      <c r="R15" s="261">
        <f>AVERAGE(N15:P17)</f>
        <v>3</v>
      </c>
    </row>
    <row r="16" spans="1:26" s="262" customFormat="1" ht="49.9" customHeight="1">
      <c r="A16" s="293"/>
      <c r="B16" s="294"/>
      <c r="C16" s="294"/>
      <c r="D16" s="294"/>
      <c r="E16" s="260" t="s">
        <v>6894</v>
      </c>
      <c r="F16" s="260"/>
      <c r="G16" s="260"/>
      <c r="H16" s="291"/>
      <c r="I16" s="291"/>
      <c r="J16" s="291"/>
      <c r="K16" s="291"/>
      <c r="L16" s="291"/>
      <c r="M16" s="291"/>
      <c r="N16" s="296"/>
      <c r="O16" s="296"/>
      <c r="P16" s="296"/>
      <c r="Q16" s="297"/>
      <c r="R16" s="259"/>
    </row>
    <row r="17" spans="1:18" s="262" customFormat="1" ht="49.9" customHeight="1">
      <c r="A17" s="293"/>
      <c r="B17" s="294"/>
      <c r="C17" s="294"/>
      <c r="D17" s="294"/>
      <c r="E17" s="260" t="s">
        <v>6895</v>
      </c>
      <c r="F17" s="260"/>
      <c r="G17" s="260"/>
      <c r="H17" s="292"/>
      <c r="I17" s="292"/>
      <c r="J17" s="292"/>
      <c r="K17" s="292"/>
      <c r="L17" s="292"/>
      <c r="M17" s="292"/>
      <c r="N17" s="296"/>
      <c r="O17" s="296"/>
      <c r="P17" s="296"/>
      <c r="Q17" s="297"/>
      <c r="R17" s="259"/>
    </row>
    <row r="18" spans="1:18" s="262" customFormat="1" ht="49.9" customHeight="1">
      <c r="A18" s="293" t="s">
        <v>443</v>
      </c>
      <c r="B18" s="294" t="s">
        <v>6749</v>
      </c>
      <c r="C18" s="294" t="s">
        <v>6896</v>
      </c>
      <c r="D18" s="294" t="s">
        <v>6897</v>
      </c>
      <c r="E18" s="260" t="s">
        <v>6898</v>
      </c>
      <c r="F18" s="260"/>
      <c r="G18" s="260"/>
      <c r="H18" s="290" t="s">
        <v>6899</v>
      </c>
      <c r="I18" s="290" t="s">
        <v>6900</v>
      </c>
      <c r="J18" s="290" t="s">
        <v>6901</v>
      </c>
      <c r="K18" s="290" t="s">
        <v>6902</v>
      </c>
      <c r="L18" s="290" t="s">
        <v>6903</v>
      </c>
      <c r="M18" s="290" t="s">
        <v>6904</v>
      </c>
      <c r="N18" s="296">
        <v>3</v>
      </c>
      <c r="O18" s="296">
        <v>4</v>
      </c>
      <c r="P18" s="296">
        <v>5</v>
      </c>
      <c r="Q18" s="297">
        <f>AVERAGE(N18:P20)</f>
        <v>4</v>
      </c>
      <c r="R18" s="261">
        <f>AVERAGE(N18:P20)</f>
        <v>4</v>
      </c>
    </row>
    <row r="19" spans="1:18" s="262" customFormat="1" ht="49.9" customHeight="1">
      <c r="A19" s="293"/>
      <c r="B19" s="294"/>
      <c r="C19" s="294"/>
      <c r="D19" s="294"/>
      <c r="E19" s="260" t="s">
        <v>6905</v>
      </c>
      <c r="F19" s="260"/>
      <c r="G19" s="260"/>
      <c r="H19" s="291"/>
      <c r="I19" s="291"/>
      <c r="J19" s="291"/>
      <c r="K19" s="291"/>
      <c r="L19" s="291"/>
      <c r="M19" s="291"/>
      <c r="N19" s="296"/>
      <c r="O19" s="296"/>
      <c r="P19" s="296"/>
      <c r="Q19" s="297"/>
      <c r="R19" s="259"/>
    </row>
    <row r="20" spans="1:18" s="262" customFormat="1" ht="49.9" customHeight="1">
      <c r="A20" s="293"/>
      <c r="B20" s="294"/>
      <c r="C20" s="294"/>
      <c r="D20" s="294"/>
      <c r="E20" s="260" t="s">
        <v>6906</v>
      </c>
      <c r="F20" s="260"/>
      <c r="G20" s="260"/>
      <c r="H20" s="292"/>
      <c r="I20" s="292"/>
      <c r="J20" s="292"/>
      <c r="K20" s="292"/>
      <c r="L20" s="292"/>
      <c r="M20" s="292"/>
      <c r="N20" s="296"/>
      <c r="O20" s="296"/>
      <c r="P20" s="296"/>
      <c r="Q20" s="297"/>
      <c r="R20" s="259"/>
    </row>
    <row r="21" spans="1:18" s="262" customFormat="1" ht="49.9" customHeight="1">
      <c r="A21" s="293" t="s">
        <v>443</v>
      </c>
      <c r="B21" s="294" t="s">
        <v>517</v>
      </c>
      <c r="C21" s="294" t="s">
        <v>6907</v>
      </c>
      <c r="D21" s="294" t="s">
        <v>6908</v>
      </c>
      <c r="E21" s="260" t="s">
        <v>6909</v>
      </c>
      <c r="F21" s="260"/>
      <c r="G21" s="260"/>
      <c r="H21" s="290" t="s">
        <v>6910</v>
      </c>
      <c r="I21" s="290" t="s">
        <v>6911</v>
      </c>
      <c r="J21" s="290" t="s">
        <v>6912</v>
      </c>
      <c r="K21" s="290" t="s">
        <v>6913</v>
      </c>
      <c r="L21" s="290" t="s">
        <v>6914</v>
      </c>
      <c r="M21" s="290" t="s">
        <v>6915</v>
      </c>
      <c r="N21" s="296">
        <v>4</v>
      </c>
      <c r="O21" s="296">
        <v>5</v>
      </c>
      <c r="P21" s="296">
        <v>1</v>
      </c>
      <c r="Q21" s="297">
        <f>AVERAGE(N21:P23)</f>
        <v>3.3333333333333335</v>
      </c>
      <c r="R21" s="261">
        <f>AVERAGE(N21:P23)</f>
        <v>3.3333333333333335</v>
      </c>
    </row>
    <row r="22" spans="1:18" s="262" customFormat="1" ht="49.9" customHeight="1">
      <c r="A22" s="293"/>
      <c r="B22" s="294"/>
      <c r="C22" s="294"/>
      <c r="D22" s="294"/>
      <c r="E22" s="260" t="s">
        <v>6916</v>
      </c>
      <c r="F22" s="260"/>
      <c r="G22" s="260"/>
      <c r="H22" s="291"/>
      <c r="I22" s="291"/>
      <c r="J22" s="291"/>
      <c r="K22" s="291"/>
      <c r="L22" s="291"/>
      <c r="M22" s="291"/>
      <c r="N22" s="296"/>
      <c r="O22" s="296"/>
      <c r="P22" s="296"/>
      <c r="Q22" s="297"/>
      <c r="R22" s="259"/>
    </row>
    <row r="23" spans="1:18" s="262" customFormat="1" ht="49.9" customHeight="1">
      <c r="A23" s="293"/>
      <c r="B23" s="294"/>
      <c r="C23" s="294"/>
      <c r="D23" s="294"/>
      <c r="E23" s="260" t="s">
        <v>6917</v>
      </c>
      <c r="F23" s="260"/>
      <c r="G23" s="260"/>
      <c r="H23" s="292"/>
      <c r="I23" s="292"/>
      <c r="J23" s="292"/>
      <c r="K23" s="292"/>
      <c r="L23" s="292"/>
      <c r="M23" s="292"/>
      <c r="N23" s="296"/>
      <c r="O23" s="296"/>
      <c r="P23" s="296"/>
      <c r="Q23" s="297"/>
      <c r="R23" s="259"/>
    </row>
    <row r="24" spans="1:18" s="262" customFormat="1" ht="49.9" customHeight="1">
      <c r="A24" s="295" t="s">
        <v>441</v>
      </c>
      <c r="B24" s="295" t="s">
        <v>467</v>
      </c>
      <c r="C24" s="295" t="s">
        <v>6918</v>
      </c>
      <c r="D24" s="295" t="s">
        <v>6919</v>
      </c>
      <c r="E24" s="263" t="s">
        <v>6920</v>
      </c>
      <c r="F24" s="266"/>
      <c r="G24" s="266"/>
      <c r="H24" s="295" t="s">
        <v>6921</v>
      </c>
      <c r="I24" s="295" t="s">
        <v>6922</v>
      </c>
      <c r="J24" s="295" t="s">
        <v>6923</v>
      </c>
      <c r="K24" s="295" t="s">
        <v>6924</v>
      </c>
      <c r="L24" s="295" t="s">
        <v>6925</v>
      </c>
      <c r="M24" s="295" t="s">
        <v>6926</v>
      </c>
      <c r="N24" s="296">
        <v>5</v>
      </c>
      <c r="O24" s="296">
        <v>1</v>
      </c>
      <c r="P24" s="296">
        <v>2</v>
      </c>
      <c r="Q24" s="297">
        <f>AVERAGE(N24:P26)</f>
        <v>2.6666666666666665</v>
      </c>
      <c r="R24" s="261">
        <f>AVERAGE(N24:P26)</f>
        <v>2.6666666666666665</v>
      </c>
    </row>
    <row r="25" spans="1:18" s="262" customFormat="1" ht="49.9" customHeight="1">
      <c r="A25" s="295"/>
      <c r="B25" s="295"/>
      <c r="C25" s="295"/>
      <c r="D25" s="295"/>
      <c r="E25" s="263" t="s">
        <v>6927</v>
      </c>
      <c r="F25" s="266"/>
      <c r="G25" s="266"/>
      <c r="H25" s="295"/>
      <c r="I25" s="295"/>
      <c r="J25" s="295"/>
      <c r="K25" s="295"/>
      <c r="L25" s="295"/>
      <c r="M25" s="295"/>
      <c r="N25" s="296"/>
      <c r="O25" s="296"/>
      <c r="P25" s="296"/>
      <c r="Q25" s="297"/>
      <c r="R25" s="259"/>
    </row>
    <row r="26" spans="1:18" s="262" customFormat="1" ht="49.9" customHeight="1">
      <c r="A26" s="295"/>
      <c r="B26" s="295"/>
      <c r="C26" s="295"/>
      <c r="D26" s="295"/>
      <c r="E26" s="263" t="s">
        <v>6928</v>
      </c>
      <c r="F26" s="266"/>
      <c r="G26" s="266"/>
      <c r="H26" s="295"/>
      <c r="I26" s="295"/>
      <c r="J26" s="295"/>
      <c r="K26" s="295"/>
      <c r="L26" s="295"/>
      <c r="M26" s="295"/>
      <c r="N26" s="296"/>
      <c r="O26" s="296"/>
      <c r="P26" s="296"/>
      <c r="Q26" s="297"/>
      <c r="R26" s="259"/>
    </row>
    <row r="27" spans="1:18" s="262" customFormat="1" ht="49.9" customHeight="1">
      <c r="A27" s="295" t="s">
        <v>441</v>
      </c>
      <c r="B27" s="295" t="s">
        <v>485</v>
      </c>
      <c r="C27" s="295" t="s">
        <v>6929</v>
      </c>
      <c r="D27" s="295" t="s">
        <v>6930</v>
      </c>
      <c r="E27" s="263" t="s">
        <v>6931</v>
      </c>
      <c r="F27" s="266"/>
      <c r="G27" s="266"/>
      <c r="H27" s="295" t="s">
        <v>6932</v>
      </c>
      <c r="I27" s="295" t="s">
        <v>6933</v>
      </c>
      <c r="J27" s="295" t="s">
        <v>6934</v>
      </c>
      <c r="K27" s="295" t="s">
        <v>6935</v>
      </c>
      <c r="L27" s="295" t="s">
        <v>6936</v>
      </c>
      <c r="M27" s="295" t="s">
        <v>6937</v>
      </c>
      <c r="N27" s="296">
        <v>1</v>
      </c>
      <c r="O27" s="296">
        <v>2</v>
      </c>
      <c r="P27" s="296">
        <v>3</v>
      </c>
      <c r="Q27" s="297">
        <f>AVERAGE(N27:P29)</f>
        <v>2</v>
      </c>
      <c r="R27" s="261">
        <f>AVERAGE(N27:P29)</f>
        <v>2</v>
      </c>
    </row>
    <row r="28" spans="1:18" s="262" customFormat="1" ht="49.9" customHeight="1">
      <c r="A28" s="295"/>
      <c r="B28" s="295"/>
      <c r="C28" s="295"/>
      <c r="D28" s="295"/>
      <c r="E28" s="263" t="s">
        <v>6938</v>
      </c>
      <c r="F28" s="266"/>
      <c r="G28" s="266"/>
      <c r="H28" s="295"/>
      <c r="I28" s="295"/>
      <c r="J28" s="295"/>
      <c r="K28" s="295"/>
      <c r="L28" s="295"/>
      <c r="M28" s="295"/>
      <c r="N28" s="296"/>
      <c r="O28" s="296"/>
      <c r="P28" s="296"/>
      <c r="Q28" s="297"/>
      <c r="R28" s="259"/>
    </row>
    <row r="29" spans="1:18" s="262" customFormat="1" ht="49.9" customHeight="1">
      <c r="A29" s="295"/>
      <c r="B29" s="295"/>
      <c r="C29" s="295"/>
      <c r="D29" s="295"/>
      <c r="E29" s="263" t="s">
        <v>6939</v>
      </c>
      <c r="F29" s="266"/>
      <c r="G29" s="266"/>
      <c r="H29" s="295"/>
      <c r="I29" s="295"/>
      <c r="J29" s="295"/>
      <c r="K29" s="295"/>
      <c r="L29" s="295"/>
      <c r="M29" s="295"/>
      <c r="N29" s="296"/>
      <c r="O29" s="296"/>
      <c r="P29" s="296"/>
      <c r="Q29" s="297"/>
      <c r="R29" s="259"/>
    </row>
    <row r="30" spans="1:18" s="262" customFormat="1" ht="49.9" customHeight="1">
      <c r="A30" s="295" t="s">
        <v>441</v>
      </c>
      <c r="B30" s="295" t="s">
        <v>6749</v>
      </c>
      <c r="C30" s="295" t="s">
        <v>6940</v>
      </c>
      <c r="D30" s="295" t="s">
        <v>6941</v>
      </c>
      <c r="E30" s="263" t="s">
        <v>6942</v>
      </c>
      <c r="F30" s="266"/>
      <c r="G30" s="266"/>
      <c r="H30" s="295" t="s">
        <v>6943</v>
      </c>
      <c r="I30" s="295" t="s">
        <v>6944</v>
      </c>
      <c r="J30" s="295" t="s">
        <v>6945</v>
      </c>
      <c r="K30" s="295" t="s">
        <v>6946</v>
      </c>
      <c r="L30" s="295" t="s">
        <v>6947</v>
      </c>
      <c r="M30" s="295" t="s">
        <v>6948</v>
      </c>
      <c r="N30" s="296">
        <v>2</v>
      </c>
      <c r="O30" s="296">
        <v>3</v>
      </c>
      <c r="P30" s="296">
        <v>4</v>
      </c>
      <c r="Q30" s="297">
        <f>AVERAGE(N30:P32)</f>
        <v>3</v>
      </c>
      <c r="R30" s="261">
        <f>AVERAGE(N30:P32)</f>
        <v>3</v>
      </c>
    </row>
    <row r="31" spans="1:18" s="262" customFormat="1" ht="49.9" customHeight="1">
      <c r="A31" s="295"/>
      <c r="B31" s="295"/>
      <c r="C31" s="295"/>
      <c r="D31" s="295"/>
      <c r="E31" s="263" t="s">
        <v>6949</v>
      </c>
      <c r="F31" s="266"/>
      <c r="G31" s="266"/>
      <c r="H31" s="295"/>
      <c r="I31" s="295"/>
      <c r="J31" s="295"/>
      <c r="K31" s="295"/>
      <c r="L31" s="295"/>
      <c r="M31" s="295"/>
      <c r="N31" s="296"/>
      <c r="O31" s="296"/>
      <c r="P31" s="296"/>
      <c r="Q31" s="297"/>
      <c r="R31" s="259"/>
    </row>
    <row r="32" spans="1:18" s="262" customFormat="1" ht="49.9" customHeight="1">
      <c r="A32" s="295"/>
      <c r="B32" s="295"/>
      <c r="C32" s="295"/>
      <c r="D32" s="295"/>
      <c r="E32" s="263" t="s">
        <v>6950</v>
      </c>
      <c r="F32" s="266"/>
      <c r="G32" s="266"/>
      <c r="H32" s="295"/>
      <c r="I32" s="295"/>
      <c r="J32" s="295"/>
      <c r="K32" s="295"/>
      <c r="L32" s="295"/>
      <c r="M32" s="295"/>
      <c r="N32" s="296"/>
      <c r="O32" s="296"/>
      <c r="P32" s="296"/>
      <c r="Q32" s="297"/>
      <c r="R32" s="259"/>
    </row>
    <row r="33" spans="17:17">
      <c r="Q33" s="267">
        <f>AVERAGE(Q12:Q32)</f>
        <v>2.8571428571428572</v>
      </c>
    </row>
  </sheetData>
  <mergeCells count="99">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I21:I23"/>
    <mergeCell ref="J21:J23"/>
    <mergeCell ref="K21:K23"/>
    <mergeCell ref="L21:L23"/>
    <mergeCell ref="M21:M23"/>
    <mergeCell ref="A21:A23"/>
    <mergeCell ref="B21:B23"/>
    <mergeCell ref="C21:C23"/>
    <mergeCell ref="D21:D23"/>
    <mergeCell ref="H21:H23"/>
    <mergeCell ref="Q21:Q23"/>
    <mergeCell ref="N15:N17"/>
    <mergeCell ref="O15:O17"/>
    <mergeCell ref="P15:P17"/>
    <mergeCell ref="Q15:Q17"/>
    <mergeCell ref="N18:N20"/>
    <mergeCell ref="O18:O20"/>
    <mergeCell ref="P18:P20"/>
    <mergeCell ref="Q18:Q20"/>
    <mergeCell ref="N21:N23"/>
    <mergeCell ref="O21:O23"/>
    <mergeCell ref="P21:P23"/>
    <mergeCell ref="A18:A20"/>
    <mergeCell ref="B18:B20"/>
    <mergeCell ref="C18:C20"/>
    <mergeCell ref="D18:D20"/>
    <mergeCell ref="H18:H20"/>
    <mergeCell ref="I18:I20"/>
    <mergeCell ref="J18:J20"/>
    <mergeCell ref="K18:K20"/>
    <mergeCell ref="L18:L20"/>
    <mergeCell ref="M18:M20"/>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A24:A26"/>
    <mergeCell ref="I24:I26"/>
    <mergeCell ref="J24:J26"/>
    <mergeCell ref="K24:K26"/>
    <mergeCell ref="L24:L26"/>
    <mergeCell ref="H24:H26"/>
    <mergeCell ref="M24:M26"/>
    <mergeCell ref="N24:N26"/>
    <mergeCell ref="O24:O26"/>
    <mergeCell ref="P24:P26"/>
    <mergeCell ref="B24:B26"/>
    <mergeCell ref="K15:K17"/>
    <mergeCell ref="L15:L17"/>
    <mergeCell ref="M15:M17"/>
    <mergeCell ref="A15:A17"/>
    <mergeCell ref="B15:B17"/>
    <mergeCell ref="C15:C17"/>
    <mergeCell ref="D15:D17"/>
    <mergeCell ref="H15:H17"/>
    <mergeCell ref="I15:I17"/>
    <mergeCell ref="J15:J17"/>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8" t="s">
        <v>6951</v>
      </c>
      <c r="B1" s="288"/>
      <c r="C1" s="288"/>
      <c r="D1" s="288"/>
      <c r="E1" s="288"/>
      <c r="F1" s="288"/>
      <c r="G1" s="288"/>
      <c r="H1" s="288"/>
      <c r="I1" s="288"/>
      <c r="J1" s="288"/>
      <c r="K1" s="288"/>
      <c r="L1" s="288"/>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301" t="s">
        <v>441</v>
      </c>
      <c r="C25" s="298" t="s">
        <v>7023</v>
      </c>
      <c r="D25" s="54" t="s">
        <v>7024</v>
      </c>
      <c r="E25" s="298" t="s">
        <v>7025</v>
      </c>
      <c r="F25" s="54" t="s">
        <v>7026</v>
      </c>
      <c r="G25" s="300" t="s">
        <v>7027</v>
      </c>
      <c r="H25" s="300" t="s">
        <v>7028</v>
      </c>
      <c r="I25" s="95"/>
    </row>
    <row r="26" spans="2:9" ht="87">
      <c r="B26" s="302"/>
      <c r="C26" s="299"/>
      <c r="D26" s="55" t="s">
        <v>7029</v>
      </c>
      <c r="E26" s="299"/>
      <c r="F26" s="55" t="s">
        <v>7030</v>
      </c>
      <c r="G26" s="299"/>
      <c r="H26" s="299"/>
      <c r="I26" s="96"/>
    </row>
    <row r="27" spans="2:9" ht="72.5">
      <c r="B27" s="47" t="s">
        <v>442</v>
      </c>
      <c r="C27" s="56" t="s">
        <v>7031</v>
      </c>
      <c r="D27" s="57" t="s">
        <v>7032</v>
      </c>
      <c r="E27" s="58" t="s">
        <v>7033</v>
      </c>
      <c r="F27" s="58" t="s">
        <v>7034</v>
      </c>
      <c r="G27" s="52" t="s">
        <v>7035</v>
      </c>
      <c r="H27" s="52" t="s">
        <v>7036</v>
      </c>
      <c r="I27" s="96"/>
    </row>
    <row r="28" spans="2:9" ht="58">
      <c r="B28" s="301" t="s">
        <v>443</v>
      </c>
      <c r="C28" s="59" t="s">
        <v>7037</v>
      </c>
      <c r="D28" s="60" t="s">
        <v>7038</v>
      </c>
      <c r="E28" s="303" t="s">
        <v>7039</v>
      </c>
      <c r="F28" s="305" t="s">
        <v>7040</v>
      </c>
      <c r="G28" s="305" t="s">
        <v>7041</v>
      </c>
      <c r="H28" s="305" t="s">
        <v>7042</v>
      </c>
      <c r="I28" s="95"/>
    </row>
    <row r="29" spans="2:9" ht="72.5">
      <c r="B29" s="302"/>
      <c r="C29" s="61" t="s">
        <v>7043</v>
      </c>
      <c r="D29" s="62" t="s">
        <v>7044</v>
      </c>
      <c r="E29" s="304"/>
      <c r="F29" s="306"/>
      <c r="G29" s="306"/>
      <c r="H29" s="306"/>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307" t="s">
        <v>4</v>
      </c>
      <c r="C43" s="52" t="s">
        <v>7093</v>
      </c>
      <c r="D43" s="65" t="s">
        <v>7094</v>
      </c>
      <c r="E43" s="74" t="s">
        <v>7095</v>
      </c>
      <c r="F43" s="48" t="s">
        <v>7096</v>
      </c>
      <c r="G43" s="113" t="s">
        <v>7062</v>
      </c>
    </row>
    <row r="44" spans="1:9" ht="72.5">
      <c r="A44" s="72">
        <v>2</v>
      </c>
      <c r="B44" s="308"/>
      <c r="C44" s="52" t="s">
        <v>7097</v>
      </c>
      <c r="D44" s="65" t="s">
        <v>7098</v>
      </c>
      <c r="E44" s="74" t="s">
        <v>7099</v>
      </c>
      <c r="F44" s="48" t="s">
        <v>6998</v>
      </c>
      <c r="G44" s="113" t="s">
        <v>7100</v>
      </c>
    </row>
    <row r="45" spans="1:9" ht="72.5">
      <c r="A45" s="72">
        <v>3</v>
      </c>
      <c r="B45" s="309" t="s">
        <v>6</v>
      </c>
      <c r="C45" s="52" t="s">
        <v>7101</v>
      </c>
      <c r="D45" s="65" t="s">
        <v>7057</v>
      </c>
      <c r="E45" s="74" t="s">
        <v>7102</v>
      </c>
      <c r="F45" s="48" t="s">
        <v>7103</v>
      </c>
      <c r="G45" s="113" t="s">
        <v>7104</v>
      </c>
    </row>
    <row r="46" spans="1:9" ht="72.5">
      <c r="A46" s="72">
        <v>4</v>
      </c>
      <c r="B46" s="310"/>
      <c r="C46" s="52" t="s">
        <v>7105</v>
      </c>
      <c r="D46" s="75" t="s">
        <v>7106</v>
      </c>
      <c r="E46" s="74" t="s">
        <v>7107</v>
      </c>
      <c r="F46" s="48" t="s">
        <v>7108</v>
      </c>
      <c r="G46" s="113" t="s">
        <v>7109</v>
      </c>
    </row>
    <row r="47" spans="1:9" ht="72.5">
      <c r="A47" s="72">
        <v>5</v>
      </c>
      <c r="B47" s="307" t="s">
        <v>7110</v>
      </c>
      <c r="C47" s="52" t="s">
        <v>7111</v>
      </c>
      <c r="D47" s="75" t="s">
        <v>7076</v>
      </c>
      <c r="E47" s="74" t="s">
        <v>7112</v>
      </c>
      <c r="F47" s="48" t="s">
        <v>7113</v>
      </c>
      <c r="G47" s="113" t="s">
        <v>7006</v>
      </c>
    </row>
    <row r="48" spans="1:9" ht="72.5">
      <c r="A48" s="72">
        <v>6</v>
      </c>
      <c r="B48" s="308"/>
      <c r="C48" s="52" t="s">
        <v>7114</v>
      </c>
      <c r="D48" s="75" t="s">
        <v>7115</v>
      </c>
      <c r="E48" s="74" t="s">
        <v>7116</v>
      </c>
      <c r="F48" s="48" t="s">
        <v>7117</v>
      </c>
      <c r="G48" s="113" t="s">
        <v>7064</v>
      </c>
    </row>
    <row r="49" spans="1:7" ht="58">
      <c r="A49" s="72">
        <v>7</v>
      </c>
      <c r="B49" s="309" t="s">
        <v>649</v>
      </c>
      <c r="C49" s="52" t="s">
        <v>7020</v>
      </c>
      <c r="D49" s="75" t="s">
        <v>7059</v>
      </c>
      <c r="E49" s="74" t="s">
        <v>7118</v>
      </c>
      <c r="F49" s="48" t="s">
        <v>7026</v>
      </c>
      <c r="G49" s="113" t="s">
        <v>7119</v>
      </c>
    </row>
    <row r="50" spans="1:7" ht="72.5">
      <c r="A50" s="72">
        <v>8</v>
      </c>
      <c r="B50" s="310"/>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311" t="s">
        <v>7223</v>
      </c>
      <c r="C192" s="13" t="s">
        <v>7224</v>
      </c>
      <c r="D192" s="166"/>
      <c r="E192" s="166"/>
      <c r="F192" s="166"/>
      <c r="G192" s="166"/>
      <c r="H192" s="166"/>
    </row>
    <row r="193" spans="2:8" ht="70" hidden="1">
      <c r="B193" s="313"/>
      <c r="C193" s="13" t="s">
        <v>7225</v>
      </c>
      <c r="D193" s="165" t="s">
        <v>7226</v>
      </c>
      <c r="E193" s="165" t="s">
        <v>7226</v>
      </c>
      <c r="F193" s="165" t="s">
        <v>7226</v>
      </c>
      <c r="G193" s="165" t="s">
        <v>7226</v>
      </c>
      <c r="H193" s="166"/>
    </row>
    <row r="194" spans="2:8" ht="70" hidden="1">
      <c r="B194" s="313"/>
      <c r="C194" s="13" t="s">
        <v>7227</v>
      </c>
      <c r="D194" s="165" t="s">
        <v>7228</v>
      </c>
      <c r="E194" s="165" t="s">
        <v>7228</v>
      </c>
      <c r="F194" s="165" t="s">
        <v>7228</v>
      </c>
      <c r="G194" s="165" t="s">
        <v>7226</v>
      </c>
      <c r="H194" s="166"/>
    </row>
    <row r="195" spans="2:8" ht="70" hidden="1">
      <c r="B195" s="313"/>
      <c r="C195" s="13" t="s">
        <v>7229</v>
      </c>
      <c r="D195" s="165" t="s">
        <v>7230</v>
      </c>
      <c r="E195" s="165" t="s">
        <v>7230</v>
      </c>
      <c r="F195" s="165" t="s">
        <v>7228</v>
      </c>
      <c r="G195" s="165" t="s">
        <v>7226</v>
      </c>
      <c r="H195" s="166"/>
    </row>
    <row r="196" spans="2:8" ht="70" hidden="1">
      <c r="B196" s="313"/>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312" t="s">
        <v>7203</v>
      </c>
      <c r="E198" s="312"/>
      <c r="F198" s="312"/>
      <c r="G198" s="312"/>
      <c r="H198" s="312"/>
    </row>
    <row r="201" spans="2:8" ht="70">
      <c r="B201" s="311" t="s">
        <v>7223</v>
      </c>
      <c r="C201" s="13" t="s">
        <v>7224</v>
      </c>
      <c r="D201" s="105" t="s">
        <v>7226</v>
      </c>
      <c r="E201" s="105" t="s">
        <v>7226</v>
      </c>
      <c r="F201" s="105" t="s">
        <v>7226</v>
      </c>
      <c r="G201" s="105" t="s">
        <v>7226</v>
      </c>
      <c r="H201" s="105" t="s">
        <v>7226</v>
      </c>
    </row>
    <row r="202" spans="2:8" ht="70">
      <c r="B202" s="313"/>
      <c r="C202" s="13" t="s">
        <v>7225</v>
      </c>
      <c r="D202" s="105" t="s">
        <v>7226</v>
      </c>
      <c r="E202" s="105" t="s">
        <v>7226</v>
      </c>
      <c r="F202" s="105" t="s">
        <v>7226</v>
      </c>
      <c r="G202" s="105" t="s">
        <v>7226</v>
      </c>
      <c r="H202" s="105" t="s">
        <v>7226</v>
      </c>
    </row>
    <row r="203" spans="2:8" ht="88.15" customHeight="1">
      <c r="B203" s="313"/>
      <c r="C203" s="13" t="s">
        <v>7227</v>
      </c>
      <c r="D203" s="105" t="s">
        <v>7226</v>
      </c>
      <c r="E203" s="105" t="s">
        <v>7226</v>
      </c>
      <c r="F203" s="105" t="s">
        <v>7226</v>
      </c>
      <c r="G203" s="105" t="s">
        <v>7226</v>
      </c>
      <c r="H203" s="105" t="s">
        <v>7226</v>
      </c>
    </row>
    <row r="204" spans="2:8" ht="70">
      <c r="B204" s="313"/>
      <c r="C204" s="13" t="s">
        <v>7229</v>
      </c>
      <c r="D204" s="105" t="s">
        <v>7228</v>
      </c>
      <c r="E204" s="105" t="s">
        <v>7228</v>
      </c>
      <c r="F204" s="105" t="s">
        <v>7226</v>
      </c>
      <c r="G204" s="105" t="s">
        <v>7226</v>
      </c>
      <c r="H204" s="105" t="s">
        <v>7226</v>
      </c>
    </row>
    <row r="205" spans="2:8" ht="70">
      <c r="B205" s="313"/>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312" t="s">
        <v>7203</v>
      </c>
      <c r="E207" s="312"/>
      <c r="F207" s="312"/>
      <c r="G207" s="312"/>
      <c r="H207" s="312"/>
    </row>
    <row r="210" spans="2:8">
      <c r="B210" s="311" t="s">
        <v>7223</v>
      </c>
      <c r="C210" s="13" t="s">
        <v>7231</v>
      </c>
      <c r="D210" s="105" t="s">
        <v>7204</v>
      </c>
      <c r="E210" s="189" t="s">
        <v>7205</v>
      </c>
      <c r="F210" s="190" t="s">
        <v>7206</v>
      </c>
      <c r="G210" s="191" t="s">
        <v>7206</v>
      </c>
      <c r="H210" s="193" t="s">
        <v>7206</v>
      </c>
    </row>
    <row r="211" spans="2:8">
      <c r="B211" s="311"/>
      <c r="C211" s="13" t="s">
        <v>7229</v>
      </c>
      <c r="D211" s="189" t="s">
        <v>7205</v>
      </c>
      <c r="E211" s="189" t="s">
        <v>7205</v>
      </c>
      <c r="F211" s="190" t="s">
        <v>7206</v>
      </c>
      <c r="G211" s="191" t="s">
        <v>7206</v>
      </c>
      <c r="H211" s="193" t="s">
        <v>7206</v>
      </c>
    </row>
    <row r="212" spans="2:8">
      <c r="B212" s="311"/>
      <c r="C212" s="13" t="s">
        <v>7227</v>
      </c>
      <c r="D212" s="190" t="s">
        <v>7206</v>
      </c>
      <c r="E212" s="190" t="s">
        <v>7206</v>
      </c>
      <c r="F212" s="190" t="s">
        <v>7206</v>
      </c>
      <c r="G212" s="191" t="s">
        <v>7206</v>
      </c>
      <c r="H212" s="193" t="s">
        <v>7206</v>
      </c>
    </row>
    <row r="213" spans="2:8">
      <c r="B213" s="311"/>
      <c r="C213" s="13" t="s">
        <v>7225</v>
      </c>
      <c r="D213" s="191" t="s">
        <v>7206</v>
      </c>
      <c r="E213" s="191" t="s">
        <v>7206</v>
      </c>
      <c r="F213" s="191" t="s">
        <v>7206</v>
      </c>
      <c r="G213" s="191" t="s">
        <v>7206</v>
      </c>
      <c r="H213" s="193" t="s">
        <v>7206</v>
      </c>
    </row>
    <row r="214" spans="2:8" ht="15" customHeight="1">
      <c r="B214" s="311"/>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312" t="s">
        <v>7203</v>
      </c>
      <c r="E216" s="312"/>
      <c r="F216" s="312"/>
      <c r="G216" s="312"/>
      <c r="H216" s="312"/>
    </row>
    <row r="219" spans="2:8">
      <c r="B219" s="311" t="s">
        <v>7223</v>
      </c>
      <c r="C219" s="13" t="s">
        <v>7231</v>
      </c>
      <c r="D219" s="109">
        <v>1</v>
      </c>
      <c r="E219" s="189" t="s">
        <v>7204</v>
      </c>
      <c r="F219" s="190" t="s">
        <v>7205</v>
      </c>
      <c r="G219" s="191" t="s">
        <v>7206</v>
      </c>
      <c r="H219" s="192" t="s">
        <v>7206</v>
      </c>
    </row>
    <row r="220" spans="2:8">
      <c r="B220" s="311"/>
      <c r="C220" s="13" t="s">
        <v>7229</v>
      </c>
      <c r="D220" s="189" t="s">
        <v>7204</v>
      </c>
      <c r="E220" s="189" t="s">
        <v>7204</v>
      </c>
      <c r="F220" s="190" t="s">
        <v>7205</v>
      </c>
      <c r="G220" s="191" t="s">
        <v>7206</v>
      </c>
      <c r="H220" s="192" t="s">
        <v>7206</v>
      </c>
    </row>
    <row r="221" spans="2:8">
      <c r="B221" s="311"/>
      <c r="C221" s="13" t="s">
        <v>7227</v>
      </c>
      <c r="D221" s="190" t="s">
        <v>7205</v>
      </c>
      <c r="E221" s="190" t="s">
        <v>7205</v>
      </c>
      <c r="F221" s="190" t="s">
        <v>7205</v>
      </c>
      <c r="G221" s="191" t="s">
        <v>7206</v>
      </c>
      <c r="H221" s="192" t="s">
        <v>7206</v>
      </c>
    </row>
    <row r="222" spans="2:8">
      <c r="B222" s="311"/>
      <c r="C222" s="13" t="s">
        <v>7225</v>
      </c>
      <c r="D222" s="191" t="s">
        <v>7206</v>
      </c>
      <c r="E222" s="191" t="s">
        <v>7206</v>
      </c>
      <c r="F222" s="191" t="s">
        <v>7206</v>
      </c>
      <c r="G222" s="191" t="s">
        <v>7206</v>
      </c>
      <c r="H222" s="192" t="s">
        <v>7206</v>
      </c>
    </row>
    <row r="223" spans="2:8">
      <c r="B223" s="311"/>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312" t="s">
        <v>7203</v>
      </c>
      <c r="E225" s="312"/>
      <c r="F225" s="312"/>
      <c r="G225" s="312"/>
      <c r="H225" s="312"/>
    </row>
  </sheetData>
  <mergeCells count="22">
    <mergeCell ref="B210:B214"/>
    <mergeCell ref="D216:H216"/>
    <mergeCell ref="B219:B223"/>
    <mergeCell ref="D225:H225"/>
    <mergeCell ref="B192:B196"/>
    <mergeCell ref="D198:H198"/>
    <mergeCell ref="B201:B205"/>
    <mergeCell ref="D207:H207"/>
    <mergeCell ref="B43:B44"/>
    <mergeCell ref="B45:B46"/>
    <mergeCell ref="B47:B48"/>
    <mergeCell ref="B49:B50"/>
    <mergeCell ref="B25:B26"/>
    <mergeCell ref="E25:E26"/>
    <mergeCell ref="G25:G26"/>
    <mergeCell ref="H25:H26"/>
    <mergeCell ref="B28:B29"/>
    <mergeCell ref="E28:E29"/>
    <mergeCell ref="F28:F29"/>
    <mergeCell ref="G28:G29"/>
    <mergeCell ref="H28:H29"/>
    <mergeCell ref="C25:C2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2026-10-01T10:22:18Z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