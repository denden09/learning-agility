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activeTab="7"/>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<sst xmlns="http://schemas.openxmlformats.org/spreadsheetml/2006/main" count="11811" uniqueCount="7239">
  <si>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</si>
  <si>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</si>
  <si>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Samuel Eko Yulianto</t>
  </si>
  <si>
    <t>Nama Atasan yang menilai</t>
  </si>
  <si>
    <t>Agung Sedayu</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</si>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</sst>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b/>
      <sz val="11"/>
      <color rgb="FF7030A0"/>
      <name val="Biome"/>
      <charset val="134"/>
    </font>
    <font>
      <b/>
      <sz val="11"/>
      <color theme="7" tint="-0.499984740745262"/>
      <name val="Biome"/>
      <charset val="134"/>
    </font>
    <font>
      <i/>
      <sz val="11"/>
      <color theme="7" tint="-0.499984740745262"/>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i/>
      <sz val="11"/>
      <color theme="5" tint="-0.499984740745262"/>
      <name val="Biome"/>
      <charset val="134"/>
    </font>
    <font>
      <b/>
      <i/>
      <sz val="11"/>
      <color theme="5" tint="-0.499984740745262"/>
      <name val="Biome"/>
      <charset val="134"/>
    </font>
    <font>
      <i/>
      <sz val="11"/>
      <color rgb="FF833C0C"/>
      <name val="Biome"/>
      <charset val="134"/>
    </font>
    <font>
      <b/>
      <sz val="11"/>
      <color theme="7" tint="-0.249977111117893"/>
      <name val="Biome"/>
      <charset val="134"/>
    </font>
    <font>
      <i/>
      <sz val="11"/>
      <color theme="7" tint="-0.249977111117893"/>
      <name val="Biome"/>
      <charset val="134"/>
    </font>
    <font>
      <i/>
      <sz val="11"/>
      <color rgb="FF7030A0"/>
      <name val="Biome"/>
      <charset val="134"/>
    </font>
    <font>
      <b/>
      <i/>
      <sz val="11"/>
      <color rgb="FF7030A0"/>
      <name val="Biome"/>
      <charset val="134"/>
    </font>
    <font>
      <b/>
      <sz val="11"/>
      <color rgb="FF375623"/>
      <name val="Biome"/>
      <charset val="134"/>
    </font>
    <font>
      <i/>
      <sz val="11"/>
      <color rgb="FF375623"/>
      <name val="Biome"/>
      <charset val="134"/>
    </font>
    <font>
      <b/>
      <sz val="11"/>
      <color rgb="FF548235"/>
      <name val="Biome"/>
      <charset val="134"/>
    </font>
    <font>
      <i/>
      <sz val="11"/>
      <color rgb="FF548235"/>
      <name val="Biome"/>
      <charset val="134"/>
    </font>
    <font>
      <b/>
      <i/>
      <sz val="11"/>
      <color rgb="FF548235"/>
      <name val="Biome"/>
      <charset val="134"/>
    </font>
    <font>
      <b/>
      <i/>
      <sz val="11"/>
      <color rgb="FF833C0C"/>
      <name val="Biome"/>
      <charset val="134"/>
    </font>
    <font>
      <b/>
      <sz val="11"/>
      <color rgb="FF806000"/>
      <name val="Biome"/>
      <charset val="134"/>
    </font>
    <font>
      <i/>
      <sz val="11"/>
      <color rgb="FF806000"/>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7">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2" fontId="45" fillId="9" borderId="1" xfId="0" applyNumberFormat="1" applyFont="1" applyFill="1" applyBorder="1" applyAlignment="1">
      <alignment horizontal="center" vertical="center" wrapText="1"/>
    </xf>
    <xf numFmtId="2" fontId="45" fillId="9" borderId="1" xfId="0" applyNumberFormat="1" applyFont="1" applyFill="1" applyBorder="1" applyAlignment="1">
      <alignment horizontal="center"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2" fontId="45" fillId="8" borderId="1" xfId="0" applyNumberFormat="1" applyFont="1" applyFill="1" applyBorder="1" applyAlignment="1">
      <alignment horizontal="center" vertical="center" wrapText="1"/>
    </xf>
    <xf numFmtId="2" fontId="45" fillId="8" borderId="1" xfId="0" applyNumberFormat="1" applyFont="1" applyFill="1" applyBorder="1" applyAlignment="1">
      <alignment horizontal="center" vertical="center"/>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ac9332cf-7302-43ca-ba8f-24ece41b124e}"/>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d054b896-5208-4030-95fd-f7753989831d}"/>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46043.6770023148</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F20"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Samuel Eko Yulianto</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46043.6770023148</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9" customHeight="1" spans="1:16">
      <c r="A13" s="284">
        <v>1</v>
      </c>
      <c r="B13" s="282" t="s">
        <v>34</v>
      </c>
      <c r="C13" s="282" t="s">
        <v>35</v>
      </c>
      <c r="D13" s="283" t="s">
        <v>36</v>
      </c>
      <c r="E13" s="283" t="s">
        <v>37</v>
      </c>
      <c r="F13" s="283" t="s">
        <v>38</v>
      </c>
      <c r="G13" s="283" t="s">
        <v>39</v>
      </c>
      <c r="H13" s="283" t="s">
        <v>40</v>
      </c>
      <c r="I13" s="284">
        <v>4</v>
      </c>
      <c r="J13" s="285" t="s">
        <v>39</v>
      </c>
      <c r="K13" s="284">
        <v>2</v>
      </c>
      <c r="L13" s="285" t="s">
        <v>37</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4">
        <f>A13+1</f>
        <v>2</v>
      </c>
      <c r="B14" s="282" t="s">
        <v>41</v>
      </c>
      <c r="C14" s="282" t="s">
        <v>42</v>
      </c>
      <c r="D14" s="283" t="s">
        <v>43</v>
      </c>
      <c r="E14" s="283" t="s">
        <v>44</v>
      </c>
      <c r="F14" s="283" t="s">
        <v>45</v>
      </c>
      <c r="G14" s="283" t="s">
        <v>46</v>
      </c>
      <c r="H14" s="283" t="s">
        <v>47</v>
      </c>
      <c r="I14" s="284">
        <v>5</v>
      </c>
      <c r="J14" s="285" t="s">
        <v>47</v>
      </c>
      <c r="K14" s="284">
        <v>3</v>
      </c>
      <c r="L14" s="285" t="s">
        <v>45</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4">
        <f t="shared" ref="A15:A22" si="1">A14+1</f>
        <v>3</v>
      </c>
      <c r="B15" s="282" t="s">
        <v>48</v>
      </c>
      <c r="C15" s="282" t="s">
        <v>49</v>
      </c>
      <c r="D15" s="283" t="s">
        <v>50</v>
      </c>
      <c r="E15" s="283" t="s">
        <v>51</v>
      </c>
      <c r="F15" s="283" t="s">
        <v>52</v>
      </c>
      <c r="G15" s="283" t="s">
        <v>53</v>
      </c>
      <c r="H15" s="283" t="s">
        <v>54</v>
      </c>
      <c r="I15" s="284">
        <v>1</v>
      </c>
      <c r="J15" s="285" t="s">
        <v>50</v>
      </c>
      <c r="K15" s="284">
        <v>4</v>
      </c>
      <c r="L15" s="285" t="s">
        <v>53</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4">
        <f t="shared" si="1"/>
        <v>4</v>
      </c>
      <c r="B16" s="282" t="s">
        <v>55</v>
      </c>
      <c r="C16" s="282" t="s">
        <v>56</v>
      </c>
      <c r="D16" s="283" t="s">
        <v>57</v>
      </c>
      <c r="E16" s="283" t="s">
        <v>58</v>
      </c>
      <c r="F16" s="283" t="s">
        <v>59</v>
      </c>
      <c r="G16" s="283" t="s">
        <v>60</v>
      </c>
      <c r="H16" s="283" t="s">
        <v>61</v>
      </c>
      <c r="I16" s="284">
        <v>2</v>
      </c>
      <c r="J16" s="285" t="s">
        <v>58</v>
      </c>
      <c r="K16" s="284">
        <v>5</v>
      </c>
      <c r="L16" s="285" t="s">
        <v>61</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4">
        <f t="shared" si="1"/>
        <v>5</v>
      </c>
      <c r="B17" s="282" t="s">
        <v>62</v>
      </c>
      <c r="C17" s="282" t="s">
        <v>63</v>
      </c>
      <c r="D17" s="283" t="s">
        <v>64</v>
      </c>
      <c r="E17" s="283" t="s">
        <v>65</v>
      </c>
      <c r="F17" s="283" t="s">
        <v>66</v>
      </c>
      <c r="G17" s="283" t="s">
        <v>67</v>
      </c>
      <c r="H17" s="283" t="s">
        <v>68</v>
      </c>
      <c r="I17" s="284">
        <v>3</v>
      </c>
      <c r="J17" s="285" t="s">
        <v>66</v>
      </c>
      <c r="K17" s="284">
        <v>1</v>
      </c>
      <c r="L17" s="285" t="s">
        <v>64</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4">
        <f t="shared" si="1"/>
        <v>6</v>
      </c>
      <c r="B18" s="282" t="s">
        <v>69</v>
      </c>
      <c r="C18" s="282" t="s">
        <v>70</v>
      </c>
      <c r="D18" s="283" t="s">
        <v>71</v>
      </c>
      <c r="E18" s="283" t="s">
        <v>72</v>
      </c>
      <c r="F18" s="283" t="s">
        <v>73</v>
      </c>
      <c r="G18" s="283" t="s">
        <v>74</v>
      </c>
      <c r="H18" s="283" t="s">
        <v>75</v>
      </c>
      <c r="I18" s="284">
        <v>4</v>
      </c>
      <c r="J18" s="285" t="s">
        <v>74</v>
      </c>
      <c r="K18" s="284">
        <v>2</v>
      </c>
      <c r="L18" s="285" t="s">
        <v>72</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4">
        <f t="shared" si="1"/>
        <v>7</v>
      </c>
      <c r="B19" s="282" t="s">
        <v>76</v>
      </c>
      <c r="C19" s="282" t="s">
        <v>77</v>
      </c>
      <c r="D19" s="283" t="s">
        <v>78</v>
      </c>
      <c r="E19" s="283" t="s">
        <v>79</v>
      </c>
      <c r="F19" s="283" t="s">
        <v>80</v>
      </c>
      <c r="G19" s="283" t="s">
        <v>81</v>
      </c>
      <c r="H19" s="283" t="s">
        <v>82</v>
      </c>
      <c r="I19" s="284">
        <v>5</v>
      </c>
      <c r="J19" s="285" t="s">
        <v>82</v>
      </c>
      <c r="K19" s="284">
        <v>3</v>
      </c>
      <c r="L19" s="285" t="s">
        <v>80</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4">
        <f t="shared" si="1"/>
        <v>8</v>
      </c>
      <c r="B20" s="282" t="s">
        <v>83</v>
      </c>
      <c r="C20" s="282" t="s">
        <v>84</v>
      </c>
      <c r="D20" s="283" t="s">
        <v>85</v>
      </c>
      <c r="E20" s="283" t="s">
        <v>86</v>
      </c>
      <c r="F20" s="283" t="s">
        <v>87</v>
      </c>
      <c r="G20" s="283" t="s">
        <v>88</v>
      </c>
      <c r="H20" s="283" t="s">
        <v>89</v>
      </c>
      <c r="I20" s="284">
        <v>1</v>
      </c>
      <c r="J20" s="285" t="s">
        <v>85</v>
      </c>
      <c r="K20" s="284">
        <v>4</v>
      </c>
      <c r="L20" s="285" t="s">
        <v>88</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4">
        <f t="shared" si="1"/>
        <v>9</v>
      </c>
      <c r="B21" s="282" t="s">
        <v>90</v>
      </c>
      <c r="C21" s="282" t="s">
        <v>91</v>
      </c>
      <c r="D21" s="283" t="s">
        <v>92</v>
      </c>
      <c r="E21" s="283" t="s">
        <v>93</v>
      </c>
      <c r="F21" s="283" t="s">
        <v>94</v>
      </c>
      <c r="G21" s="283" t="s">
        <v>95</v>
      </c>
      <c r="H21" s="283" t="s">
        <v>96</v>
      </c>
      <c r="I21" s="284">
        <v>2</v>
      </c>
      <c r="J21" s="285" t="s">
        <v>93</v>
      </c>
      <c r="K21" s="284">
        <v>5</v>
      </c>
      <c r="L21" s="285" t="s">
        <v>96</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4">
        <f t="shared" si="1"/>
        <v>10</v>
      </c>
      <c r="B22" s="282" t="s">
        <v>97</v>
      </c>
      <c r="C22" s="282" t="s">
        <v>98</v>
      </c>
      <c r="D22" s="283" t="s">
        <v>99</v>
      </c>
      <c r="E22" s="283" t="s">
        <v>100</v>
      </c>
      <c r="F22" s="283" t="s">
        <v>101</v>
      </c>
      <c r="G22" s="283" t="s">
        <v>102</v>
      </c>
      <c r="H22" s="283" t="s">
        <v>103</v>
      </c>
      <c r="I22" s="284">
        <v>3</v>
      </c>
      <c r="J22" s="285" t="s">
        <v>101</v>
      </c>
      <c r="K22" s="284">
        <v>1</v>
      </c>
      <c r="L22" s="285" t="s">
        <v>99</v>
      </c>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8" t="s">
        <v>104</v>
      </c>
      <c r="B23" s="289"/>
      <c r="C23" s="289"/>
      <c r="D23" s="289"/>
      <c r="E23" s="289"/>
      <c r="F23" s="289"/>
      <c r="G23" s="289"/>
      <c r="H23" s="289"/>
      <c r="I23" s="290">
        <f>AVERAGE(I13:J22)</f>
        <v>3</v>
      </c>
      <c r="J23" s="290">
        <f>AVERAGE(J13:K22)</f>
        <v>3</v>
      </c>
      <c r="K23" s="290">
        <f>AVERAGE(K13:L22)</f>
        <v>3</v>
      </c>
      <c r="L23" s="295"/>
      <c r="M23" s="292">
        <f t="shared" si="2"/>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8" customWidth="1"/>
    <col min="10" max="10" width="30.7545454545455" style="278" hidden="1" customWidth="1"/>
    <col min="11" max="11" width="8.83636363636364" style="278"/>
    <col min="12" max="12" width="30.7545454545455" style="278"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Samuel Eko Yulianto</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46043.6770023148</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43.15" customHeight="1" spans="1:16">
      <c r="A13" s="284">
        <v>1</v>
      </c>
      <c r="B13" s="282" t="s">
        <v>105</v>
      </c>
      <c r="C13" s="283" t="s">
        <v>106</v>
      </c>
      <c r="D13" s="283" t="s">
        <v>107</v>
      </c>
      <c r="E13" s="283" t="s">
        <v>108</v>
      </c>
      <c r="F13" s="283" t="s">
        <v>109</v>
      </c>
      <c r="G13" s="283" t="s">
        <v>110</v>
      </c>
      <c r="H13" s="283" t="s">
        <v>111</v>
      </c>
      <c r="I13" s="284">
        <v>4</v>
      </c>
      <c r="J13" s="285" t="s">
        <v>110</v>
      </c>
      <c r="K13" s="284">
        <v>2</v>
      </c>
      <c r="L13" s="284" t="s">
        <v>108</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6">
        <v>2</v>
      </c>
      <c r="B14" s="282" t="s">
        <v>112</v>
      </c>
      <c r="C14" s="282" t="s">
        <v>113</v>
      </c>
      <c r="D14" s="283" t="s">
        <v>114</v>
      </c>
      <c r="E14" s="283" t="s">
        <v>115</v>
      </c>
      <c r="F14" s="283" t="s">
        <v>116</v>
      </c>
      <c r="G14" s="283" t="s">
        <v>117</v>
      </c>
      <c r="H14" s="283" t="s">
        <v>118</v>
      </c>
      <c r="I14" s="284">
        <v>5</v>
      </c>
      <c r="J14" s="285" t="s">
        <v>118</v>
      </c>
      <c r="K14" s="284">
        <v>3</v>
      </c>
      <c r="L14" s="284" t="s">
        <v>116</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4">
        <v>3</v>
      </c>
      <c r="B15" s="282" t="s">
        <v>119</v>
      </c>
      <c r="C15" s="282" t="s">
        <v>120</v>
      </c>
      <c r="D15" s="283" t="s">
        <v>121</v>
      </c>
      <c r="E15" s="283" t="s">
        <v>122</v>
      </c>
      <c r="F15" s="283" t="s">
        <v>123</v>
      </c>
      <c r="G15" s="283" t="s">
        <v>124</v>
      </c>
      <c r="H15" s="283" t="s">
        <v>125</v>
      </c>
      <c r="I15" s="284">
        <v>1</v>
      </c>
      <c r="J15" s="285" t="s">
        <v>121</v>
      </c>
      <c r="K15" s="284">
        <v>4</v>
      </c>
      <c r="L15" s="284" t="s">
        <v>124</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4">
        <v>4</v>
      </c>
      <c r="B16" s="282" t="s">
        <v>126</v>
      </c>
      <c r="C16" s="282" t="s">
        <v>127</v>
      </c>
      <c r="D16" s="283" t="s">
        <v>128</v>
      </c>
      <c r="E16" s="283" t="s">
        <v>129</v>
      </c>
      <c r="F16" s="283" t="s">
        <v>130</v>
      </c>
      <c r="G16" s="283" t="s">
        <v>131</v>
      </c>
      <c r="H16" s="283" t="s">
        <v>132</v>
      </c>
      <c r="I16" s="284">
        <v>2</v>
      </c>
      <c r="J16" s="285" t="s">
        <v>129</v>
      </c>
      <c r="K16" s="284">
        <v>5</v>
      </c>
      <c r="L16" s="284" t="s">
        <v>132</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4">
        <v>5</v>
      </c>
      <c r="B17" s="282" t="s">
        <v>133</v>
      </c>
      <c r="C17" s="282" t="s">
        <v>134</v>
      </c>
      <c r="D17" s="283" t="s">
        <v>135</v>
      </c>
      <c r="E17" s="283" t="s">
        <v>136</v>
      </c>
      <c r="F17" s="283" t="s">
        <v>137</v>
      </c>
      <c r="G17" s="283" t="s">
        <v>138</v>
      </c>
      <c r="H17" s="283" t="s">
        <v>139</v>
      </c>
      <c r="I17" s="284">
        <v>3</v>
      </c>
      <c r="J17" s="285" t="s">
        <v>137</v>
      </c>
      <c r="K17" s="284">
        <v>1</v>
      </c>
      <c r="L17" s="284" t="s">
        <v>135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4">
        <v>6</v>
      </c>
      <c r="B18" s="282" t="s">
        <v>140</v>
      </c>
      <c r="C18" s="282" t="s">
        <v>141</v>
      </c>
      <c r="D18" s="283" t="s">
        <v>142</v>
      </c>
      <c r="E18" s="283" t="s">
        <v>143</v>
      </c>
      <c r="F18" s="283" t="s">
        <v>144</v>
      </c>
      <c r="G18" s="283" t="s">
        <v>145</v>
      </c>
      <c r="H18" s="283" t="s">
        <v>146</v>
      </c>
      <c r="I18" s="284">
        <v>4</v>
      </c>
      <c r="J18" s="285" t="s">
        <v>145</v>
      </c>
      <c r="K18" s="284">
        <v>2</v>
      </c>
      <c r="L18" s="284" t="s">
        <v>143</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 spans="1:16">
      <c r="A19" s="284">
        <v>7</v>
      </c>
      <c r="B19" s="282" t="s">
        <v>147</v>
      </c>
      <c r="C19" s="282" t="s">
        <v>148</v>
      </c>
      <c r="D19" s="283" t="s">
        <v>149</v>
      </c>
      <c r="E19" s="283" t="s">
        <v>150</v>
      </c>
      <c r="F19" s="283" t="s">
        <v>151</v>
      </c>
      <c r="G19" s="283" t="s">
        <v>152</v>
      </c>
      <c r="H19" s="283" t="s">
        <v>153</v>
      </c>
      <c r="I19" s="284">
        <v>5</v>
      </c>
      <c r="J19" s="285" t="s">
        <v>153</v>
      </c>
      <c r="K19" s="284">
        <v>3</v>
      </c>
      <c r="L19" s="284" t="s">
        <v>151</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4">
        <v>8</v>
      </c>
      <c r="B20" s="282" t="s">
        <v>154</v>
      </c>
      <c r="C20" s="282" t="s">
        <v>155</v>
      </c>
      <c r="D20" s="283" t="s">
        <v>156</v>
      </c>
      <c r="E20" s="283" t="s">
        <v>157</v>
      </c>
      <c r="F20" s="283" t="s">
        <v>158</v>
      </c>
      <c r="G20" s="283" t="s">
        <v>159</v>
      </c>
      <c r="H20" s="283" t="s">
        <v>160</v>
      </c>
      <c r="I20" s="284">
        <v>1</v>
      </c>
      <c r="J20" s="285" t="s">
        <v>156</v>
      </c>
      <c r="K20" s="284">
        <v>4</v>
      </c>
      <c r="L20" s="284" t="s">
        <v>159</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6">
        <v>9</v>
      </c>
      <c r="B21" s="282" t="s">
        <v>161</v>
      </c>
      <c r="C21" s="282" t="s">
        <v>162</v>
      </c>
      <c r="D21" s="283" t="s">
        <v>163</v>
      </c>
      <c r="E21" s="283" t="s">
        <v>164</v>
      </c>
      <c r="F21" s="283" t="s">
        <v>165</v>
      </c>
      <c r="G21" s="283" t="s">
        <v>166</v>
      </c>
      <c r="H21" s="283" t="s">
        <v>167</v>
      </c>
      <c r="I21" s="284">
        <v>2</v>
      </c>
      <c r="J21" s="285" t="s">
        <v>164</v>
      </c>
      <c r="K21" s="284">
        <v>5</v>
      </c>
      <c r="L21" s="284" t="s">
        <v>167</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4">
        <v>10</v>
      </c>
      <c r="B22" s="282" t="s">
        <v>168</v>
      </c>
      <c r="C22" s="282" t="s">
        <v>169</v>
      </c>
      <c r="D22" s="283" t="s">
        <v>170</v>
      </c>
      <c r="E22" s="283" t="s">
        <v>171</v>
      </c>
      <c r="F22" s="283" t="s">
        <v>172</v>
      </c>
      <c r="G22" s="283" t="s">
        <v>173</v>
      </c>
      <c r="H22" s="283" t="s">
        <v>174</v>
      </c>
      <c r="I22" s="284">
        <v>3</v>
      </c>
      <c r="J22" s="285" t="s">
        <v>172</v>
      </c>
      <c r="K22" s="284">
        <v>1</v>
      </c>
      <c r="L22" s="284" t="s">
        <v>170</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0">
        <f>AVERAGE(J13:K22)</f>
        <v>3</v>
      </c>
      <c r="K23" s="290">
        <f>AVERAGE(K13:L22)</f>
        <v>3</v>
      </c>
      <c r="L23" s="290"/>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Samuel Eko Yulianto</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46043.6770023148</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7.65" customHeight="1" spans="1:16">
      <c r="A13" s="285">
        <v>1</v>
      </c>
      <c r="B13" s="282" t="s">
        <v>175</v>
      </c>
      <c r="C13" s="282" t="s">
        <v>176</v>
      </c>
      <c r="D13" s="282" t="s">
        <v>177</v>
      </c>
      <c r="E13" s="282" t="s">
        <v>178</v>
      </c>
      <c r="F13" s="282" t="s">
        <v>179</v>
      </c>
      <c r="G13" s="282" t="s">
        <v>180</v>
      </c>
      <c r="H13" s="282" t="s">
        <v>181</v>
      </c>
      <c r="I13" s="284">
        <v>4</v>
      </c>
      <c r="J13" s="285" t="s">
        <v>180</v>
      </c>
      <c r="K13" s="284">
        <v>2</v>
      </c>
      <c r="L13" s="285" t="s">
        <v>178</v>
      </c>
      <c r="M13" s="194">
        <f t="shared" ref="M13:M23" si="0">I13-K13</f>
        <v>2</v>
      </c>
      <c r="N13" s="194" t="str" cm="1">
        <f t="array" ref="N13">_xlfn.IFS(M13&gt;=2,"Major Positive Gap",M13&gt;=1,"Minor Positive Gap",M13&gt;=0,"No Gap",M13&gt;=-1,"Minor Negative Gap",M13&lt;=-2,"Major Negative Gap")</f>
        <v>Major Positive Gap</v>
      </c>
      <c r="O13" s="85" t="s">
        <v>182</v>
      </c>
      <c r="P13" s="90" t="s">
        <v>183</v>
      </c>
    </row>
    <row r="14" ht="49.9" customHeight="1" spans="1:16">
      <c r="A14" s="285">
        <v>2</v>
      </c>
      <c r="B14" s="282" t="s">
        <v>184</v>
      </c>
      <c r="C14" s="282" t="s">
        <v>185</v>
      </c>
      <c r="D14" s="282" t="s">
        <v>186</v>
      </c>
      <c r="E14" s="282" t="s">
        <v>187</v>
      </c>
      <c r="F14" s="282" t="s">
        <v>188</v>
      </c>
      <c r="G14" s="282" t="s">
        <v>189</v>
      </c>
      <c r="H14" s="282" t="s">
        <v>190</v>
      </c>
      <c r="I14" s="284">
        <v>5</v>
      </c>
      <c r="J14" s="285" t="s">
        <v>190</v>
      </c>
      <c r="K14" s="284">
        <v>3</v>
      </c>
      <c r="L14" s="285" t="s">
        <v>188</v>
      </c>
      <c r="M14" s="194">
        <f t="shared" si="0"/>
        <v>2</v>
      </c>
      <c r="N14" s="194" t="str" cm="1">
        <f t="array" ref="N14">_xlfn.IFS(M14&gt;=2,"Major Positive Gap",M14&gt;=1,"Minor Positive Gap",M14&gt;=0,"No Gap",M14&gt;=-1,"Minor Negative Gap",M14&lt;=-2,"Major Negative Gap")</f>
        <v>Major Positive Gap</v>
      </c>
      <c r="O14" s="85" t="s">
        <v>182</v>
      </c>
      <c r="P14" s="90" t="s">
        <v>183</v>
      </c>
    </row>
    <row r="15" ht="84" customHeight="1" spans="1:16">
      <c r="A15" s="285">
        <v>3</v>
      </c>
      <c r="B15" s="282" t="s">
        <v>191</v>
      </c>
      <c r="C15" s="282" t="s">
        <v>192</v>
      </c>
      <c r="D15" s="282" t="s">
        <v>193</v>
      </c>
      <c r="E15" s="282" t="s">
        <v>194</v>
      </c>
      <c r="F15" s="282" t="s">
        <v>195</v>
      </c>
      <c r="G15" s="282" t="s">
        <v>196</v>
      </c>
      <c r="H15" s="282" t="s">
        <v>197</v>
      </c>
      <c r="I15" s="284">
        <v>1</v>
      </c>
      <c r="J15" s="285" t="s">
        <v>193</v>
      </c>
      <c r="K15" s="284">
        <v>4</v>
      </c>
      <c r="L15" s="285" t="s">
        <v>196</v>
      </c>
      <c r="M15" s="194">
        <f t="shared" si="0"/>
        <v>-3</v>
      </c>
      <c r="N15" s="194" t="str" cm="1">
        <f t="array" ref="N15">_xlfn.IFS(M15&gt;=2,"Major Positive Gap",M15&gt;=1,"Minor Positive Gap",M15&gt;=0,"No Gap",M15&gt;=-1,"Minor Negative Gap",M15&lt;=-2,"Major Negative Gap")</f>
        <v>Major Negative Gap</v>
      </c>
      <c r="O15" s="85" t="s">
        <v>198</v>
      </c>
      <c r="P15" s="90" t="s">
        <v>199</v>
      </c>
    </row>
    <row r="16" ht="71.5" customHeight="1" spans="1:16">
      <c r="A16" s="281">
        <v>4</v>
      </c>
      <c r="B16" s="282" t="s">
        <v>200</v>
      </c>
      <c r="C16" s="282" t="s">
        <v>201</v>
      </c>
      <c r="D16" s="282" t="s">
        <v>202</v>
      </c>
      <c r="E16" s="282" t="s">
        <v>203</v>
      </c>
      <c r="F16" s="282" t="s">
        <v>204</v>
      </c>
      <c r="G16" s="282" t="s">
        <v>205</v>
      </c>
      <c r="H16" s="282" t="s">
        <v>206</v>
      </c>
      <c r="I16" s="284">
        <v>2</v>
      </c>
      <c r="J16" s="285" t="s">
        <v>203</v>
      </c>
      <c r="K16" s="284">
        <v>5</v>
      </c>
      <c r="L16" s="285" t="s">
        <v>206</v>
      </c>
      <c r="M16" s="194">
        <f t="shared" si="0"/>
        <v>-3</v>
      </c>
      <c r="N16" s="194" t="str" cm="1">
        <f t="array" ref="N16">_xlfn.IFS(M16&gt;=2,"Major Positive Gap",M16&gt;=1,"Minor Positive Gap",M16&gt;=0,"No Gap",M16&gt;=-1,"Minor Negative Gap",M16&lt;=-2,"Major Negative Gap")</f>
        <v>Major Negative Gap</v>
      </c>
      <c r="O16" s="85" t="s">
        <v>207</v>
      </c>
      <c r="P16" s="90" t="s">
        <v>208</v>
      </c>
    </row>
    <row r="17" ht="60.65" customHeight="1" spans="1:16">
      <c r="A17" s="285">
        <v>5</v>
      </c>
      <c r="B17" s="282" t="s">
        <v>209</v>
      </c>
      <c r="C17" s="282" t="s">
        <v>210</v>
      </c>
      <c r="D17" s="282" t="s">
        <v>211</v>
      </c>
      <c r="E17" s="282" t="s">
        <v>212</v>
      </c>
      <c r="F17" s="282" t="s">
        <v>213</v>
      </c>
      <c r="G17" s="282" t="s">
        <v>214</v>
      </c>
      <c r="H17" s="282" t="s">
        <v>215</v>
      </c>
      <c r="I17" s="284">
        <v>3</v>
      </c>
      <c r="J17" s="285" t="s">
        <v>213</v>
      </c>
      <c r="K17" s="284">
        <v>1</v>
      </c>
      <c r="L17" s="285" t="s">
        <v>211</v>
      </c>
      <c r="M17" s="194">
        <f t="shared" si="0"/>
        <v>2</v>
      </c>
      <c r="N17" s="194" t="str" cm="1">
        <f t="array" ref="N17">_xlfn.IFS(M17&gt;=2,"Major Positive Gap",M17&gt;=1,"Minor Positive Gap",M17&gt;=0,"No Gap",M17&gt;=-1,"Minor Negative Gap",M17&lt;=-2,"Major Negative Gap")</f>
        <v>Major Positive Gap</v>
      </c>
      <c r="O17" s="85" t="s">
        <v>207</v>
      </c>
      <c r="P17" s="90" t="s">
        <v>208</v>
      </c>
    </row>
    <row r="18" ht="54" customHeight="1" spans="1:16">
      <c r="A18" s="285">
        <v>6</v>
      </c>
      <c r="B18" s="282" t="s">
        <v>216</v>
      </c>
      <c r="C18" s="282" t="s">
        <v>217</v>
      </c>
      <c r="D18" s="282" t="s">
        <v>218</v>
      </c>
      <c r="E18" s="282" t="s">
        <v>219</v>
      </c>
      <c r="F18" s="282" t="s">
        <v>220</v>
      </c>
      <c r="G18" s="282" t="s">
        <v>221</v>
      </c>
      <c r="H18" s="282" t="s">
        <v>222</v>
      </c>
      <c r="I18" s="284">
        <v>4</v>
      </c>
      <c r="J18" s="285" t="s">
        <v>221</v>
      </c>
      <c r="K18" s="284">
        <v>2</v>
      </c>
      <c r="L18" s="285" t="s">
        <v>219</v>
      </c>
      <c r="M18" s="194">
        <f t="shared" si="0"/>
        <v>2</v>
      </c>
      <c r="N18" s="194" t="str" cm="1">
        <f t="array" ref="N18">_xlfn.IFS(M18&gt;=2,"Major Positive Gap",M18&gt;=1,"Minor Positive Gap",M18&gt;=0,"No Gap",M18&gt;=-1,"Minor Negative Gap",M18&lt;=-2,"Major Negative Gap")</f>
        <v>Major Positive Gap</v>
      </c>
      <c r="O18" s="85" t="s">
        <v>223</v>
      </c>
      <c r="P18" s="90" t="s">
        <v>224</v>
      </c>
    </row>
    <row r="19" ht="71.5" customHeight="1" spans="1:16">
      <c r="A19" s="281">
        <v>7</v>
      </c>
      <c r="B19" s="282" t="s">
        <v>225</v>
      </c>
      <c r="C19" s="282" t="s">
        <v>226</v>
      </c>
      <c r="D19" s="282" t="s">
        <v>227</v>
      </c>
      <c r="E19" s="282" t="s">
        <v>228</v>
      </c>
      <c r="F19" s="282" t="s">
        <v>229</v>
      </c>
      <c r="G19" s="282" t="s">
        <v>230</v>
      </c>
      <c r="H19" s="282" t="s">
        <v>231</v>
      </c>
      <c r="I19" s="284">
        <v>5</v>
      </c>
      <c r="J19" s="285" t="s">
        <v>231</v>
      </c>
      <c r="K19" s="284">
        <v>3</v>
      </c>
      <c r="L19" s="285" t="s">
        <v>229</v>
      </c>
      <c r="M19" s="194">
        <f t="shared" si="0"/>
        <v>2</v>
      </c>
      <c r="N19" s="194" t="str" cm="1">
        <f t="array" ref="N19">_xlfn.IFS(M19&gt;=2,"Major Positive Gap",M19&gt;=1,"Minor Positive Gap",M19&gt;=0,"No Gap",M19&gt;=-1,"Minor Negative Gap",M19&lt;=-2,"Major Negative Gap")</f>
        <v>Major Positive Gap</v>
      </c>
      <c r="O19" s="85" t="s">
        <v>207</v>
      </c>
      <c r="P19" s="90" t="s">
        <v>208</v>
      </c>
    </row>
    <row r="20" ht="60" customHeight="1" spans="1:16">
      <c r="A20" s="285">
        <v>8</v>
      </c>
      <c r="B20" s="282" t="s">
        <v>232</v>
      </c>
      <c r="C20" s="282" t="s">
        <v>233</v>
      </c>
      <c r="D20" s="282" t="s">
        <v>234</v>
      </c>
      <c r="E20" s="282" t="s">
        <v>235</v>
      </c>
      <c r="F20" s="282" t="s">
        <v>236</v>
      </c>
      <c r="G20" s="282" t="s">
        <v>237</v>
      </c>
      <c r="H20" s="282" t="s">
        <v>238</v>
      </c>
      <c r="I20" s="284">
        <v>1</v>
      </c>
      <c r="J20" s="285" t="s">
        <v>234</v>
      </c>
      <c r="K20" s="284">
        <v>4</v>
      </c>
      <c r="L20" s="285" t="s">
        <v>237</v>
      </c>
      <c r="M20" s="194">
        <f t="shared" si="0"/>
        <v>-3</v>
      </c>
      <c r="N20" s="194" t="str" cm="1">
        <f t="array" ref="N20">_xlfn.IFS(M20&gt;=2,"Major Positive Gap",M20&gt;=1,"Minor Positive Gap",M20&gt;=0,"No Gap",M20&gt;=-1,"Minor Negative Gap",M20&lt;=-2,"Major Negative Gap")</f>
        <v>Major Negative Gap</v>
      </c>
      <c r="O20" s="85" t="s">
        <v>223</v>
      </c>
      <c r="P20" s="90" t="s">
        <v>224</v>
      </c>
    </row>
    <row r="21" ht="93.65" customHeight="1" spans="1:16">
      <c r="A21" s="285">
        <v>9</v>
      </c>
      <c r="B21" s="282" t="s">
        <v>239</v>
      </c>
      <c r="C21" s="282" t="s">
        <v>240</v>
      </c>
      <c r="D21" s="282" t="s">
        <v>241</v>
      </c>
      <c r="E21" s="282" t="s">
        <v>242</v>
      </c>
      <c r="F21" s="282" t="s">
        <v>243</v>
      </c>
      <c r="G21" s="282" t="s">
        <v>244</v>
      </c>
      <c r="H21" s="282" t="s">
        <v>245</v>
      </c>
      <c r="I21" s="284">
        <v>2</v>
      </c>
      <c r="J21" s="285" t="s">
        <v>242</v>
      </c>
      <c r="K21" s="284">
        <v>5</v>
      </c>
      <c r="L21" s="285" t="s">
        <v>245</v>
      </c>
      <c r="M21" s="194">
        <f t="shared" si="0"/>
        <v>-3</v>
      </c>
      <c r="N21" s="194" t="str" cm="1">
        <f t="array" ref="N21">_xlfn.IFS(M21&gt;=2,"Major Positive Gap",M21&gt;=1,"Minor Positive Gap",M21&gt;=0,"No Gap",M21&gt;=-1,"Minor Negative Gap",M21&lt;=-2,"Major Negative Gap")</f>
        <v>Major Negative Gap</v>
      </c>
      <c r="O21" s="85" t="s">
        <v>198</v>
      </c>
      <c r="P21" s="90" t="s">
        <v>199</v>
      </c>
    </row>
    <row r="22" ht="36" spans="1:16">
      <c r="A22" s="285">
        <v>10</v>
      </c>
      <c r="B22" s="282" t="s">
        <v>246</v>
      </c>
      <c r="C22" s="282" t="s">
        <v>247</v>
      </c>
      <c r="D22" s="282" t="s">
        <v>248</v>
      </c>
      <c r="E22" s="282" t="s">
        <v>249</v>
      </c>
      <c r="F22" s="282" t="s">
        <v>250</v>
      </c>
      <c r="G22" s="282" t="s">
        <v>251</v>
      </c>
      <c r="H22" s="282" t="s">
        <v>252</v>
      </c>
      <c r="I22" s="284">
        <v>3</v>
      </c>
      <c r="J22" s="285" t="s">
        <v>250</v>
      </c>
      <c r="K22" s="284">
        <v>1</v>
      </c>
      <c r="L22" s="285" t="s">
        <v>248</v>
      </c>
      <c r="M22" s="194">
        <f t="shared" si="0"/>
        <v>2</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8" t="s">
        <v>104</v>
      </c>
      <c r="B23" s="289"/>
      <c r="C23" s="289"/>
      <c r="D23" s="289"/>
      <c r="E23" s="289"/>
      <c r="F23" s="289"/>
      <c r="G23" s="289"/>
      <c r="H23" s="289"/>
      <c r="I23" s="290">
        <f>AVERAGE(I13:J22)</f>
        <v>3</v>
      </c>
      <c r="J23" s="290">
        <f>AVERAGE(J13:K22)</f>
        <v>3</v>
      </c>
      <c r="K23" s="290">
        <f>AVERAGE(K13:L22)</f>
        <v>3</v>
      </c>
      <c r="L23" s="290"/>
      <c r="M23" s="292">
        <f t="shared" si="0"/>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F1" workbookViewId="0">
      <selection activeCell="I13"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Samuel Eko Yulianto</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46043.6770023148</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8.15" customHeight="1" spans="1:16">
      <c r="A13" s="285">
        <v>1</v>
      </c>
      <c r="B13" s="282" t="s">
        <v>253</v>
      </c>
      <c r="C13" s="282" t="s">
        <v>254</v>
      </c>
      <c r="D13" s="282" t="s">
        <v>255</v>
      </c>
      <c r="E13" s="282" t="s">
        <v>256</v>
      </c>
      <c r="F13" s="282" t="s">
        <v>257</v>
      </c>
      <c r="G13" s="282" t="s">
        <v>258</v>
      </c>
      <c r="H13" s="282" t="s">
        <v>259</v>
      </c>
      <c r="I13" s="284">
        <v>4</v>
      </c>
      <c r="J13" s="285" t="s">
        <v>258</v>
      </c>
      <c r="K13" s="284">
        <v>2</v>
      </c>
      <c r="L13" s="285" t="s">
        <v>256</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5">
        <v>2</v>
      </c>
      <c r="B14" s="282" t="s">
        <v>260</v>
      </c>
      <c r="C14" s="282" t="s">
        <v>261</v>
      </c>
      <c r="D14" s="282" t="s">
        <v>262</v>
      </c>
      <c r="E14" s="282" t="s">
        <v>263</v>
      </c>
      <c r="F14" s="282" t="s">
        <v>264</v>
      </c>
      <c r="G14" s="282" t="s">
        <v>265</v>
      </c>
      <c r="H14" s="282" t="s">
        <v>266</v>
      </c>
      <c r="I14" s="284">
        <v>5</v>
      </c>
      <c r="J14" s="285" t="s">
        <v>266</v>
      </c>
      <c r="K14" s="284">
        <v>3</v>
      </c>
      <c r="L14" s="285" t="s">
        <v>264</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5">
        <v>3</v>
      </c>
      <c r="B15" s="282" t="s">
        <v>267</v>
      </c>
      <c r="C15" s="282" t="s">
        <v>268</v>
      </c>
      <c r="D15" s="282" t="s">
        <v>269</v>
      </c>
      <c r="E15" s="282" t="s">
        <v>270</v>
      </c>
      <c r="F15" s="282" t="s">
        <v>271</v>
      </c>
      <c r="G15" s="282" t="s">
        <v>272</v>
      </c>
      <c r="H15" s="282" t="s">
        <v>273</v>
      </c>
      <c r="I15" s="284">
        <v>1</v>
      </c>
      <c r="J15" s="285" t="s">
        <v>269</v>
      </c>
      <c r="K15" s="284">
        <v>4</v>
      </c>
      <c r="L15" s="285" t="s">
        <v>272</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81">
        <v>4</v>
      </c>
      <c r="B16" s="282" t="s">
        <v>274</v>
      </c>
      <c r="C16" s="282" t="s">
        <v>275</v>
      </c>
      <c r="D16" s="282" t="s">
        <v>276</v>
      </c>
      <c r="E16" s="282" t="s">
        <v>277</v>
      </c>
      <c r="F16" s="282" t="s">
        <v>278</v>
      </c>
      <c r="G16" s="282" t="s">
        <v>279</v>
      </c>
      <c r="H16" s="282" t="s">
        <v>280</v>
      </c>
      <c r="I16" s="284">
        <v>2</v>
      </c>
      <c r="J16" s="285" t="s">
        <v>277</v>
      </c>
      <c r="K16" s="284">
        <v>5</v>
      </c>
      <c r="L16" s="285" t="s">
        <v>280</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5">
        <v>5</v>
      </c>
      <c r="B17" s="282" t="s">
        <v>281</v>
      </c>
      <c r="C17" s="282" t="s">
        <v>282</v>
      </c>
      <c r="D17" s="282" t="s">
        <v>283</v>
      </c>
      <c r="E17" s="282" t="s">
        <v>284</v>
      </c>
      <c r="F17" s="282" t="s">
        <v>285</v>
      </c>
      <c r="G17" s="282" t="s">
        <v>286</v>
      </c>
      <c r="H17" s="282" t="s">
        <v>287</v>
      </c>
      <c r="I17" s="284">
        <v>3</v>
      </c>
      <c r="J17" s="285" t="s">
        <v>285</v>
      </c>
      <c r="K17" s="284">
        <v>1</v>
      </c>
      <c r="L17" s="285" t="s">
        <v>283</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5">
        <v>6</v>
      </c>
      <c r="B18" s="282" t="s">
        <v>288</v>
      </c>
      <c r="C18" s="282" t="s">
        <v>289</v>
      </c>
      <c r="D18" s="282" t="s">
        <v>290</v>
      </c>
      <c r="E18" s="282" t="s">
        <v>291</v>
      </c>
      <c r="F18" s="282" t="s">
        <v>292</v>
      </c>
      <c r="G18" s="282" t="s">
        <v>293</v>
      </c>
      <c r="H18" s="282" t="s">
        <v>294</v>
      </c>
      <c r="I18" s="284">
        <v>4</v>
      </c>
      <c r="J18" s="285" t="s">
        <v>293</v>
      </c>
      <c r="K18" s="284">
        <v>2</v>
      </c>
      <c r="L18" s="285" t="s">
        <v>291</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5">
        <v>7</v>
      </c>
      <c r="B19" s="282" t="s">
        <v>295</v>
      </c>
      <c r="C19" s="282" t="s">
        <v>296</v>
      </c>
      <c r="D19" s="282" t="s">
        <v>297</v>
      </c>
      <c r="E19" s="282" t="s">
        <v>298</v>
      </c>
      <c r="F19" s="282" t="s">
        <v>299</v>
      </c>
      <c r="G19" s="282" t="s">
        <v>300</v>
      </c>
      <c r="H19" s="282" t="s">
        <v>301</v>
      </c>
      <c r="I19" s="284">
        <v>5</v>
      </c>
      <c r="J19" s="285" t="s">
        <v>301</v>
      </c>
      <c r="K19" s="284">
        <v>3</v>
      </c>
      <c r="L19" s="285" t="s">
        <v>299</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5">
        <v>8</v>
      </c>
      <c r="B20" s="282" t="s">
        <v>302</v>
      </c>
      <c r="C20" s="282" t="s">
        <v>303</v>
      </c>
      <c r="D20" s="282" t="s">
        <v>304</v>
      </c>
      <c r="E20" s="282" t="s">
        <v>305</v>
      </c>
      <c r="F20" s="282" t="s">
        <v>306</v>
      </c>
      <c r="G20" s="282" t="s">
        <v>307</v>
      </c>
      <c r="H20" s="282" t="s">
        <v>308</v>
      </c>
      <c r="I20" s="284">
        <v>1</v>
      </c>
      <c r="J20" s="285" t="s">
        <v>304</v>
      </c>
      <c r="K20" s="284">
        <v>4</v>
      </c>
      <c r="L20" s="285" t="s">
        <v>307</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5">
        <v>9</v>
      </c>
      <c r="B21" s="282" t="s">
        <v>309</v>
      </c>
      <c r="C21" s="282" t="s">
        <v>310</v>
      </c>
      <c r="D21" s="282" t="s">
        <v>311</v>
      </c>
      <c r="E21" s="282" t="s">
        <v>312</v>
      </c>
      <c r="F21" s="282" t="s">
        <v>313</v>
      </c>
      <c r="G21" s="282" t="s">
        <v>314</v>
      </c>
      <c r="H21" s="282" t="s">
        <v>315</v>
      </c>
      <c r="I21" s="284">
        <v>2</v>
      </c>
      <c r="J21" s="285" t="s">
        <v>312</v>
      </c>
      <c r="K21" s="284">
        <v>5</v>
      </c>
      <c r="L21" s="285" t="s">
        <v>315</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81">
        <v>10</v>
      </c>
      <c r="B22" s="282" t="s">
        <v>316</v>
      </c>
      <c r="C22" s="282" t="s">
        <v>317</v>
      </c>
      <c r="D22" s="282" t="s">
        <v>318</v>
      </c>
      <c r="E22" s="282" t="s">
        <v>319</v>
      </c>
      <c r="F22" s="282" t="s">
        <v>320</v>
      </c>
      <c r="G22" s="282" t="s">
        <v>321</v>
      </c>
      <c r="H22" s="282" t="s">
        <v>322</v>
      </c>
      <c r="I22" s="284">
        <v>3</v>
      </c>
      <c r="J22" s="285" t="s">
        <v>320</v>
      </c>
      <c r="K22" s="284">
        <v>1</v>
      </c>
      <c r="L22" s="285" t="s">
        <v>318</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8" t="s">
        <v>104</v>
      </c>
      <c r="B23" s="289"/>
      <c r="C23" s="289"/>
      <c r="D23" s="289"/>
      <c r="E23" s="289"/>
      <c r="F23" s="289"/>
      <c r="G23" s="289"/>
      <c r="H23" s="289"/>
      <c r="I23" s="290">
        <f>AVERAGE(I13:J22)</f>
        <v>3</v>
      </c>
      <c r="J23" s="295">
        <f>AVERAGE(J13:K22)</f>
        <v>3</v>
      </c>
      <c r="K23" s="290">
        <f>AVERAGE(K13:L22)</f>
        <v>3</v>
      </c>
      <c r="L23" s="295"/>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8" workbookViewId="0">
      <selection activeCell="I22" sqref="I13:K22"/>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8"/>
      <c r="J1" s="278"/>
      <c r="K1" s="278"/>
      <c r="L1" s="278"/>
    </row>
    <row r="2" spans="1:16">
      <c r="B2" s="83" t="str">
        <f>Identitas!B2</f>
        <v>Nama </v>
      </c>
      <c r="C2" s="182" t="str">
        <f>Identitas!D2</f>
        <v>Samuel Eko Yulianto</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46043.6770023148</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9" t="s">
        <v>19</v>
      </c>
      <c r="B12" s="279" t="s">
        <v>20</v>
      </c>
      <c r="C12" s="279" t="s">
        <v>21</v>
      </c>
      <c r="D12" s="279" t="s">
        <v>22</v>
      </c>
      <c r="E12" s="279" t="s">
        <v>23</v>
      </c>
      <c r="F12" s="279" t="s">
        <v>24</v>
      </c>
      <c r="G12" s="279" t="s">
        <v>25</v>
      </c>
      <c r="H12" s="279" t="s">
        <v>26</v>
      </c>
      <c r="I12" s="279" t="s">
        <v>27</v>
      </c>
      <c r="J12" s="279" t="s">
        <v>28</v>
      </c>
      <c r="K12" s="279" t="s">
        <v>29</v>
      </c>
      <c r="L12" s="279" t="s">
        <v>28</v>
      </c>
      <c r="M12" s="280" t="s">
        <v>30</v>
      </c>
      <c r="N12" s="186" t="s">
        <v>31</v>
      </c>
      <c r="O12" s="186" t="s">
        <v>32</v>
      </c>
      <c r="P12" s="186" t="s">
        <v>33</v>
      </c>
    </row>
    <row r="13" ht="52.15" customHeight="1" spans="1:16">
      <c r="A13" s="281">
        <v>1</v>
      </c>
      <c r="B13" s="282" t="s">
        <v>323</v>
      </c>
      <c r="C13" s="282" t="s">
        <v>324</v>
      </c>
      <c r="D13" s="283" t="s">
        <v>325</v>
      </c>
      <c r="E13" s="283" t="s">
        <v>326</v>
      </c>
      <c r="F13" s="283" t="s">
        <v>327</v>
      </c>
      <c r="G13" s="283" t="s">
        <v>328</v>
      </c>
      <c r="H13" s="283" t="s">
        <v>329</v>
      </c>
      <c r="I13" s="284">
        <v>4</v>
      </c>
      <c r="J13" s="285" t="s">
        <v>328</v>
      </c>
      <c r="K13" s="284">
        <v>2</v>
      </c>
      <c r="L13" s="285" t="s">
        <v>326</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5">
        <v>2</v>
      </c>
      <c r="B14" s="282" t="s">
        <v>330</v>
      </c>
      <c r="C14" s="282" t="s">
        <v>331</v>
      </c>
      <c r="D14" s="283" t="s">
        <v>332</v>
      </c>
      <c r="E14" s="283" t="s">
        <v>333</v>
      </c>
      <c r="F14" s="283" t="s">
        <v>334</v>
      </c>
      <c r="G14" s="283" t="s">
        <v>335</v>
      </c>
      <c r="H14" s="283" t="s">
        <v>336</v>
      </c>
      <c r="I14" s="284">
        <v>5</v>
      </c>
      <c r="J14" s="285" t="s">
        <v>336</v>
      </c>
      <c r="K14" s="284">
        <v>3</v>
      </c>
      <c r="L14" s="285" t="s">
        <v>334</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5">
        <v>3</v>
      </c>
      <c r="B15" s="282" t="s">
        <v>337</v>
      </c>
      <c r="C15" s="282" t="s">
        <v>338</v>
      </c>
      <c r="D15" s="283" t="s">
        <v>339</v>
      </c>
      <c r="E15" s="283" t="s">
        <v>340</v>
      </c>
      <c r="F15" s="283" t="s">
        <v>341</v>
      </c>
      <c r="G15" s="283" t="s">
        <v>342</v>
      </c>
      <c r="H15" s="283" t="s">
        <v>343</v>
      </c>
      <c r="I15" s="284">
        <v>1</v>
      </c>
      <c r="J15" s="285" t="s">
        <v>339</v>
      </c>
      <c r="K15" s="284">
        <v>4</v>
      </c>
      <c r="L15" s="285" t="s">
        <v>342</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36" spans="1:16">
      <c r="A16" s="281">
        <v>4</v>
      </c>
      <c r="B16" s="282" t="s">
        <v>344</v>
      </c>
      <c r="C16" s="282" t="s">
        <v>345</v>
      </c>
      <c r="D16" s="283" t="s">
        <v>346</v>
      </c>
      <c r="E16" s="283" t="s">
        <v>347</v>
      </c>
      <c r="F16" s="283" t="s">
        <v>348</v>
      </c>
      <c r="G16" s="283" t="s">
        <v>349</v>
      </c>
      <c r="H16" s="283" t="s">
        <v>350</v>
      </c>
      <c r="I16" s="284">
        <v>2</v>
      </c>
      <c r="J16" s="285" t="s">
        <v>347</v>
      </c>
      <c r="K16" s="284">
        <v>5</v>
      </c>
      <c r="L16" s="285" t="s">
        <v>350</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5">
        <v>5</v>
      </c>
      <c r="B17" s="282" t="s">
        <v>351</v>
      </c>
      <c r="C17" s="283" t="s">
        <v>352</v>
      </c>
      <c r="D17" s="283" t="s">
        <v>353</v>
      </c>
      <c r="E17" s="283" t="s">
        <v>354</v>
      </c>
      <c r="F17" s="283" t="s">
        <v>355</v>
      </c>
      <c r="G17" s="283" t="s">
        <v>356</v>
      </c>
      <c r="H17" s="283" t="s">
        <v>357</v>
      </c>
      <c r="I17" s="284">
        <v>3</v>
      </c>
      <c r="J17" s="285" t="s">
        <v>355</v>
      </c>
      <c r="K17" s="284">
        <v>1</v>
      </c>
      <c r="L17" s="285" t="s">
        <v>353</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5">
        <v>6</v>
      </c>
      <c r="B18" s="282" t="s">
        <v>358</v>
      </c>
      <c r="C18" s="283" t="s">
        <v>359</v>
      </c>
      <c r="D18" s="283" t="s">
        <v>360</v>
      </c>
      <c r="E18" s="283" t="s">
        <v>361</v>
      </c>
      <c r="F18" s="283" t="s">
        <v>362</v>
      </c>
      <c r="G18" s="283" t="s">
        <v>363</v>
      </c>
      <c r="H18" s="283" t="s">
        <v>364</v>
      </c>
      <c r="I18" s="284">
        <v>4</v>
      </c>
      <c r="J18" s="285" t="s">
        <v>363</v>
      </c>
      <c r="K18" s="284">
        <v>2</v>
      </c>
      <c r="L18" s="285" t="s">
        <v>361</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5">
        <v>7</v>
      </c>
      <c r="B19" s="282" t="s">
        <v>365</v>
      </c>
      <c r="C19" s="283" t="s">
        <v>366</v>
      </c>
      <c r="D19" s="283" t="s">
        <v>367</v>
      </c>
      <c r="E19" s="283" t="s">
        <v>368</v>
      </c>
      <c r="F19" s="283" t="s">
        <v>369</v>
      </c>
      <c r="G19" s="283" t="s">
        <v>370</v>
      </c>
      <c r="H19" s="283" t="s">
        <v>371</v>
      </c>
      <c r="I19" s="284">
        <v>5</v>
      </c>
      <c r="J19" s="285" t="s">
        <v>371</v>
      </c>
      <c r="K19" s="284">
        <v>3</v>
      </c>
      <c r="L19" s="285" t="s">
        <v>369</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5">
        <v>8</v>
      </c>
      <c r="B20" s="282" t="s">
        <v>372</v>
      </c>
      <c r="C20" s="283" t="s">
        <v>373</v>
      </c>
      <c r="D20" s="283" t="s">
        <v>374</v>
      </c>
      <c r="E20" s="283" t="s">
        <v>375</v>
      </c>
      <c r="F20" s="283" t="s">
        <v>376</v>
      </c>
      <c r="G20" s="283" t="s">
        <v>377</v>
      </c>
      <c r="H20" s="283" t="s">
        <v>378</v>
      </c>
      <c r="I20" s="284">
        <v>1</v>
      </c>
      <c r="J20" s="285" t="s">
        <v>374</v>
      </c>
      <c r="K20" s="284">
        <v>4</v>
      </c>
      <c r="L20" s="285" t="s">
        <v>377</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48" spans="1:16">
      <c r="A21" s="285">
        <v>9</v>
      </c>
      <c r="B21" s="282" t="s">
        <v>379</v>
      </c>
      <c r="C21" s="283" t="s">
        <v>380</v>
      </c>
      <c r="D21" s="283" t="s">
        <v>381</v>
      </c>
      <c r="E21" s="283" t="s">
        <v>382</v>
      </c>
      <c r="F21" s="283" t="s">
        <v>383</v>
      </c>
      <c r="G21" s="283" t="s">
        <v>384</v>
      </c>
      <c r="H21" s="283" t="s">
        <v>385</v>
      </c>
      <c r="I21" s="284">
        <v>2</v>
      </c>
      <c r="J21" s="285" t="s">
        <v>382</v>
      </c>
      <c r="K21" s="284">
        <v>5</v>
      </c>
      <c r="L21" s="285" t="s">
        <v>385</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5">
        <v>10</v>
      </c>
      <c r="B22" s="282" t="s">
        <v>386</v>
      </c>
      <c r="C22" s="283" t="s">
        <v>387</v>
      </c>
      <c r="D22" s="286" t="s">
        <v>388</v>
      </c>
      <c r="E22" s="287" t="s">
        <v>389</v>
      </c>
      <c r="F22" s="287" t="s">
        <v>390</v>
      </c>
      <c r="G22" s="287" t="s">
        <v>391</v>
      </c>
      <c r="H22" s="287" t="s">
        <v>392</v>
      </c>
      <c r="I22" s="284">
        <v>3</v>
      </c>
      <c r="J22" s="285" t="s">
        <v>390</v>
      </c>
      <c r="K22" s="284">
        <v>1</v>
      </c>
      <c r="L22" s="285" t="s">
        <v>388</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8" t="s">
        <v>104</v>
      </c>
      <c r="B23" s="289"/>
      <c r="C23" s="289"/>
      <c r="D23" s="289"/>
      <c r="E23" s="289"/>
      <c r="F23" s="289"/>
      <c r="G23" s="289"/>
      <c r="H23" s="289"/>
      <c r="I23" s="290">
        <f>AVERAGE(I13:J22)</f>
        <v>3</v>
      </c>
      <c r="J23" s="291">
        <f>AVERAGE(J13:K22)</f>
        <v>3</v>
      </c>
      <c r="K23" s="290">
        <f>AVERAGE(K13:L22)</f>
        <v>3</v>
      </c>
      <c r="L23" s="291"/>
      <c r="M23" s="292">
        <f t="shared" si="1"/>
        <v>0</v>
      </c>
      <c r="N23" s="293" t="str" cm="1">
        <f t="array" ref="N23">_xlfn.IFS(VALUE(M23)&gt;=1,"Major Positive Gap",VALUE(M23)&gt;=0.5,"Minor Positive Gap",VALUE(M23)&gt;=-0.49,"Aligned",VALUE(M23)&gt;=-0.99,"Minor Negative Gap",VALUE(M23)&lt;=-1,"Major Negative Gap")</f>
        <v>Aligned</v>
      </c>
      <c r="O23" s="294"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E111" sqref="E111"/>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Samuel Eko Yulianto</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46043.6770023148</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2</v>
      </c>
      <c r="D25" s="242">
        <f>'mental agility'!M13</f>
        <v>2</v>
      </c>
      <c r="E25" s="243" t="str">
        <f>'mental agility'!N13</f>
        <v>Major Positive Gap</v>
      </c>
    </row>
    <row r="26" s="207" customFormat="1" ht="30" spans="1:8">
      <c r="A26" s="241" t="str">
        <f>'mental agility'!B14</f>
        <v>Root Cause Analysis
(mencari penyebab masalah)</v>
      </c>
      <c r="B26" s="241">
        <f>'mental agility'!I14</f>
        <v>5</v>
      </c>
      <c r="C26" s="241">
        <f>'mental agility'!K14</f>
        <v>3</v>
      </c>
      <c r="D26" s="242">
        <f>'mental agility'!M14</f>
        <v>2</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4</v>
      </c>
      <c r="D27" s="242">
        <f>'mental agility'!M15</f>
        <v>-3</v>
      </c>
      <c r="E27" s="243" t="str">
        <f>'mental agility'!N15</f>
        <v>Major Negative Gap</v>
      </c>
    </row>
    <row r="28" s="207" customFormat="1" ht="45" spans="1:8">
      <c r="A28" s="241" t="str">
        <f>'mental agility'!B16</f>
        <v>Explaining Complexity
(menjelaskan hal kompleks secara sederhana)</v>
      </c>
      <c r="B28" s="241">
        <f>'mental agility'!I16</f>
        <v>2</v>
      </c>
      <c r="C28" s="241">
        <f>'mental agility'!K16</f>
        <v>5</v>
      </c>
      <c r="D28" s="242">
        <f>'mental agility'!M16</f>
        <v>-3</v>
      </c>
      <c r="E28" s="243" t="str">
        <f>'mental agility'!N16</f>
        <v>Major Negative Gap</v>
      </c>
    </row>
    <row r="29" s="207" customFormat="1" ht="45" spans="1:8">
      <c r="A29" s="241" t="str">
        <f>'mental agility'!B17</f>
        <v>Intellectual Synthesis
(menghubungkan berbagai informasi)</v>
      </c>
      <c r="B29" s="241">
        <f>'mental agility'!I17</f>
        <v>3</v>
      </c>
      <c r="C29" s="241">
        <f>'mental agility'!K17</f>
        <v>1</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4</v>
      </c>
      <c r="C30" s="241">
        <f>'mental agility'!K18</f>
        <v>2</v>
      </c>
      <c r="D30" s="242">
        <f>'mental agility'!M18</f>
        <v>2</v>
      </c>
      <c r="E30" s="243" t="str">
        <f>'mental agility'!N18</f>
        <v>Major Positive Gap</v>
      </c>
    </row>
    <row r="31" s="207" customFormat="1" ht="30" spans="1:8">
      <c r="A31" s="241" t="str">
        <f>'mental agility'!B19</f>
        <v>Creative Exploration
(mencari pendekatan baru)</v>
      </c>
      <c r="B31" s="241">
        <f>'mental agility'!I19</f>
        <v>5</v>
      </c>
      <c r="C31" s="241">
        <f>'mental agility'!K19</f>
        <v>3</v>
      </c>
      <c r="D31" s="242">
        <f>'mental agility'!M19</f>
        <v>2</v>
      </c>
      <c r="E31" s="243" t="str">
        <f>'mental agility'!N19</f>
        <v>Major Positive Gap</v>
      </c>
    </row>
    <row r="32" s="207" customFormat="1" ht="30" spans="1:8">
      <c r="A32" s="241" t="str">
        <f>'mental agility'!B20</f>
        <v>Breaking Patterned thinking
(menciptakan solusi baru)</v>
      </c>
      <c r="B32" s="241">
        <f>'mental agility'!I20</f>
        <v>1</v>
      </c>
      <c r="C32" s="241">
        <f>'mental agility'!K20</f>
        <v>4</v>
      </c>
      <c r="D32" s="242">
        <f>'mental agility'!M20</f>
        <v>-3</v>
      </c>
      <c r="E32" s="243" t="str">
        <f>'mental agility'!N20</f>
        <v>Major Negative Gap</v>
      </c>
    </row>
    <row r="33" s="207" customFormat="1" ht="45" spans="1:9">
      <c r="A33" s="241" t="str">
        <f>'mental agility'!B21</f>
        <v>Comfort with Ambiguity
(tetap efektif di situasi tidak jelas)</v>
      </c>
      <c r="B33" s="241">
        <f>'mental agility'!I21</f>
        <v>2</v>
      </c>
      <c r="C33" s="241">
        <f>'mental agility'!K21</f>
        <v>5</v>
      </c>
      <c r="D33" s="242">
        <f>'mental agility'!M21</f>
        <v>-3</v>
      </c>
      <c r="E33" s="243" t="str">
        <f>'mental agility'!N21</f>
        <v>Major Negative Gap</v>
      </c>
      <c r="F33" s="207" t="s">
        <v>416</v>
      </c>
    </row>
    <row r="34" s="207" customFormat="1" ht="45" spans="1:9">
      <c r="A34" s="241" t="str">
        <f>'mental agility'!B22</f>
        <v>Tolerance for Ambiguity 
(mampu memimpin dalam uncertainty tinggi)</v>
      </c>
      <c r="B34" s="241">
        <f>'mental agility'!I22</f>
        <v>3</v>
      </c>
      <c r="C34" s="241">
        <f>'mental agility'!K22</f>
        <v>1</v>
      </c>
      <c r="D34" s="242">
        <f>'mental agility'!M22</f>
        <v>2</v>
      </c>
      <c r="E34" s="243" t="str">
        <f>'mental agility'!N22</f>
        <v>Major Positive Gap</v>
      </c>
    </row>
    <row r="35" s="207" customFormat="1" ht="30" spans="1:9">
      <c r="A35" s="240" t="s">
        <v>417</v>
      </c>
      <c r="B35" s="244">
        <f>'mental agility'!I23</f>
        <v>3</v>
      </c>
      <c r="C35" s="244">
        <f>'mental agility'!K23</f>
        <v>3</v>
      </c>
      <c r="D35" s="245">
        <f>'mental agility'!M23</f>
        <v>0</v>
      </c>
      <c r="E35" s="238" t="str">
        <f>'mental agility'!N23</f>
        <v>Aligned</v>
      </c>
    </row>
    <row r="36" spans="1:9">
      <c r="E36" s="212"/>
      <c r="H36"/>
      <c r="I36"/>
    </row>
    <row r="37" s="207" customFormat="1" ht="15" spans="1:9">
      <c r="A37" s="207" t="s">
        <v>418</v>
      </c>
      <c r="C37" s="237"/>
      <c r="D37" s="237"/>
    </row>
    <row r="38" s="207" customFormat="1" ht="30" spans="1:9">
      <c r="A38" s="246" t="s">
        <v>411</v>
      </c>
      <c r="B38" s="247" t="s">
        <v>412</v>
      </c>
      <c r="C38" s="247" t="s">
        <v>413</v>
      </c>
      <c r="D38" s="247" t="s">
        <v>414</v>
      </c>
      <c r="E38" s="246" t="s">
        <v>415</v>
      </c>
    </row>
    <row r="39" s="207" customFormat="1" ht="45" spans="1:9">
      <c r="A39" s="241" t="str">
        <f>'people agility'!B13</f>
        <v> Listening for understanding
(mendengarkan &amp; memahami dasar)</v>
      </c>
      <c r="B39" s="241">
        <f>'people agility'!I13</f>
        <v>4</v>
      </c>
      <c r="C39" s="241">
        <f>'people agility'!K13</f>
        <v>2</v>
      </c>
      <c r="D39" s="242">
        <f>'people agility'!M13</f>
        <v>2</v>
      </c>
      <c r="E39" s="243" t="str">
        <f>'people agility'!N13</f>
        <v>Major Positive Gap</v>
      </c>
    </row>
    <row r="40" s="207" customFormat="1" ht="30" spans="1:9">
      <c r="A40" s="241" t="str">
        <f>'people agility'!B14</f>
        <v>Openness to Feedback
(menerima &amp; mencari masukan)</v>
      </c>
      <c r="B40" s="241">
        <f>'people agility'!I14</f>
        <v>5</v>
      </c>
      <c r="C40" s="241">
        <f>'people agility'!K14</f>
        <v>3</v>
      </c>
      <c r="D40" s="242">
        <f>'people agility'!M14</f>
        <v>2</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4</v>
      </c>
      <c r="D41" s="242">
        <f>'people agility'!M15</f>
        <v>-3</v>
      </c>
      <c r="E41" s="243" t="str">
        <f>'people agility'!N15</f>
        <v>Major Negative Gap</v>
      </c>
    </row>
    <row r="42" s="207" customFormat="1" ht="45" spans="1:9">
      <c r="A42" s="241" t="str">
        <f>'people agility'!B16</f>
        <v>Collaboration with Diversity
(Bekerja efektif dalam keberagaman)</v>
      </c>
      <c r="B42" s="241">
        <f>'people agility'!I16</f>
        <v>2</v>
      </c>
      <c r="C42" s="241">
        <f>'people agility'!K16</f>
        <v>5</v>
      </c>
      <c r="D42" s="242">
        <f>'people agility'!M16</f>
        <v>-3</v>
      </c>
      <c r="E42" s="243" t="str">
        <f>'people agility'!N16</f>
        <v>Major Negative Gap</v>
      </c>
    </row>
    <row r="43" s="207" customFormat="1" ht="45" spans="1:9">
      <c r="A43" s="241" t="str">
        <f>'people agility'!B17</f>
        <v>Valuing Diverse Opinions
(Menghargai opini berbeda dalam pengambilan keputusan)</v>
      </c>
      <c r="B43" s="241">
        <f>'people agility'!I17</f>
        <v>3</v>
      </c>
      <c r="C43" s="241">
        <f>'people agility'!K17</f>
        <v>1</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4</v>
      </c>
      <c r="C44" s="241">
        <f>'people agility'!K18</f>
        <v>2</v>
      </c>
      <c r="D44" s="242">
        <f>'people agility'!M18</f>
        <v>2</v>
      </c>
      <c r="E44" s="243" t="str">
        <f>'people agility'!N18</f>
        <v>Major Positive Gap</v>
      </c>
    </row>
    <row r="45" s="207" customFormat="1" ht="45" spans="1:9">
      <c r="A45" s="241" t="str">
        <f>'people agility'!B19</f>
        <v>Empathy
(Merasakan &amp; memahami emosi orang lain)</v>
      </c>
      <c r="B45" s="241">
        <f>'people agility'!I19</f>
        <v>5</v>
      </c>
      <c r="C45" s="241">
        <f>'people agility'!K19</f>
        <v>3</v>
      </c>
      <c r="D45" s="242">
        <f>'people agility'!M19</f>
        <v>2</v>
      </c>
      <c r="E45" s="243" t="str">
        <f>'people agility'!N19</f>
        <v>Major Positive Gap</v>
      </c>
    </row>
    <row r="46" s="207" customFormat="1" ht="45" spans="1:9">
      <c r="A46" s="241" t="str">
        <f>'people agility'!B20</f>
        <v>Conflict Navigation
(menghadapi konflik secara konstruktif)</v>
      </c>
      <c r="B46" s="241">
        <f>'people agility'!I20</f>
        <v>1</v>
      </c>
      <c r="C46" s="241">
        <f>'people agility'!K20</f>
        <v>4</v>
      </c>
      <c r="D46" s="242">
        <f>'people agility'!M20</f>
        <v>-3</v>
      </c>
      <c r="E46" s="243" t="str">
        <f>'people agility'!N20</f>
        <v>Major Negative Gap</v>
      </c>
    </row>
    <row r="47" s="207" customFormat="1" ht="75" spans="1:9">
      <c r="A47" s="241" t="str">
        <f>'people agility'!B21</f>
        <v>Managing Challenging  Stakeholder
(Mengelola relasi berkelanjutan dengan stakeholder sulit)</v>
      </c>
      <c r="B47" s="241">
        <f>'people agility'!I21</f>
        <v>2</v>
      </c>
      <c r="C47" s="241">
        <f>'people agility'!K21</f>
        <v>5</v>
      </c>
      <c r="D47" s="242">
        <f>'people agility'!M21</f>
        <v>-3</v>
      </c>
      <c r="E47" s="243" t="str">
        <f>'people agility'!N21</f>
        <v>Major Negative Gap</v>
      </c>
    </row>
    <row r="48" s="207" customFormat="1" ht="45" spans="1:9">
      <c r="A48" s="241" t="str">
        <f>'people agility'!B22</f>
        <v>Conflict Mediation
(menjadi penengah &amp; penyatu pihak berbeda)</v>
      </c>
      <c r="B48" s="241">
        <f>'people agility'!I22</f>
        <v>3</v>
      </c>
      <c r="C48" s="241">
        <f>'people agility'!K22</f>
        <v>1</v>
      </c>
      <c r="D48" s="242">
        <f>'people agility'!M22</f>
        <v>2</v>
      </c>
      <c r="E48" s="243" t="str">
        <f>'people agility'!N22</f>
        <v>Major Positive Gap</v>
      </c>
    </row>
    <row r="49" s="207" customFormat="1" ht="30" spans="1:9">
      <c r="A49" s="248" t="s">
        <v>417</v>
      </c>
      <c r="B49" s="249">
        <f>'people agility'!I23</f>
        <v>3</v>
      </c>
      <c r="C49" s="249">
        <f>'people agility'!K23</f>
        <v>3</v>
      </c>
      <c r="D49" s="250">
        <f>'people agility'!M23</f>
        <v>0</v>
      </c>
      <c r="E49" s="246" t="str">
        <f>'people agility'!N23</f>
        <v>Aligned</v>
      </c>
    </row>
    <row r="50" spans="1:9">
      <c r="E50" s="212"/>
      <c r="H50"/>
      <c r="I50"/>
    </row>
    <row r="51" s="207" customFormat="1" ht="15" spans="1:9">
      <c r="A51" s="207" t="s">
        <v>419</v>
      </c>
      <c r="C51" s="237"/>
      <c r="D51" s="237"/>
    </row>
    <row r="52" s="207" customFormat="1" ht="30" spans="1:9">
      <c r="A52" s="251" t="s">
        <v>411</v>
      </c>
      <c r="B52" s="252" t="s">
        <v>412</v>
      </c>
      <c r="C52" s="252" t="s">
        <v>413</v>
      </c>
      <c r="D52" s="252" t="s">
        <v>414</v>
      </c>
      <c r="E52" s="251" t="s">
        <v>415</v>
      </c>
    </row>
    <row r="53" s="207" customFormat="1" ht="30" spans="1:9">
      <c r="A53" s="253" t="str">
        <f>'change agility'!B13</f>
        <v>Adapting to New Systems
(mengikuti perubahan dasar)</v>
      </c>
      <c r="B53" s="253">
        <f>'change agility'!I13</f>
        <v>4</v>
      </c>
      <c r="C53" s="253">
        <f>'change agility'!K13</f>
        <v>2</v>
      </c>
      <c r="D53" s="254">
        <f>'change agility'!M13</f>
        <v>2</v>
      </c>
      <c r="E53" s="255" t="str">
        <f>'change agility'!N13</f>
        <v>Major Positive Gap</v>
      </c>
    </row>
    <row r="54" s="207" customFormat="1" ht="60" spans="1:9">
      <c r="A54" s="253" t="str">
        <f>'change agility'!B14</f>
        <v>Comfort with New Ways of Working
(mulai nyaman dengan cara kerja baru)</v>
      </c>
      <c r="B54" s="253">
        <f>'change agility'!I14</f>
        <v>5</v>
      </c>
      <c r="C54" s="253">
        <f>'change agility'!K14</f>
        <v>3</v>
      </c>
      <c r="D54" s="254">
        <f>'change agility'!M14</f>
        <v>2</v>
      </c>
      <c r="E54" s="255" t="str">
        <f>'change agility'!N14</f>
        <v>Major Positive Gap</v>
      </c>
    </row>
    <row r="55" s="207" customFormat="1" ht="45" spans="1:9">
      <c r="A55" s="253" t="str">
        <f>'change agility'!B15</f>
        <v>Comfort with Sudden Change
(tetap bekerja saat perubahan mendadak)</v>
      </c>
      <c r="B55" s="253">
        <f>'change agility'!I15</f>
        <v>1</v>
      </c>
      <c r="C55" s="253">
        <f>'change agility'!K15</f>
        <v>4</v>
      </c>
      <c r="D55" s="254">
        <f>'change agility'!M15</f>
        <v>-3</v>
      </c>
      <c r="E55" s="255" t="str">
        <f>'change agility'!N15</f>
        <v>Major Negative Gap</v>
      </c>
    </row>
    <row r="56" s="207" customFormat="1" ht="30" spans="1:9">
      <c r="A56" s="253" t="str">
        <f>'change agility'!B16</f>
        <v>Managing Resistance to Change
(pengelolaan resistensi)</v>
      </c>
      <c r="B56" s="253">
        <f>'change agility'!I16</f>
        <v>2</v>
      </c>
      <c r="C56" s="253">
        <f>'change agility'!K16</f>
        <v>5</v>
      </c>
      <c r="D56" s="254">
        <f>'change agility'!M16</f>
        <v>-3</v>
      </c>
      <c r="E56" s="255" t="str">
        <f>'change agility'!N16</f>
        <v>Major Negative Gap</v>
      </c>
    </row>
    <row r="57" s="207" customFormat="1" ht="45" spans="1:9">
      <c r="A57" s="253" t="str">
        <f>'change agility'!B17</f>
        <v>Adaptive Learning &amp; Experimentation
(aktif belajar hal baru)</v>
      </c>
      <c r="B57" s="253">
        <f>'change agility'!I17</f>
        <v>3</v>
      </c>
      <c r="C57" s="253">
        <f>'change agility'!K17</f>
        <v>1</v>
      </c>
      <c r="D57" s="254">
        <f>'change agility'!M17</f>
        <v>2</v>
      </c>
      <c r="E57" s="255" t="str">
        <f>'change agility'!N17</f>
        <v>Major Positive Gap</v>
      </c>
    </row>
    <row r="58" s="207" customFormat="1" ht="45" spans="1:9">
      <c r="A58" s="253" t="str">
        <f>'change agility'!B18</f>
        <v>Viewing Change as Opportunity
(melihat perubahan sebagai peluang)</v>
      </c>
      <c r="B58" s="253">
        <f>'change agility'!I18</f>
        <v>4</v>
      </c>
      <c r="C58" s="253">
        <f>'change agility'!K18</f>
        <v>2</v>
      </c>
      <c r="D58" s="254">
        <f>'change agility'!M18</f>
        <v>2</v>
      </c>
      <c r="E58" s="255" t="str">
        <f>'change agility'!N18</f>
        <v>Major Positive Gap</v>
      </c>
    </row>
    <row r="59" s="207" customFormat="1" ht="30" spans="1:9">
      <c r="A59" s="253" t="str">
        <f>'change agility'!B19</f>
        <v>Proposing New Ideas
(mulai menginisiasi perubahan)</v>
      </c>
      <c r="B59" s="253">
        <f>'change agility'!I19</f>
        <v>5</v>
      </c>
      <c r="C59" s="253">
        <f>'change agility'!K19</f>
        <v>3</v>
      </c>
      <c r="D59" s="254">
        <f>'change agility'!M19</f>
        <v>2</v>
      </c>
      <c r="E59" s="255" t="str">
        <f>'change agility'!N19</f>
        <v>Major Positive Gap</v>
      </c>
    </row>
    <row r="60" s="207" customFormat="1" ht="45" spans="1:9">
      <c r="A60" s="253" t="str">
        <f>'change agility'!B20</f>
        <v>Risk-Taking for Innovation
(berani mencoba pendekatan baru)</v>
      </c>
      <c r="B60" s="253">
        <f>'change agility'!I20</f>
        <v>1</v>
      </c>
      <c r="C60" s="253">
        <f>'change agility'!K20</f>
        <v>4</v>
      </c>
      <c r="D60" s="254">
        <f>'change agility'!M20</f>
        <v>-3</v>
      </c>
      <c r="E60" s="255" t="str">
        <f>'change agility'!N20</f>
        <v>Major Negative Gap</v>
      </c>
    </row>
    <row r="61" s="207" customFormat="1" ht="45" spans="1:9">
      <c r="A61" s="253" t="str">
        <f>'change agility'!B21</f>
        <v>Calmness in Uncertainty
(tetap tenang di kondisi tidak pasti)</v>
      </c>
      <c r="B61" s="253">
        <f>'change agility'!I21</f>
        <v>2</v>
      </c>
      <c r="C61" s="253">
        <f>'change agility'!K21</f>
        <v>5</v>
      </c>
      <c r="D61" s="254">
        <f>'change agility'!M21</f>
        <v>-3</v>
      </c>
      <c r="E61" s="255" t="str">
        <f>'change agility'!N21</f>
        <v>Major Negative Gap</v>
      </c>
    </row>
    <row r="62" s="207" customFormat="1" ht="60" spans="1:9">
      <c r="A62" s="253" t="str">
        <f>'change agility'!B22</f>
        <v>Proactive in Anticipating Change
(mengantisipasi perubahan sebelum terjadi)</v>
      </c>
      <c r="B62" s="253">
        <f>'change agility'!I22</f>
        <v>3</v>
      </c>
      <c r="C62" s="253">
        <f>'change agility'!K22</f>
        <v>1</v>
      </c>
      <c r="D62" s="254">
        <f>'change agility'!M22</f>
        <v>2</v>
      </c>
      <c r="E62" s="255" t="str">
        <f>'change agility'!N22</f>
        <v>Major Positive Gap</v>
      </c>
    </row>
    <row r="63" s="208" customFormat="1" ht="30" spans="1:9">
      <c r="A63" s="256" t="s">
        <v>417</v>
      </c>
      <c r="B63" s="257">
        <f>'change agility'!I23</f>
        <v>3</v>
      </c>
      <c r="C63" s="257">
        <f>'change agility'!K23</f>
        <v>3</v>
      </c>
      <c r="D63" s="258">
        <f>'change agility'!M23</f>
        <v>0</v>
      </c>
      <c r="E63" s="251"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9" t="s">
        <v>411</v>
      </c>
      <c r="B67" s="260" t="s">
        <v>412</v>
      </c>
      <c r="C67" s="260" t="s">
        <v>413</v>
      </c>
      <c r="D67" s="260" t="s">
        <v>414</v>
      </c>
      <c r="E67" s="259" t="s">
        <v>415</v>
      </c>
    </row>
    <row r="68" s="207" customFormat="1" ht="45" spans="1:5">
      <c r="A68" s="253" t="str">
        <f>'result agility'!B13</f>
        <v>Task Completion Quality 
(menyelesaikan tugas dengan baik)</v>
      </c>
      <c r="B68" s="241">
        <f>'result agility'!I13</f>
        <v>4</v>
      </c>
      <c r="C68" s="241">
        <f>'result agility'!K13</f>
        <v>2</v>
      </c>
      <c r="D68" s="241">
        <f>'result agility'!M13</f>
        <v>2</v>
      </c>
      <c r="E68" s="261" t="str">
        <f>'result agility'!N13</f>
        <v>Major Positive Gap</v>
      </c>
    </row>
    <row r="69" s="207" customFormat="1" ht="45" spans="1:5">
      <c r="A69" s="253" t="str">
        <f>'result agility'!B14</f>
        <v>Action-Oriented &amp; Takes Initiative 
(proaktif bertindak)</v>
      </c>
      <c r="B69" s="241">
        <f>'result agility'!I14</f>
        <v>5</v>
      </c>
      <c r="C69" s="241">
        <f>'result agility'!K14</f>
        <v>3</v>
      </c>
      <c r="D69" s="241">
        <f>'result agility'!M14</f>
        <v>2</v>
      </c>
      <c r="E69" s="261" t="str">
        <f>'result agility'!N14</f>
        <v>Major Positive Gap</v>
      </c>
    </row>
    <row r="70" s="207" customFormat="1" ht="30" spans="1:5">
      <c r="A70" s="253" t="str">
        <f>'result agility'!B15</f>
        <v>Driving for impact
(fokus pada hasil kerja)</v>
      </c>
      <c r="B70" s="241">
        <f>'result agility'!I15</f>
        <v>1</v>
      </c>
      <c r="C70" s="241">
        <f>'result agility'!K15</f>
        <v>4</v>
      </c>
      <c r="D70" s="241">
        <f>'result agility'!M15</f>
        <v>-3</v>
      </c>
      <c r="E70" s="261" t="str">
        <f>'result agility'!N15</f>
        <v>Major Negative Gap</v>
      </c>
    </row>
    <row r="71" s="207" customFormat="1" ht="60" spans="1:5">
      <c r="A71" s="253" t="str">
        <f>'result agility'!B16</f>
        <v>Tenacity &amp; Strategic Persistence
(menjaga komitmen di tengah tantangan)</v>
      </c>
      <c r="B71" s="241">
        <f>'result agility'!I16</f>
        <v>2</v>
      </c>
      <c r="C71" s="241">
        <f>'result agility'!K16</f>
        <v>5</v>
      </c>
      <c r="D71" s="241">
        <f>'result agility'!M16</f>
        <v>-3</v>
      </c>
      <c r="E71" s="261" t="str">
        <f>'result agility'!N16</f>
        <v>Major Negative Gap</v>
      </c>
    </row>
    <row r="72" s="207" customFormat="1" ht="45" spans="1:5">
      <c r="A72" s="253" t="str">
        <f>'result agility'!B17</f>
        <v>Learning from Outcomes
(belajar dari hasil &amp; kesalahan tim)</v>
      </c>
      <c r="B72" s="241">
        <f>'result agility'!I17</f>
        <v>3</v>
      </c>
      <c r="C72" s="241">
        <f>'result agility'!K17</f>
        <v>1</v>
      </c>
      <c r="D72" s="241">
        <f>'result agility'!M17</f>
        <v>2</v>
      </c>
      <c r="E72" s="261" t="str">
        <f>'result agility'!N17</f>
        <v>Major Positive Gap</v>
      </c>
    </row>
    <row r="73" s="207" customFormat="1" ht="45" spans="1:5">
      <c r="A73" s="253" t="str">
        <f>'result agility'!B18</f>
        <v>Deciding with Incomplete Data
(mengambil keputusan dengan data/informasi terbatas)</v>
      </c>
      <c r="B73" s="241">
        <f>'result agility'!I18</f>
        <v>4</v>
      </c>
      <c r="C73" s="241">
        <f>'result agility'!K18</f>
        <v>2</v>
      </c>
      <c r="D73" s="241">
        <f>'result agility'!M18</f>
        <v>2</v>
      </c>
      <c r="E73" s="261" t="str">
        <f>'result agility'!N18</f>
        <v>Major Positive Gap</v>
      </c>
    </row>
    <row r="74" s="207" customFormat="1" ht="45" spans="1:5">
      <c r="A74" s="253" t="str">
        <f>'result agility'!B19</f>
        <v>Focus Under Pressure
(tetap fokus dalam tekanan tinggi)</v>
      </c>
      <c r="B74" s="241">
        <f>'result agility'!I19</f>
        <v>5</v>
      </c>
      <c r="C74" s="241">
        <f>'result agility'!K19</f>
        <v>3</v>
      </c>
      <c r="D74" s="241">
        <f>'result agility'!M19</f>
        <v>2</v>
      </c>
      <c r="E74" s="261" t="str">
        <f>'result agility'!N19</f>
        <v>Major Positive Gap</v>
      </c>
    </row>
    <row r="75" s="207" customFormat="1" ht="45" spans="1:5">
      <c r="A75" s="253" t="str">
        <f>'result agility'!B20</f>
        <v>Adapting Strategy When Needed
(mengubah strategi untuk hasil lebih baik)</v>
      </c>
      <c r="B75" s="241">
        <f>'result agility'!I20</f>
        <v>1</v>
      </c>
      <c r="C75" s="241">
        <f>'result agility'!K20</f>
        <v>4</v>
      </c>
      <c r="D75" s="241">
        <f>'result agility'!M20</f>
        <v>-3</v>
      </c>
      <c r="E75" s="261" t="str">
        <f>'result agility'!N20</f>
        <v>Major Negative Gap</v>
      </c>
    </row>
    <row r="76" s="207" customFormat="1" ht="60" spans="1:5">
      <c r="A76" s="253" t="str">
        <f>'result agility'!B21</f>
        <v>Agile Problem-Solving Under Pressure
(rencana di tengah ketidakpastian)</v>
      </c>
      <c r="B76" s="241">
        <f>'result agility'!I21</f>
        <v>2</v>
      </c>
      <c r="C76" s="241">
        <f>'result agility'!K21</f>
        <v>5</v>
      </c>
      <c r="D76" s="241">
        <f>'result agility'!M21</f>
        <v>-3</v>
      </c>
      <c r="E76" s="261" t="str">
        <f>'result agility'!N21</f>
        <v>Major Negative Gap</v>
      </c>
    </row>
    <row r="77" s="207" customFormat="1" ht="45" spans="1:5">
      <c r="A77" s="253" t="str">
        <f>'result agility'!B22</f>
        <v>Drive for High Performance
(sistem perencanaan berkinerja tinggi)</v>
      </c>
      <c r="B77" s="241">
        <f>'result agility'!I22</f>
        <v>3</v>
      </c>
      <c r="C77" s="241">
        <f>'result agility'!K22</f>
        <v>1</v>
      </c>
      <c r="D77" s="241">
        <f>'result agility'!M22</f>
        <v>2</v>
      </c>
      <c r="E77" s="261" t="str">
        <f>'result agility'!N22</f>
        <v>Major Positive Gap</v>
      </c>
    </row>
    <row r="78" s="209" customFormat="1" ht="30" spans="1:5">
      <c r="A78" s="262" t="s">
        <v>417</v>
      </c>
      <c r="B78" s="263">
        <f>'result agility'!I23</f>
        <v>3</v>
      </c>
      <c r="C78" s="263">
        <f>'result agility'!K23</f>
        <v>3</v>
      </c>
      <c r="D78" s="264">
        <f>'result agility'!M23</f>
        <v>0</v>
      </c>
      <c r="E78" s="259"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5" t="s">
        <v>412</v>
      </c>
      <c r="C82" s="265" t="s">
        <v>413</v>
      </c>
      <c r="D82" s="265" t="s">
        <v>414</v>
      </c>
      <c r="E82" s="197" t="s">
        <v>415</v>
      </c>
    </row>
    <row r="83" s="207" customFormat="1" ht="30" spans="1:5">
      <c r="A83" s="241" t="str">
        <f>'self awareness'!B13</f>
        <v>Openness to Criticism
(menerima kritik dasar)</v>
      </c>
      <c r="B83" s="241">
        <f>'self awareness'!I13</f>
        <v>4</v>
      </c>
      <c r="C83" s="241">
        <f>'self awareness'!K13</f>
        <v>2</v>
      </c>
      <c r="D83" s="241">
        <f>'self awareness'!M13</f>
        <v>2</v>
      </c>
      <c r="E83" s="261" t="str">
        <f>'self awareness'!N13</f>
        <v>Major Positive Gap</v>
      </c>
    </row>
    <row r="84" s="207" customFormat="1" ht="30" spans="1:5">
      <c r="A84" s="241" t="str">
        <f>'self awareness'!B14</f>
        <v>Admitting Mistakes
(mengakui kesalahan)</v>
      </c>
      <c r="B84" s="241">
        <f>'self awareness'!I14</f>
        <v>5</v>
      </c>
      <c r="C84" s="241">
        <f>'self awareness'!K14</f>
        <v>3</v>
      </c>
      <c r="D84" s="241">
        <f>'self awareness'!M14</f>
        <v>2</v>
      </c>
      <c r="E84" s="261" t="str">
        <f>'self awareness'!N14</f>
        <v>Major Positive Gap</v>
      </c>
    </row>
    <row r="85" s="207" customFormat="1" ht="45" spans="1:5">
      <c r="A85" s="241" t="str">
        <f>'self awareness'!B15</f>
        <v>Seeking Feedback on Performance
(mencari feedback)</v>
      </c>
      <c r="B85" s="241">
        <f>'self awareness'!I15</f>
        <v>1</v>
      </c>
      <c r="C85" s="241">
        <f>'self awareness'!K15</f>
        <v>4</v>
      </c>
      <c r="D85" s="241">
        <f>'self awareness'!M15</f>
        <v>-3</v>
      </c>
      <c r="E85" s="261" t="str">
        <f>'self awareness'!N15</f>
        <v>Major Negative Gap</v>
      </c>
    </row>
    <row r="86" s="207" customFormat="1" ht="60" spans="1:5">
      <c r="A86" s="241" t="str">
        <f>'self awareness'!B16</f>
        <v>Understanding Strengths &amp; Weaknesses
(memahami kekuatan &amp; kelemahan)</v>
      </c>
      <c r="B86" s="241">
        <f>'self awareness'!I16</f>
        <v>2</v>
      </c>
      <c r="C86" s="241">
        <f>'self awareness'!K16</f>
        <v>5</v>
      </c>
      <c r="D86" s="241">
        <f>'self awareness'!M16</f>
        <v>-3</v>
      </c>
      <c r="E86" s="261" t="str">
        <f>'self awareness'!N16</f>
        <v>Major Negative Gap</v>
      </c>
    </row>
    <row r="87" s="207" customFormat="1" ht="30" spans="1:5">
      <c r="A87" s="241" t="str">
        <f>'self awareness'!B17</f>
        <v>Reflective Practices
(melakukan refleksi diri)</v>
      </c>
      <c r="B87" s="241">
        <f>'self awareness'!I17</f>
        <v>3</v>
      </c>
      <c r="C87" s="241">
        <f>'self awareness'!K17</f>
        <v>1</v>
      </c>
      <c r="D87" s="241">
        <f>'self awareness'!M17</f>
        <v>2</v>
      </c>
      <c r="E87" s="261" t="str">
        <f>'self awareness'!N17</f>
        <v>Major Positive Gap</v>
      </c>
    </row>
    <row r="88" s="207" customFormat="1" ht="45" spans="1:5">
      <c r="A88" s="241" t="str">
        <f>'self awareness'!B18</f>
        <v>Proactive Self-Development for Adaptation
(aktif mengembangkan diri)</v>
      </c>
      <c r="B88" s="241">
        <f>'self awareness'!I18</f>
        <v>4</v>
      </c>
      <c r="C88" s="241">
        <f>'self awareness'!K18</f>
        <v>2</v>
      </c>
      <c r="D88" s="241">
        <f>'self awareness'!M18</f>
        <v>2</v>
      </c>
      <c r="E88" s="261" t="str">
        <f>'self awareness'!N18</f>
        <v>Major Positive Gap</v>
      </c>
    </row>
    <row r="89" s="207" customFormat="1" ht="30" spans="1:5">
      <c r="A89" s="241" t="str">
        <f>'self awareness'!B19</f>
        <v>Objective Self-Assessment
(menilai diri secara objektif)</v>
      </c>
      <c r="B89" s="241">
        <f>'self awareness'!I19</f>
        <v>5</v>
      </c>
      <c r="C89" s="241">
        <f>'self awareness'!K19</f>
        <v>3</v>
      </c>
      <c r="D89" s="241">
        <f>'self awareness'!M19</f>
        <v>2</v>
      </c>
      <c r="E89" s="261"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4</v>
      </c>
      <c r="D90" s="241">
        <f>'self awareness'!M20</f>
        <v>-3</v>
      </c>
      <c r="E90" s="261" t="str">
        <f>'self awareness'!N20</f>
        <v>Major Negative Gap</v>
      </c>
    </row>
    <row r="91" s="207" customFormat="1" ht="45" spans="1:5">
      <c r="A91" s="241" t="str">
        <f>'self awareness'!B21</f>
        <v>Managing Emotions Effectively
(mengelola emosi secara matang)</v>
      </c>
      <c r="B91" s="241">
        <f>'self awareness'!I21</f>
        <v>2</v>
      </c>
      <c r="C91" s="241">
        <f>'self awareness'!K21</f>
        <v>5</v>
      </c>
      <c r="D91" s="241">
        <f>'self awareness'!M21</f>
        <v>-3</v>
      </c>
      <c r="E91" s="261" t="str">
        <f>'self awareness'!N21</f>
        <v>Major Negative Gap</v>
      </c>
    </row>
    <row r="92" s="207" customFormat="1" ht="60" spans="1:5">
      <c r="A92" s="241" t="str">
        <f>'self awareness'!B22</f>
        <v>Deep Pattern Recognition &amp; Bias Awareness
(refleksi diri mendalam &amp; autentik)</v>
      </c>
      <c r="B92" s="241">
        <f>'self awareness'!I22</f>
        <v>3</v>
      </c>
      <c r="C92" s="241">
        <f>'self awareness'!K22</f>
        <v>1</v>
      </c>
      <c r="D92" s="241">
        <f>'self awareness'!M22</f>
        <v>2</v>
      </c>
      <c r="E92" s="261" t="str">
        <f>'self awareness'!N22</f>
        <v>Major Positive Gap</v>
      </c>
    </row>
    <row r="93" s="208" customFormat="1" ht="30" spans="1:5">
      <c r="A93" s="196" t="s">
        <v>417</v>
      </c>
      <c r="B93" s="266">
        <f>'self awareness'!I23</f>
        <v>3</v>
      </c>
      <c r="C93" s="266">
        <f>'self awareness'!K23</f>
        <v>3</v>
      </c>
      <c r="D93" s="267">
        <f>'self awareness'!M23</f>
        <v>0</v>
      </c>
      <c r="E93" s="197" t="str">
        <f>'self awareness'!N23</f>
        <v>Aligned</v>
      </c>
    </row>
    <row r="94" s="208" customFormat="1" ht="15" spans="1:5">
      <c r="A94" s="268"/>
      <c r="B94" s="268"/>
      <c r="C94" s="268"/>
    </row>
    <row r="95" s="208" customFormat="1" ht="15" spans="1:5">
      <c r="A95" s="268"/>
      <c r="B95" s="268"/>
      <c r="C95" s="268"/>
    </row>
    <row r="96" s="207" customFormat="1" ht="15" spans="1:5">
      <c r="A96" s="207" t="s">
        <v>422</v>
      </c>
      <c r="C96" s="237"/>
      <c r="D96" s="237"/>
    </row>
    <row r="97" s="207" customFormat="1" ht="30" spans="1:5">
      <c r="A97" s="197" t="s">
        <v>411</v>
      </c>
      <c r="B97" s="265" t="s">
        <v>412</v>
      </c>
      <c r="C97" s="265" t="s">
        <v>413</v>
      </c>
      <c r="D97" s="265" t="s">
        <v>414</v>
      </c>
      <c r="E97" s="197" t="s">
        <v>415</v>
      </c>
    </row>
    <row r="98" s="207" customFormat="1" ht="15" spans="1:5">
      <c r="A98" s="269" t="s">
        <v>402</v>
      </c>
      <c r="B98" s="270">
        <f>B35</f>
        <v>3</v>
      </c>
      <c r="C98" s="270">
        <f t="shared" ref="C98:E98" si="1">C35</f>
        <v>3</v>
      </c>
      <c r="D98" s="270">
        <f t="shared" si="1"/>
        <v>0</v>
      </c>
      <c r="E98" s="253" t="str">
        <f t="shared" si="1"/>
        <v>Aligned</v>
      </c>
    </row>
    <row r="99" s="207" customFormat="1" ht="15" spans="1:5">
      <c r="A99" s="269" t="s">
        <v>403</v>
      </c>
      <c r="B99" s="270">
        <f>B49</f>
        <v>3</v>
      </c>
      <c r="C99" s="270">
        <f>C49</f>
        <v>3</v>
      </c>
      <c r="D99" s="270">
        <f t="shared" ref="D99:E99" si="2">D49</f>
        <v>0</v>
      </c>
      <c r="E99" s="253" t="str">
        <f t="shared" si="2"/>
        <v>Aligned</v>
      </c>
    </row>
    <row r="100" s="207" customFormat="1" ht="15" spans="1:5">
      <c r="A100" s="269" t="s">
        <v>404</v>
      </c>
      <c r="B100" s="270">
        <f>B63</f>
        <v>3</v>
      </c>
      <c r="C100" s="270">
        <f t="shared" ref="C100:E100" si="3">C63</f>
        <v>3</v>
      </c>
      <c r="D100" s="270">
        <f t="shared" si="3"/>
        <v>0</v>
      </c>
      <c r="E100" s="253" t="str">
        <f t="shared" si="3"/>
        <v>Aligned</v>
      </c>
    </row>
    <row r="101" s="207" customFormat="1" ht="15" spans="1:5">
      <c r="A101" s="269" t="s">
        <v>405</v>
      </c>
      <c r="B101" s="270">
        <f>B78</f>
        <v>3</v>
      </c>
      <c r="C101" s="270">
        <f t="shared" ref="C101:E101" si="4">C78</f>
        <v>3</v>
      </c>
      <c r="D101" s="270">
        <f t="shared" si="4"/>
        <v>0</v>
      </c>
      <c r="E101" s="253" t="str">
        <f t="shared" si="4"/>
        <v>Aligned</v>
      </c>
    </row>
    <row r="102" s="207" customFormat="1" ht="15" spans="1:5">
      <c r="A102" s="269" t="s">
        <v>406</v>
      </c>
      <c r="B102" s="270">
        <f>B93</f>
        <v>3</v>
      </c>
      <c r="C102" s="270">
        <f t="shared" ref="C102:E102" si="5">C93</f>
        <v>3</v>
      </c>
      <c r="D102" s="270">
        <f t="shared" si="5"/>
        <v>0</v>
      </c>
      <c r="E102" s="253" t="str">
        <f t="shared" si="5"/>
        <v>Aligned</v>
      </c>
    </row>
    <row r="103" s="210" customFormat="1" ht="15" spans="1:5">
      <c r="A103" s="271" t="s">
        <v>423</v>
      </c>
      <c r="B103" s="272">
        <f>AVERAGE(B98:B102)</f>
        <v>3</v>
      </c>
      <c r="C103" s="272">
        <f>AVERAGE(C98:C102)</f>
        <v>3</v>
      </c>
      <c r="D103" s="272">
        <f>B103-C103</f>
        <v>0</v>
      </c>
      <c r="E103" s="273" t="str" cm="1">
        <f t="array" ref="E103">_xlfn.IFS(VALUE(D103)&gt;=1,"Major Positive Gap",VALUE(D103)&gt;=0.5,"Minor Positive Gap",VALUE(D103)&gt;=-0.49,"Aligned",VALUE(D103)&gt;=-0.99,"Minor Negative Gap",VALUE(D103)&lt;=-1,"Major Negative Gap")</f>
        <v>Aligned</v>
      </c>
    </row>
    <row r="106" s="211" customFormat="1" ht="13" spans="1:5">
      <c r="A106" s="274" t="s">
        <v>424</v>
      </c>
    </row>
    <row r="107" s="211" customFormat="1" ht="13" spans="1:5">
      <c r="A107" s="274"/>
    </row>
    <row r="108" s="211" customFormat="1" ht="13" spans="1:5">
      <c r="A108" s="275" t="s">
        <v>394</v>
      </c>
      <c r="B108" s="275" t="s">
        <v>425</v>
      </c>
      <c r="C108" s="275" t="s">
        <v>396</v>
      </c>
      <c r="D108" s="275"/>
    </row>
    <row r="109" s="211" customFormat="1" ht="13" spans="1:5">
      <c r="A109" s="276" t="s">
        <v>402</v>
      </c>
      <c r="B109" s="277">
        <f>C98</f>
        <v>3</v>
      </c>
      <c r="C109" s="269" t="str">
        <f>'Profile Summary'!C14</f>
        <v>Meet</v>
      </c>
      <c r="D109" s="269"/>
    </row>
    <row r="110" s="211" customFormat="1" ht="13" spans="1:5">
      <c r="A110" s="276" t="s">
        <v>403</v>
      </c>
      <c r="B110" s="277">
        <f t="shared" ref="B110:B113" si="6">C99</f>
        <v>3</v>
      </c>
      <c r="C110" s="269" t="str">
        <f>'Profile Summary'!C15</f>
        <v>Meet</v>
      </c>
      <c r="D110" s="269"/>
    </row>
    <row r="111" s="211" customFormat="1" ht="13" spans="1:5">
      <c r="A111" s="276" t="s">
        <v>404</v>
      </c>
      <c r="B111" s="277">
        <f t="shared" si="6"/>
        <v>3</v>
      </c>
      <c r="C111" s="269" t="str">
        <f>'Profile Summary'!C16</f>
        <v>Meet</v>
      </c>
      <c r="D111" s="269"/>
    </row>
    <row r="112" s="211" customFormat="1" ht="13" spans="1:5">
      <c r="A112" s="276" t="s">
        <v>405</v>
      </c>
      <c r="B112" s="277">
        <f t="shared" si="6"/>
        <v>3</v>
      </c>
      <c r="C112" s="269" t="str">
        <f>'Profile Summary'!C17</f>
        <v>Meet</v>
      </c>
      <c r="D112" s="269"/>
    </row>
    <row r="113" s="211" customFormat="1" ht="13" spans="1:4">
      <c r="A113" s="276" t="s">
        <v>406</v>
      </c>
      <c r="B113" s="277">
        <f t="shared" si="6"/>
        <v>3</v>
      </c>
      <c r="C113" s="269" t="str">
        <f>'Profile Summary'!C18</f>
        <v>Meet</v>
      </c>
      <c r="D113" s="269"/>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tabSelected="1" zoomScale="60" zoomScaleNormal="60" topLeftCell="AH1" workbookViewId="0">
      <selection activeCell="AN10" sqref="AN10"/>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Samuel Eko Yulianto</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46043.6770023148</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2</v>
      </c>
      <c r="W13" s="85" t="str">
        <v>Tugas293</v>
      </c>
      <c r="X13" s="85" t="str">
        <v>Tujuan293</v>
      </c>
      <c r="Y13" s="85" t="str">
        <v>Instruksi293</v>
      </c>
      <c r="Z13" s="85" t="str">
        <v>Output293</v>
      </c>
      <c r="AA13" s="85" t="str">
        <v>Waktu293</v>
      </c>
      <c r="AB13" s="85" t="str">
        <v>Monitoring293</v>
      </c>
      <c r="AC13" s="85" t="str">
        <v>Standar kelulusan293</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1</v>
      </c>
      <c r="AM13" s="85" t="str">
        <v>Tugas298</v>
      </c>
      <c r="AN13" s="85" t="str">
        <v>Tujuan298</v>
      </c>
      <c r="AO13" s="85" t="str">
        <v>Instruksi298</v>
      </c>
      <c r="AP13" s="85" t="str">
        <v>Output298</v>
      </c>
      <c r="AQ13" s="85" t="str">
        <v>Waktu298</v>
      </c>
      <c r="AR13" s="85" t="str">
        <v>Monitoring298</v>
      </c>
      <c r="AS13" s="85" t="str">
        <v>Standar kelulusan298</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1</v>
      </c>
      <c r="AE18" s="85" t="str">
        <v>Tugas367</v>
      </c>
      <c r="AF18" s="85" t="str">
        <v>Tujuan367</v>
      </c>
      <c r="AG18" s="85" t="str">
        <v>Instruksi367</v>
      </c>
      <c r="AH18" s="85" t="str">
        <v>Output367</v>
      </c>
      <c r="AI18" s="85" t="str">
        <v>Waktu367</v>
      </c>
      <c r="AJ18" s="85" t="str">
        <v>Monitoring367</v>
      </c>
      <c r="AK18" s="85" t="str">
        <v>Standar kelulusan367</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1</v>
      </c>
      <c r="O19" s="85" t="str">
        <v>Tugas433</v>
      </c>
      <c r="P19" s="85" t="str">
        <v>Tujuan433</v>
      </c>
      <c r="Q19" s="85" t="str">
        <v>Instruksi433</v>
      </c>
      <c r="R19" s="85" t="str">
        <v>Output433</v>
      </c>
      <c r="S19" s="85" t="str">
        <v>Waktu433</v>
      </c>
      <c r="T19" s="85" t="str">
        <v>Monitoring433</v>
      </c>
      <c r="U19" s="85" t="str">
        <v>Standar kelulusan433</v>
      </c>
      <c r="V19" s="194">
        <f ca="1" t="array" ref="V19:AC19">IF($K19="","",IFERROR(INDEX('sheet template'!$F$2:$M$1009,_xlfn.AGGREGATE(15,6,(ROW('sheet template'!$A$2:$A$1009)-ROW('sheet template'!$A$2)+1)/('sheet template'!$A$2:$A$1009=$K19),RANDBETWEEN(1,3)),0),""))</f>
        <v>1</v>
      </c>
      <c r="W19" s="85" t="str">
        <v>Tugas436</v>
      </c>
      <c r="X19" s="85" t="str">
        <v>Tujuan436</v>
      </c>
      <c r="Y19" s="85" t="str">
        <v>Instruksi436</v>
      </c>
      <c r="Z19" s="85" t="str">
        <v>Output436</v>
      </c>
      <c r="AA19" s="85" t="str">
        <v>Waktu436</v>
      </c>
      <c r="AB19" s="85" t="str">
        <v>Monitoring436</v>
      </c>
      <c r="AC19" s="85" t="str">
        <v>Standar kelulusan436</v>
      </c>
      <c r="AD19" s="194">
        <f ca="1" t="array" ref="AD19:AK19">IF($L19="","",IFERROR(INDEX('sheet template'!$F$2:$M$1009,_xlfn.AGGREGATE(15,6,(ROW('sheet template'!$A$2:$A$1009)-ROW('sheet template'!$A$2)+1)/('sheet template'!$A$2:$A$1009=$L19),RANDBETWEEN(1,3)),0),""))</f>
        <v>1</v>
      </c>
      <c r="AE19" s="85" t="str">
        <v>Tugas439</v>
      </c>
      <c r="AF19" s="85" t="str">
        <v>Tujuan439</v>
      </c>
      <c r="AG19" s="85" t="str">
        <v>Instruksi439</v>
      </c>
      <c r="AH19" s="85" t="str">
        <v>Output439</v>
      </c>
      <c r="AI19" s="85" t="str">
        <v>Waktu439</v>
      </c>
      <c r="AJ19" s="85" t="str">
        <v>Monitoring439</v>
      </c>
      <c r="AK19" s="85" t="str">
        <v>Standar kelulusan439</v>
      </c>
      <c r="AL19" s="194">
        <f ca="1" t="array" ref="AL19:AS19">IF($M19="","",IFERROR(INDEX('sheet template'!$F$2:$M$1009,_xlfn.AGGREGATE(15,6,(ROW('sheet template'!$A$2:$A$1009)-ROW('sheet template'!$A$2)+1)/('sheet template'!$A$2:$A$1009=$M19),RANDBETWEEN(1,3)),0),""))</f>
        <v>2</v>
      </c>
      <c r="AM19" s="85" t="str">
        <v>Tugas443</v>
      </c>
      <c r="AN19" s="85" t="str">
        <v>Tujuan443</v>
      </c>
      <c r="AO19" s="85" t="str">
        <v>Instruksi443</v>
      </c>
      <c r="AP19" s="85" t="str">
        <v>Output443</v>
      </c>
      <c r="AQ19" s="85" t="str">
        <v>Waktu443</v>
      </c>
      <c r="AR19" s="85" t="str">
        <v>Monitoring443</v>
      </c>
      <c r="AS19" s="85" t="str">
        <v>Standar kelulusan443</v>
      </c>
    </row>
    <row r="20"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1</v>
      </c>
      <c r="W20" s="85" t="str">
        <v>Tugas508</v>
      </c>
      <c r="X20" s="85" t="str">
        <v>Tujuan508</v>
      </c>
      <c r="Y20" s="85" t="str">
        <v>Instruksi508</v>
      </c>
      <c r="Z20" s="85" t="str">
        <v>Output508</v>
      </c>
      <c r="AA20" s="85" t="str">
        <v>Waktu508</v>
      </c>
      <c r="AB20" s="85" t="str">
        <v>Monitoring508</v>
      </c>
      <c r="AC20" s="85" t="str">
        <v>Standar kelulusan508</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2</v>
      </c>
      <c r="O22" s="85" t="str">
        <v>Latihan "Menahan Diri dari Memberi Solusi"</v>
      </c>
      <c r="P22" s="85" t="str">
        <v>Membangun kebiasaan mendengar dan bertanya, bukan langsung memberi solusi.</v>
      </c>
      <c r="Q22" s="85" t="str">
        <v>Dalam setiap percakapan dengan rekan yang sedang bercerita tentang masalahnya, tahan keinginan untuk memberi solusi. Sebaliknya, ajukan 3 pertanyaan eksploratif sebelum merespons. Catat keberhasilan.</v>
      </c>
      <c r="R22" s="85" t="str">
        <v>Log 30 percakapan; rasio bertanya vs memberi solusi; target rasio bertanya:solusi ≥3:1</v>
      </c>
      <c r="S22" s="85" t="str">
        <v>Bulan 1–12</v>
      </c>
      <c r="T22" s="85" t="str">
        <v>Per bulan</v>
      </c>
      <c r="U22" s="85" t="str">
        <v>Rasio bertanya:solusi ≥3:1 di akhir bulan ke-3.
Review log oleh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3</v>
      </c>
      <c r="O44" s="85" t="str">
        <v>Tugas291</v>
      </c>
      <c r="P44" s="85" t="str">
        <v>Tujuan291</v>
      </c>
      <c r="Q44" s="85" t="str">
        <v>Instruksi291</v>
      </c>
      <c r="R44" s="85" t="str">
        <v>Output291</v>
      </c>
      <c r="S44" s="85" t="str">
        <v>Waktu291</v>
      </c>
      <c r="T44" s="85" t="str">
        <v>Monitoring291</v>
      </c>
      <c r="U44" s="85" t="str">
        <v>Standar kelulusan291</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3</v>
      </c>
      <c r="AM44" s="85" t="str">
        <v>Tugas300</v>
      </c>
      <c r="AN44" s="85" t="str">
        <v>Tujuan300</v>
      </c>
      <c r="AO44" s="85" t="str">
        <v>Instruksi300</v>
      </c>
      <c r="AP44" s="85" t="str">
        <v>Output300</v>
      </c>
      <c r="AQ44" s="85" t="str">
        <v>Waktu300</v>
      </c>
      <c r="AR44" s="85" t="str">
        <v>Monitoring300</v>
      </c>
      <c r="AS44" s="85" t="str">
        <v>Standar kelulusan300</v>
      </c>
    </row>
    <row r="45"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1</v>
      </c>
      <c r="W45" s="85" t="str">
        <v>Tugas1</v>
      </c>
      <c r="X45" s="85" t="str">
        <v>Tujuan1</v>
      </c>
      <c r="Y45" s="85" t="str">
        <v>Instruksi1</v>
      </c>
      <c r="Z45" s="85" t="str">
        <v>Output1</v>
      </c>
      <c r="AA45" s="85" t="str">
        <v>Waktu1</v>
      </c>
      <c r="AB45" s="85" t="str">
        <v>Monitoring1</v>
      </c>
      <c r="AC45" s="85" t="str">
        <v>Standar kelulusan1</v>
      </c>
      <c r="AD45" s="194">
        <f ca="1" t="array" ref="AD45:AK45">IF($L45="","",IFERROR(INDEX('sheet template'!$F$2:$M$1009,_xlfn.AGGREGATE(15,6,(ROW('sheet template'!$A$2:$A$1009)-ROW('sheet template'!$A$2)+1)/('sheet template'!$A$2:$A$1009=$L45),RANDBETWEEN(1,COUNTIF('sheet template'!$A$2:$A$1009,$L45))),0),""))</f>
        <v>3</v>
      </c>
      <c r="AE45" s="85" t="str">
        <v>Tugas9</v>
      </c>
      <c r="AF45" s="85" t="str">
        <v>Tujuan9</v>
      </c>
      <c r="AG45" s="85" t="str">
        <v>Instruksi9</v>
      </c>
      <c r="AH45" s="85" t="str">
        <v>Output9</v>
      </c>
      <c r="AI45" s="85" t="str">
        <v>Waktu9</v>
      </c>
      <c r="AJ45" s="85" t="str">
        <v>Monitoring9</v>
      </c>
      <c r="AK45" s="85" t="str">
        <v>Standar kelulusan9</v>
      </c>
      <c r="AL45" s="194">
        <f ca="1" t="array" ref="AL45:AS45">IF($L45="","",IFERROR(INDEX('sheet template'!$F$2:$M$1009,_xlfn.AGGREGATE(15,6,(ROW('sheet template'!$A$2:$A$1009)-ROW('sheet template'!$A$2)+1)/('sheet template'!$A$2:$A$1009=$L45),RANDBETWEEN(1,COUNTIF('sheet template'!$A$2:$A$1009,$L45))),0),""))</f>
        <v>1</v>
      </c>
      <c r="AM45" s="85" t="str">
        <v>Tugas7</v>
      </c>
      <c r="AN45" s="85" t="str">
        <v>Tujuan7</v>
      </c>
      <c r="AO45" s="85" t="str">
        <v>Instruksi7</v>
      </c>
      <c r="AP45" s="85" t="str">
        <v>Output7</v>
      </c>
      <c r="AQ45" s="85" t="str">
        <v>Waktu7</v>
      </c>
      <c r="AR45" s="85" t="str">
        <v>Monitoring7</v>
      </c>
      <c r="AS45" s="85" t="str">
        <v>Standar kelulusan7</v>
      </c>
    </row>
    <row r="4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3</v>
      </c>
      <c r="AE46" s="85" t="str">
        <v>Tugas81</v>
      </c>
      <c r="AF46" s="85" t="str">
        <v>Tujuan81</v>
      </c>
      <c r="AG46" s="85" t="str">
        <v>Instruksi81</v>
      </c>
      <c r="AH46" s="85" t="str">
        <v>Output81</v>
      </c>
      <c r="AI46" s="85" t="str">
        <v>Waktu81</v>
      </c>
      <c r="AJ46" s="85" t="str">
        <v>Monitoring81</v>
      </c>
      <c r="AK46" s="85" t="str">
        <v>Standar kelulusan81</v>
      </c>
      <c r="AL46" s="194">
        <f ca="1" t="array" ref="AL46:AS46">IF($L46="","",IFERROR(INDEX('sheet template'!$F$2:$M$1009,_xlfn.AGGREGATE(15,6,(ROW('sheet template'!$A$2:$A$1009)-ROW('sheet template'!$A$2)+1)/('sheet template'!$A$2:$A$1009=$L46),RANDBETWEEN(1,COUNTIF('sheet template'!$A$2:$A$1009,$L46))),0),""))</f>
        <v>1</v>
      </c>
      <c r="AM46" s="85" t="str">
        <v>Tugas79</v>
      </c>
      <c r="AN46" s="85" t="str">
        <v>Tujuan79</v>
      </c>
      <c r="AO46" s="85" t="str">
        <v>Instruksi79</v>
      </c>
      <c r="AP46" s="85" t="str">
        <v>Output79</v>
      </c>
      <c r="AQ46" s="85" t="str">
        <v>Waktu79</v>
      </c>
      <c r="AR46" s="85" t="str">
        <v>Monitoring79</v>
      </c>
      <c r="AS46" s="85" t="str">
        <v>Standar kelulusan79</v>
      </c>
    </row>
    <row r="47"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2</v>
      </c>
      <c r="O47" s="85" t="str">
        <v>Tugas146</v>
      </c>
      <c r="P47" s="85" t="str">
        <v>Tujuan146</v>
      </c>
      <c r="Q47" s="85" t="str">
        <v>Instruksi146</v>
      </c>
      <c r="R47" s="85" t="str">
        <v>Output146</v>
      </c>
      <c r="S47" s="85" t="str">
        <v>Waktu146</v>
      </c>
      <c r="T47" s="85" t="str">
        <v>Monitoring146</v>
      </c>
      <c r="U47" s="85" t="str">
        <v>Standar kelulusan146</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1</v>
      </c>
      <c r="AM49" s="85" t="str">
        <v>Tugas367</v>
      </c>
      <c r="AN49" s="85" t="str">
        <v>Tujuan367</v>
      </c>
      <c r="AO49" s="85" t="str">
        <v>Instruksi367</v>
      </c>
      <c r="AP49" s="85" t="str">
        <v>Output367</v>
      </c>
      <c r="AQ49" s="85" t="str">
        <v>Waktu367</v>
      </c>
      <c r="AR49" s="85" t="str">
        <v>Monitoring367</v>
      </c>
      <c r="AS49" s="85" t="str">
        <v>Standar kelulusan367</v>
      </c>
    </row>
    <row r="50"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2</v>
      </c>
      <c r="W51" s="85" t="str">
        <v>Tugas506</v>
      </c>
      <c r="X51" s="85" t="str">
        <v>Tujuan506</v>
      </c>
      <c r="Y51" s="85" t="str">
        <v>Instruksi506</v>
      </c>
      <c r="Z51" s="85" t="str">
        <v>Output506</v>
      </c>
      <c r="AA51" s="85" t="str">
        <v>Waktu506</v>
      </c>
      <c r="AB51" s="85" t="str">
        <v>Monitoring506</v>
      </c>
      <c r="AC51" s="85" t="str">
        <v>Standar kelulusan506</v>
      </c>
      <c r="AD51" s="194">
        <f ca="1" t="array" ref="AD51:AK51">IF($L51="","",IFERROR(INDEX('sheet template'!$F$2:$M$1009,_xlfn.AGGREGATE(15,6,(ROW('sheet template'!$A$2:$A$1009)-ROW('sheet template'!$A$2)+1)/('sheet template'!$A$2:$A$1009=$L51),RANDBETWEEN(1,COUNTIF('sheet template'!$A$2:$A$1009,$L51))),0),""))</f>
        <v>3</v>
      </c>
      <c r="AE51" s="85" t="str">
        <v>Tugas513</v>
      </c>
      <c r="AF51" s="85" t="str">
        <v>Tujuan513</v>
      </c>
      <c r="AG51" s="85" t="str">
        <v>Instruksi513</v>
      </c>
      <c r="AH51" s="85" t="str">
        <v>Output513</v>
      </c>
      <c r="AI51" s="85" t="str">
        <v>Waktu513</v>
      </c>
      <c r="AJ51" s="85" t="str">
        <v>Monitoring513</v>
      </c>
      <c r="AK51" s="85" t="str">
        <v>Standar kelulusan513</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2</v>
      </c>
      <c r="O52" s="85" t="str">
        <v>Tugas578</v>
      </c>
      <c r="P52" s="85" t="str">
        <v>Tujuan578</v>
      </c>
      <c r="Q52" s="85" t="str">
        <v>Instruksi578</v>
      </c>
      <c r="R52" s="85" t="str">
        <v>Output578</v>
      </c>
      <c r="S52" s="85" t="str">
        <v>Waktu578</v>
      </c>
      <c r="T52" s="85" t="str">
        <v>Monitoring578</v>
      </c>
      <c r="U52" s="85" t="str">
        <v>Standar kelulusan578</v>
      </c>
      <c r="V52" s="194">
        <f ca="1" t="array" ref="V52:AC52">IF($J52="","",IFERROR(INDEX('sheet template'!$F$2:$M$1009,_xlfn.AGGREGATE(15,6,(ROW('sheet template'!$A$2:$A$1009)-ROW('sheet template'!$A$2)+1)/('sheet template'!$A$2:$A$1009=$J52),RANDBETWEEN(1,COUNTIF('sheet template'!$A$2:$A$1009,$J52))),0),""))</f>
        <v>2</v>
      </c>
      <c r="W52" s="85" t="str">
        <v>Tugas578</v>
      </c>
      <c r="X52" s="85" t="str">
        <v>Tujuan578</v>
      </c>
      <c r="Y52" s="85" t="str">
        <v>Instruksi578</v>
      </c>
      <c r="Z52" s="85" t="str">
        <v>Output578</v>
      </c>
      <c r="AA52" s="85" t="str">
        <v>Waktu578</v>
      </c>
      <c r="AB52" s="85" t="str">
        <v>Monitoring578</v>
      </c>
      <c r="AC52" s="85" t="str">
        <v>Standar kelulusan578</v>
      </c>
      <c r="AD52" s="194">
        <f ca="1" t="array" ref="AD52:AK52">IF($L52="","",IFERROR(INDEX('sheet template'!$F$2:$M$1009,_xlfn.AGGREGATE(15,6,(ROW('sheet template'!$A$2:$A$1009)-ROW('sheet template'!$A$2)+1)/('sheet template'!$A$2:$A$1009=$L52),RANDBETWEEN(1,COUNTIF('sheet template'!$A$2:$A$1009,$L52))),0),""))</f>
        <v>1</v>
      </c>
      <c r="AE52" s="85" t="str">
        <v>Tugas583</v>
      </c>
      <c r="AF52" s="85" t="str">
        <v>Tujuan583</v>
      </c>
      <c r="AG52" s="85" t="str">
        <v>Instruksi583</v>
      </c>
      <c r="AH52" s="85" t="str">
        <v>Output583</v>
      </c>
      <c r="AI52" s="85" t="str">
        <v>Waktu583</v>
      </c>
      <c r="AJ52" s="85" t="str">
        <v>Monitoring583</v>
      </c>
      <c r="AK52" s="85" t="str">
        <v>Standar kelulusan583</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3</v>
      </c>
      <c r="AE53" s="85" t="str">
        <v>Umpan Balik 360° tentang "Rasa Ingin Tahu"</v>
      </c>
      <c r="AF53" s="85" t="str">
        <v>Mengukur persepsi rekan tentang seberapa tulus rasa ingin tahu Anda.</v>
      </c>
      <c r="AG53" s="85" t="str">
        <v>Kuesioner: "Dia benar-benar tertarik memahami saya", "Pertanyaannya membuat saya merasa dihargai". Pre &amp; post dari 5 responden.</v>
      </c>
      <c r="AH53" s="85" t="str">
        <v>Dua laporan; target peningkatan rata-rata ≥1 poin.</v>
      </c>
      <c r="AI53" s="85" t="str">
        <v>Bulan 1–12</v>
      </c>
      <c r="AJ53" s="85" t="str">
        <v>Per bulan</v>
      </c>
      <c r="AK53" s="85" t="str">
        <v>Peningkatan rata-rata ≥1 poin.
Dokumentasi hasil pre dan post</v>
      </c>
      <c r="AL53" s="194">
        <f ca="1" t="array" ref="AL53:AS53">IF($L53="","",IFERROR(INDEX('sheet template'!$F$2:$M$1009,_xlfn.AGGREGATE(15,6,(ROW('sheet template'!$A$2:$A$1009)-ROW('sheet template'!$A$2)+1)/('sheet template'!$A$2:$A$1009=$L53),RANDBETWEEN(1,COUNTIF('sheet template'!$A$2:$A$1009,$L53))),0),""))</f>
        <v>3</v>
      </c>
      <c r="AM53" s="85" t="str">
        <v>Umpan Balik 360° tentang "Rasa Ingin Tahu"</v>
      </c>
      <c r="AN53" s="85" t="str">
        <v>Mengukur persepsi rekan tentang seberapa tulus rasa ingin tahu Anda.</v>
      </c>
      <c r="AO53" s="85" t="str">
        <v>Kuesioner: "Dia benar-benar tertarik memahami saya", "Pertanyaannya membuat saya merasa dihargai". Pre &amp; post dari 5 responden.</v>
      </c>
      <c r="AP53" s="85" t="str">
        <v>Dua laporan; target peningkatan rata-rata ≥1 poin.</v>
      </c>
      <c r="AQ53" s="85" t="str">
        <v>Bulan 1–12</v>
      </c>
      <c r="AR53" s="85" t="str">
        <v>Per bulan</v>
      </c>
      <c r="AS53" s="85" t="str">
        <v>Peningkatan rata-rata ≥1 poin.
Dokumentasi hasil pre dan post</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Samuel Eko Yulianto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Samuel Eko Yulianto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Samuel Eko Yulianto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Samuel Eko Yulianto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2026-09-26T01:36:57Z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911D5EBCFBAC41C585C1974FEA25DE1B_12</vt:lpwstr>
  </property>
  <property fmtid="{D5CDD505-2E9C-101B-9397-08002B2CF9AE}" pid="5" name="KSOProductBuildVer">
    <vt:lpwstr>1033-12.1.0.28485</vt:lpwstr>
  </property>
  <property fmtid="{D5CDD505-2E9C-101B-9397-08002B2CF9AE}" pid="6" name="CalculationRule">
    <vt:i4>0</vt:i4>
  </property>
</Properties>
</file>