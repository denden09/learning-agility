
<file path=[Content_Types].xml><?xml version="1.0" encoding="utf-8"?>
<Types xmlns="http://schemas.openxmlformats.org/package/2006/content-types">
  <Default Extension="xml" ContentType="application/xml"/>
  <Default Extension="wmf" ContentType="image/x-wmf"/>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harts/chart1.xml" ContentType="application/vnd.openxmlformats-officedocument.drawingml.chart+xml"/>
  <Override PartName="/xl/charts/chart2.xml" ContentType="application/vnd.openxmlformats-officedocument.drawingml.chart+xml"/>
  <Override PartName="/xl/charts/colors1.xml" ContentType="application/vnd.ms-office.chartcolorstyle+xml"/>
  <Override PartName="/xl/charts/colors2.xml" ContentType="application/vnd.ms-office.chartcolorstyle+xml"/>
  <Override PartName="/xl/charts/style1.xml" ContentType="application/vnd.ms-office.chartstyle+xml"/>
  <Override PartName="/xl/charts/style2.xml" ContentType="application/vnd.ms-office.chartstyle+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thumbnail" Target="docProps/thumbnail.wmf"/><Relationship Id="rId4" Type="http://schemas.openxmlformats.org/package/2006/relationships/metadata/core-properties" Target="docProps/core.xml"/><Relationship Id="rId3" Type="http://schemas.openxmlformats.org/officeDocument/2006/relationships/extended-properties" Target="docProps/app.xml"/><Relationship Id="rId5"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19420" windowHeight="11020" tabRatio="882" firstSheet="7" activeTab="13"/>
  </bookViews>
  <sheets>
    <sheet name="Identitas" sheetId="14" r:id="rId1"/>
    <sheet name="mental agility" sheetId="1" r:id="rId2"/>
    <sheet name="people agility" sheetId="2" r:id="rId3"/>
    <sheet name="change agility" sheetId="3" r:id="rId4"/>
    <sheet name="result agility" sheetId="4" r:id="rId5"/>
    <sheet name="self awareness" sheetId="5" r:id="rId6"/>
    <sheet name="Profile Summary" sheetId="9" r:id="rId7"/>
    <sheet name="Kompetensi" sheetId="18" r:id="rId8"/>
    <sheet name="sheet template" sheetId="19" r:id="rId9"/>
    <sheet name="Dasboard" sheetId="26" r:id="rId10"/>
    <sheet name="Aktivitas pengembangan" sheetId="25" r:id="rId11"/>
    <sheet name="Bukti Aktivitas Pengembangan" sheetId="24" r:id="rId12"/>
    <sheet name="Penilaian Perilaku" sheetId="23" r:id="rId13"/>
    <sheet name="Form Penilaian Presentasi" sheetId="22" r:id="rId14"/>
    <sheet name="panduan" sheetId="17" r:id="rId15"/>
  </sheets>
  <externalReferences>
    <externalReference r:id="rId19"/>
    <externalReference r:id="rId20"/>
    <externalReference r:id="rId21"/>
  </externalReferenc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<sst xmlns="http://schemas.openxmlformats.org/spreadsheetml/2006/main" count="11811" uniqueCount="7239">
  <si>
    <t xml:space="preserve">Nama </t>
  </si>
  <si>
    <t>:</t>
  </si>
  <si>
    <t>Febrian Dwi Christian</t>
  </si>
  <si>
    <t>Nama Atasan yang menilai</t>
  </si>
  <si>
    <t>Julia Edwita</t>
  </si>
  <si>
    <t>Level Saat Ini</t>
  </si>
  <si>
    <t>Officer</t>
  </si>
  <si>
    <t>Level Tujuan</t>
  </si>
  <si>
    <t>Analyst</t>
  </si>
  <si>
    <t>Tanggal Assesment</t>
  </si>
  <si>
    <t>Unit</t>
  </si>
  <si>
    <t>Human Capital Operation &amp; Service</t>
  </si>
  <si>
    <t>Departemen</t>
  </si>
  <si>
    <t>Human Capital Shared Service</t>
  </si>
  <si>
    <t>Divisi</t>
  </si>
  <si>
    <t>Direktorat</t>
  </si>
  <si>
    <t>Resources &amp; Innovation</t>
  </si>
  <si>
    <t>Level Next Path</t>
  </si>
  <si>
    <t>Unit Head/Specialist</t>
  </si>
  <si>
    <t>No</t>
  </si>
  <si>
    <t>Indikator</t>
  </si>
  <si>
    <t>Pernyataan Situasi</t>
  </si>
  <si>
    <t>Level 1 (Rendah)</t>
  </si>
  <si>
    <t>Level 2 (Cukup)</t>
  </si>
  <si>
    <t>Level 3 (Baik)</t>
  </si>
  <si>
    <t>Level 4 (Sangat Baik)</t>
  </si>
  <si>
    <t>Level 5 (Luar Biasa)</t>
  </si>
  <si>
    <t>Rating
(1-5)
self</t>
  </si>
  <si>
    <t>Komentar / Contoh Perilaku</t>
  </si>
  <si>
    <t>Rating
(1-5)
superior</t>
  </si>
  <si>
    <t>Self Awareness GAP Score 
Self - Sup</t>
  </si>
  <si>
    <t>Gap</t>
  </si>
  <si>
    <t>Keterangan</t>
  </si>
  <si>
    <t>Intepretasi</t>
  </si>
  <si>
    <t>Analytical Thinking
(memahami data &amp; fakta dasar)</t>
  </si>
  <si>
    <t>Ketika menghadapi data, fakta, atau informasi baru dalam pekerjaan, perilaku yang paling sering ditunjukkan adalah…</t>
  </si>
  <si>
    <t>Kesulitan memahami informasi baru tanpa arahan detail.</t>
  </si>
  <si>
    <t>Memahami informasi dasar, tetapi masih membutuhkan bantuan untuk menarik kesimpulan.</t>
  </si>
  <si>
    <t>Mampu memahami data/fakta utama dan menarik kesimpulan yang relevan.</t>
  </si>
  <si>
    <t>Cepat memahami informasi kompleks dan menghubungkannya dengan konteks pekerjaan.</t>
  </si>
  <si>
    <t>Menangkap pola kompleks dan mengubahnya menjadi insight, rekomendasi, atau solusi baru.</t>
  </si>
  <si>
    <t>Root Cause Analysis
(mencari penyebab masalah)</t>
  </si>
  <si>
    <t>Ketika menghadapi masalah dalam pekerjaan, perilaku yang paling sering ditunjukkan adalah…</t>
  </si>
  <si>
    <t>Cenderung melihat gejala permukaan dan belum mampu memilah informasi penting.</t>
  </si>
  <si>
    <t>Mampu menemukan penyebab masalah sederhana dengan arahan.</t>
  </si>
  <si>
    <t>Mampu menganalisis informasi dan menemukan akar masalah utama.</t>
  </si>
  <si>
    <t>Mampu mengurai masalah kompleks serta membedakan gejala, penyebab, dan dampak.</t>
  </si>
  <si>
    <t>Cepat dan akurat menemukan akar masalah dalam situasi kompleks, ambigu, atau lintas fungsi.</t>
  </si>
  <si>
    <t>Critical Thinking &amp; Inquisitiveness
(mempertanyakan &amp; mengevaluasi)</t>
  </si>
  <si>
    <t>Ketika menerima informasi, arahan, data, atau usulan, perilaku yang paling sering ditunjukkan adalah…</t>
  </si>
  <si>
    <t>Menerima informasi apa adanya tanpa klarifikasi.</t>
  </si>
  <si>
    <t>Mulai mengajukan pertanyaan dasar untuk memahami fakta.</t>
  </si>
  <si>
    <t>Rutin bertanya “mengapa” dan “bagaimana” untuk memahami alasan atau akar masalah.</t>
  </si>
  <si>
    <t>Menguji asumsi, membandingkan data, dan mencari perspektif pembanding.</t>
  </si>
  <si>
    <t>Membangun kerangka berpikir yang menghubungkan informasi kompleks, kontradiktif, atau belum lengkap.</t>
  </si>
  <si>
    <t>Explaining Complexity
(menjelaskan hal kompleks secara sederhana)</t>
  </si>
  <si>
    <t>Ketika harus menjelaskan ide, data, atau masalah kompleks kepada orang lain, perilaku yang paling sering ditunjukkan adalah…</t>
  </si>
  <si>
    <t>Penjelasan kurang terstruktur sehingga orang lain sulit memahami inti masalah.</t>
  </si>
  <si>
    <t>Mampu menjelaskan dengan contoh, tetapi masih bertele-tele atau kurang fokus.</t>
  </si>
  <si>
    <t>Menjelaskan isu kompleks dengan cukup jelas, runtut, dan mudah diikuti.</t>
  </si>
  <si>
    <t>Menyederhanakan konsep kompleks menjadi pesan yang mudah dipahami audiens berbeda.</t>
  </si>
  <si>
    <t>Mengemas kompleksitas menjadi narasi sederhana, meyakinkan, dan mendorong tindakan.</t>
  </si>
  <si>
    <t>Intellectual Synthesis
(menghubungkan berbagai informasi)</t>
  </si>
  <si>
    <t>Ketika dihadapkan pada beragam informasi atau konsep yang tampak terfragmentasi dan belum terintegrasi, perilaku yang paling khas ditunjukkan adalah… (dalam konteks menyintesis data, teori, atau temuan dari berbagai laporan dan riset yang berbeda)</t>
  </si>
  <si>
    <t>Menggunakan pengetahuan yang sudah dikenal dan memilih solusi konvensional.</t>
  </si>
  <si>
    <t>Mulai melihat kemiripan antar informasi, tetapi belum mampu menghubungkannya menjadi solusi.</t>
  </si>
  <si>
    <t>Menemukan hubungan antar informasi, data, atau konsep dari sumber berbeda.</t>
  </si>
  <si>
    <t>Menyintesis berbagai informasi menjadi pendekatan, rekomendasi, atau solusi baru.</t>
  </si>
  <si>
    <t>Membangun kerangka kerja baru dari berbagai informasi kompleks yang sebelumnya tampak tidak berkaitan. (Fokus pada data, konsep, dan informasi)</t>
  </si>
  <si>
    <t>Integrating Diverse Perspective
(pengambilan keputusan melihat dari berbagai sudut pandang)</t>
  </si>
  <si>
    <t>Ketika harus mengambil keputusan yang melibatkan beragam perspektif dari para pemangku kepentingan, perilaku yang paling khas ditunjukkan adalah… (dalam konteks menampung, memediasi, dan mengintegrasikan berbagai aspirasi, pendapat, ataupun kepentingan yang berbeda dari berbagai pihak)</t>
  </si>
  <si>
    <t>Cenderung mencari informasi yang mendukung pendapat awal.</t>
  </si>
  <si>
    <t>Mulai mempertimbangkan perspektif lain, tetapi masih dominan pada sudut pandang sendiri.</t>
  </si>
  <si>
    <t>Mempertimbangkan berbagai faktor dan sudut pandang sebelum membuat keputusan.</t>
  </si>
  <si>
    <t>Secara aktif memadukan masukan berbagai pihak untuk memperkaya analisis dan mengurangi risiko.</t>
  </si>
  <si>
    <t>Menghubungkan perspektif yang berbeda atau bertentangan untuk menghasilkan solusi inovatif dan dapat diterima.(Fokus pada sudut pandang, kepentingan, dan opini orang)</t>
  </si>
  <si>
    <t>Creative Exploration
(mencari pendekatan baru)</t>
  </si>
  <si>
    <t>Ketika menghadapi ide baru atau pendekatan yang belum terbukti, perilaku yang paling sering ditunjukkan adalah…</t>
  </si>
  <si>
    <t>Hanya menggunakan metode yang familiar dan menghindari pendekatan baru.</t>
  </si>
  <si>
    <t>Mau mendengarkan ide baru, tetapi lebih nyaman dengan cara yang sudah terbukti.</t>
  </si>
  <si>
    <t>Terbuka mencoba ide baru jika situasi, waktu, dan sumber daya mendukung.</t>
  </si>
  <si>
    <t>Aktif mencari ide baru sebagai peluang perbaikan, efisiensi, atau inovasi.</t>
  </si>
  <si>
    <t>Proaktif mengeksplorasi ide kreatif, menguji pendekatan baru, dan mendorong pembelajaran dari eksperimen.</t>
  </si>
  <si>
    <t>Breaking Patterned thinking
(menciptakan solusi baru)</t>
  </si>
  <si>
    <t>Ketika menghadapi masalah lama yang membutuhkan cara baru, perilaku yang paling sering ditunjukkan adalah…</t>
  </si>
  <si>
    <t>Mengulang solusi lama tanpa mengevaluasi kesesuaiannya.</t>
  </si>
  <si>
    <t>Menyesuaikan solusi lama, tetapi masih menggunakan pola pikir yang sama.</t>
  </si>
  <si>
    <t>Mengevaluasi efektivitas solusi lama dan mulai mencari alternatif pendekatan.</t>
  </si>
  <si>
    <t>Membandingkan berbagai alternatif solusi dan memilih pendekatan yang lebih relevan.</t>
  </si>
  <si>
    <t>Menciptakan solusi baru yang efektif untuk masalah berulang, kompleks, atau tidak bisa diselesaikan dengan cara lama.</t>
  </si>
  <si>
    <t>Comfort with Ambiguity
(tetap efektif di situasi tidak jelas)</t>
  </si>
  <si>
    <t>Ketika menghadapi situasi kerja yang belum jelas arah, data, prioritas, atau keputusannya, perilaku yang paling sering ditunjukkan adalah…</t>
  </si>
  <si>
    <t>Sulit bergerak atau mengambil tindakan tanpa arahan jelas.</t>
  </si>
  <si>
    <t>Mulai bekerja dalam ketidakjelasan, tetapi mudah ragu atau menunggu arahan tambahan.</t>
  </si>
  <si>
    <t>Tetap bekerja dalam situasi ambigu dengan beberapa panduan.</t>
  </si>
  <si>
    <t>Nyaman menghadapi ketidakjelasan, tetap produktif, dan mampu membuat keputusan dengan informasi terbatas.</t>
  </si>
  <si>
    <t>Menggunakan ketidakjelasan sebagai ruang untuk menemukan peluang, pola baru, atau alternatif strategi.</t>
  </si>
  <si>
    <t>Tolerance for Ambiguity 
(mampu memimpin dalam uncertainty tinggi)</t>
  </si>
  <si>
    <t>Ketika menghadapi atau memimpin situasi dengan ketidakpastian tinggi dan berdampak luas, perilaku yang paling sering ditunjukkan adalah…</t>
  </si>
  <si>
    <t>Bingung, reaktif, atau menunda keputusan ketika arah belum jelas.</t>
  </si>
  <si>
    <t>Mampu beradaptasi setelah mendapat arahan atau keputusan dari pihak lain.</t>
  </si>
  <si>
    <t>Menjaga produktivitas diri/tim dalam situasi tidak pasti dengan dukungan tertentu.</t>
  </si>
  <si>
    <t>Memberi arah, menjaga ketenangan, dan mengambil keputusan dalam ketidakpastian tinggi.</t>
  </si>
  <si>
    <t>Memimpin organisasi atau fungsi melewati ketidakpastian, membangun arah strategis, dan menciptakan peluang baru.</t>
  </si>
  <si>
    <t>AVERAGE SCORE</t>
  </si>
  <si>
    <t xml:space="preserve"> Listening for understanding
(mendengarkan &amp; memahami dasar)</t>
  </si>
  <si>
    <t>Ketika mendengarkan penjelasan, keluhan, masukan, atau ide dari orang lain, perilaku yang paling sering ditunjukkan adalah…</t>
  </si>
  <si>
    <t>Perhatian mudah teralihkan atau cenderung menunggu giliran bicara.</t>
  </si>
  <si>
    <t>Mendengarkan bagian yang dianggap relevan saja dan belum menangkap konteks utuh.</t>
  </si>
  <si>
    <t>Memberikan perhatian penuh, mengajukan klarifikasi, dan merangkum poin utama.</t>
  </si>
  <si>
    <t>Mendengarkan untuk memahami makna, emosi, dan nada di balik kata-kata.</t>
  </si>
  <si>
    <t>Menghubungkan isu, kebutuhan, dan emosi pihak lain untuk mendorong konsensus atau tindak lanjut.</t>
  </si>
  <si>
    <t>Openness to Feedback
(menerima &amp; mencari masukan)</t>
  </si>
  <si>
    <t>Ketika menerima masukan atau umpan balik dari orang lain, perilaku yang paling sering ditunjukkan adalah…</t>
  </si>
  <si>
    <t>Defensif, menolak, atau membenarkan diri saat menerima feedback.</t>
  </si>
  <si>
    <t>Menerima feedback positif/ringan, tetapi belum terbuka pada kritik menantang.</t>
  </si>
  <si>
    <t>Meminta klarifikasi atau contoh agar memahami feedback dengan tepat.</t>
  </si>
  <si>
    <t>Menindaklanjuti feedback melalui perubahan perilaku atau peningkatan keterampilan.</t>
  </si>
  <si>
    <t>Secara rutin meminta feedback spesifik, jujur, dan menantang dari berbagai sumber.</t>
  </si>
  <si>
    <t>Genuine Curiosity about Others
(rasa ingin tahu tulus pada orang lain)</t>
  </si>
  <si>
    <t>Ketika berinteraksi dengan rekan kerja, anggota tim, atau stakeholder, perilaku yang paling sering ditunjukkan adalah…</t>
  </si>
  <si>
    <t>Kurang menunjukkan ketertarikan memahami orang lain dan cepat menyimpulkan.</t>
  </si>
  <si>
    <t>Bertanya seperlunya hanya untuk memenuhi kebutuhan tugas.</t>
  </si>
  <si>
    <t>Menunjukkan rasa ingin tahu terhadap kebutuhan, alasan, pengalaman, atau konteks orang lain.</t>
  </si>
  <si>
    <t>Aktif menggali motivasi, kekhawatiran, harapan, dan cara pandang orang lain.</t>
  </si>
  <si>
    <t>Membangun pemahaman mendalam sehingga tercipta kepercayaan dan kolaborasi lebih kuat.</t>
  </si>
  <si>
    <t>Collaboration with Diversity
(Bekerja efektif dalam keberagaman)</t>
  </si>
  <si>
    <t>Dalam kolaborasi dengan pihak yang memiliki latar belakang, fungsi, gaya kerja, atau pandangan berbeda, perilaku yang paling sering ditunjukkan adalah…</t>
  </si>
  <si>
    <t>Berinteraksi hanya jika dibutuhkan dan lebih memilih bekerja dengan orang yang serupa.</t>
  </si>
  <si>
    <t>Bersedia bekerja dalam tim beragam jika diarahkan atasan atau pihak lain.</t>
  </si>
  <si>
    <t>Menyesuaikan gaya komunikasi agar efektif bekerja dengan pihak berbeda.</t>
  </si>
  <si>
    <t>Memanfaatkan keberagaman perspektif untuk menghasilkan ide, solusi, atau keputusan lebih baik.</t>
  </si>
  <si>
    <t>Membangun kolaborasi lintas perbedaan yang menghasilkan output unggul dan budaya kerja inklusif.</t>
  </si>
  <si>
    <t>Valuing Diverse Opinions
(Menghargai opini berbeda dalam pengambilan keputusan)</t>
  </si>
  <si>
    <t>Ketika dihadapkan pada beragam pendapat dalam diskusi atau proses pengambilan keputusan, perilaku yang paling khas ditunjukkan adalah… (dengan fokus pada tingkat respek, ruang yang diberikan, serta pertimbangan bobot terhadap opini pihak lain sebelum keputusan akhir ditetapkan)</t>
  </si>
  <si>
    <t>Meremehkan, menolak, atau mengabaikan pendapat yang tidak sesuai.</t>
  </si>
  <si>
    <t>Mendengarkan pendapat berbeda, tetapi masih sulit menerimanya sebagai masukan bernilai.</t>
  </si>
  <si>
    <t>Menghargai perbedaan pendapat dan memberi ruang orang lain menyampaikan pandangan.</t>
  </si>
  <si>
    <t>Mempertimbangkan pendapat berbeda secara serius sebelum mengambil keputusan.</t>
  </si>
  <si>
    <t>Mengintegrasikan berbagai pendapat untuk menciptakan solusi terbaik yang seimbang dan dapat diterima.</t>
  </si>
  <si>
    <t>Understanding Different Perspectives
(Analisis multi-sudut pandang untuk pemahaman mendalam)</t>
  </si>
  <si>
    <t>Ketika muncul perbedaan sudut pandang, kepentingan, atau cara pandang dalam melihat suatu masalah, perilaku yang paling khas ditunjukkan adalah… (dengan fokus pada kedalaman pemetaan kognitif terhadap kepentingan, batasan, dan kebutuhan yang mendasari sudut pandang pihak lain, terlepas dari keputusan akhir yang akan diambil)</t>
  </si>
  <si>
    <t>Sulit memahami sudut pandang lain dan bertahan pada pandangan sendiri.</t>
  </si>
  <si>
    <t>Mencoba memahami sudut pandang lain, tetapi sering kembali ke perspektif awal.</t>
  </si>
  <si>
    <t>Menerima perspektif berbeda jika dijelaskan secara logis dan relevan.</t>
  </si>
  <si>
    <t>Menganalisis kebutuhan, kepentingan, batasan, dan sudut pandang berbagai pihak.</t>
  </si>
  <si>
    <t>Memetakan perspektif berbeda atau bertentangan untuk membangun pemahaman dan keputusan lebih matang.</t>
  </si>
  <si>
    <t>Empathy
(Merasakan &amp; memahami emosi orang lain)</t>
  </si>
  <si>
    <t>Ketika menghadapi situasi yang melibatkan emosi, tekanan, atau perasaan orang lain, perilaku yang paling sering ditunjukkan adalah…</t>
  </si>
  <si>
    <t>Kurang menyadari atau salah menafsirkan emosi orang lain sehingga respons kurang sesuai.</t>
  </si>
  <si>
    <t>Menyadari emosi yang terlihat jelas, tetapi belum memahami konteks atau penyebabnya.</t>
  </si>
  <si>
    <t>Mengamati ekspresi, nada bicara, dan situasi orang lain serta menunjukkan perhatian.</t>
  </si>
  <si>
    <t>Menggali penyebab perasaan orang lain dan memberi respons, dukungan, atau arahan tepat.</t>
  </si>
  <si>
    <t>Membaca dinamika emosi individu/kelompok, merespons empatik, dan menjaga hubungan kerja produktif.</t>
  </si>
  <si>
    <t>Conflict Navigation
(menghadapi konflik secara konstruktif)</t>
  </si>
  <si>
    <t>Ketika menghadapi konflik kerja atau perbedaan kepentingan dalam pekerjaan, perilaku yang paling sering ditunjukkan adalah…</t>
  </si>
  <si>
    <t>Menghindari konflik, membiarkan masalah berlarut, atau merespons secara emosional.</t>
  </si>
  <si>
    <t>Mencoba menghadapi konflik, tetapi mundur ketika situasi meningkat.</t>
  </si>
  <si>
    <t>Menangani konflik sederhana dengan komunikasi terbuka dan dukungan bila diperlukan.</t>
  </si>
  <si>
    <t>Mengelola konflik secara konstruktif, fokus pada isu utama, dan mencari solusi adil.</t>
  </si>
  <si>
    <t>Mengubah konflik menjadi kesempatan strategis untuk memperkuat kepercayaan, ekspektasi, dan kerja sama.</t>
  </si>
  <si>
    <t>Managing Challenging  Stakeholder
(Mengelola relasi berkelanjutan dengan stakeholder sulit)</t>
  </si>
  <si>
    <t>Ketika harus menjaga hubungan profesional dengan individu/stakeholder yang sulit, berpengaruh, atau memiliki kepentingan berbeda, perilaku yang paling sering ditunjukkan adalah…</t>
  </si>
  <si>
    <t>Menghindari interaksi yang diperlukan atau merespons kurang tepat sehingga memperburuk hubungan.</t>
  </si>
  <si>
    <t>Berinteraksi seperlunya, tetapi masih sering terjadi gesekan dan membutuhkan bantuan pihak ketiga.</t>
  </si>
  <si>
    <t>Menjaga profesionalisme, mengelola emosi, dan mulai memahami kepentingan pihak kunci.</t>
  </si>
  <si>
    <t>Menyesuaikan gaya komunikasi, mencari titik temu, dan membangun hubungan kerja produktif.</t>
  </si>
  <si>
    <t>Menjadi penghubung terpercaya antar kepentingan berbeda dan menjaga kerja sama berkelanjutan.</t>
  </si>
  <si>
    <t>Conflict Mediation
(menjadi penengah &amp; penyatu pihak berbeda)</t>
  </si>
  <si>
    <t>Ketika menghadapi konflik antarindividu, antartim, atau antarkepentingan yang membutuhkan penengah, perilaku yang paling sering ditunjukkan adalah…</t>
  </si>
  <si>
    <t>Kesulitan menangani konflik dan cenderung memperkeruh keadaan atau terlihat memihak.</t>
  </si>
  <si>
    <t>Membantu menyelesaikan konflik sederhana, tetapi terbatas pada situasi tidak kompleks.</t>
  </si>
  <si>
    <t>Berperan sebagai penengah dan memastikan pihak terkait didengar.</t>
  </si>
  <si>
    <t>Menjadi mediator efektif dalam konflik kompleks dengan memfasilitasi dialog dan kesepakatan.</t>
  </si>
  <si>
    <t>Menjadi penengah terpercaya dalam konflik strategis/lintas kelompok dan membangun komitmen jangka panjang.</t>
  </si>
  <si>
    <t>Adapting to New Systems
(mengikuti perubahan dasar)</t>
  </si>
  <si>
    <t>Ketika diterapkan sistem, prosedur, tools, atau mekanisme kerja baru, perilaku yang paling sering ditunjukkan adalah…</t>
  </si>
  <si>
    <t>Lambat beradaptasi dan cenderung menolak/menghindari sistem baru.</t>
  </si>
  <si>
    <t>Mulai mencoba sistem/prosedur baru, tetapi masih membutuhkan banyak arahan.</t>
  </si>
  <si>
    <t>Mampu beradaptasi jika tersedia panduan jelas.</t>
  </si>
  <si>
    <t>Cepat menyesuaikan diri dan membantu orang lain memahami penggunaannya.</t>
  </si>
  <si>
    <t>Mengoptimalkan sistem/prosedur baru untuk meningkatkan efektivitas, efisiensi, atau kualitas kerja.</t>
  </si>
  <si>
    <t>persepsi diri Selaras dengan penilaian Atasan</t>
  </si>
  <si>
    <t>persepsi diri Selaras dengan perilaku yang ditunjukan</t>
  </si>
  <si>
    <t>Comfort with New Ways of Working
(mulai nyaman dengan cara kerja baru)</t>
  </si>
  <si>
    <t>Ketika diterapkan cara kerja, metode, atau pendekatan baru, perilaku yang paling sering ditunjukkan adalah…</t>
  </si>
  <si>
    <t>Sangat tidak nyaman dan sulit meninggalkan cara kerja lama.</t>
  </si>
  <si>
    <t>Mencoba beradaptasi, tetapi sering kembali pada kebiasaan lama.</t>
  </si>
  <si>
    <t>Menyesuaikan diri setelah memahami alasan dan manfaat perubahan.</t>
  </si>
  <si>
    <t>Nyaman bekerja dengan pendekatan baru dan cepat menyesuaikan perilaku kerja.</t>
  </si>
  <si>
    <t>Antusias mencoba cara kerja baru, memberi contoh, dan mendorong perbaikan proses.</t>
  </si>
  <si>
    <t>Comfort with Sudden Change
(tetap bekerja saat perubahan mendadak)</t>
  </si>
  <si>
    <t>Ketika menghadapi perubahan mendadak dalam prioritas, arahan, target, atau situasi kerja, perilaku yang paling sering ditunjukkan adalah…</t>
  </si>
  <si>
    <t>Tidak nyaman, kewalahan, atau sulit melanjutkan pekerjaan.</t>
  </si>
  <si>
    <t>Berusaha menyesuaikan diri, tetapi butuh waktu lebih lama untuk kembali produktif.</t>
  </si>
  <si>
    <t>Mampu beradaptasi jika perubahan dijelaskan dengan jelas.</t>
  </si>
  <si>
    <t>Cepat menyesuaikan prioritas dan tetap produktif.</t>
  </si>
  <si>
    <t>Melihat perubahan mendadak sebagai peluang belajar, memperbaiki cara kerja, atau meningkatkan hasil.</t>
  </si>
  <si>
    <t>Self-assessment jauh lebih rendah dari perilaku yang tampak menurut atasan</t>
  </si>
  <si>
    <t>Ada hidden strength; individu tidak menyadari bahwa perilakunya sudah terlihat kuat</t>
  </si>
  <si>
    <t>Managing Resistance to Change
(pengelolaan resistensi)</t>
  </si>
  <si>
    <t>Ketika menghadapi perubahan yang menimbulkan ketidakpastian, ketidaknyamanan, atau resistensi, perilaku yang paling sering ditunjukkan adalah…</t>
  </si>
  <si>
    <t>Menolak perubahan dan sulit menerima cara kerja atau arah baru.</t>
  </si>
  <si>
    <t>Mencoba menerima perubahan, tetapi sering kembali ke cara lama.</t>
  </si>
  <si>
    <t>Menerima perubahan dengan bantuan penjelasan, arahan, atau dukungan tambahan.</t>
  </si>
  <si>
    <t>Mengelola resistensi diri dan beradaptasi secara konstruktif.</t>
  </si>
  <si>
    <t>Mendukung perubahan secara aktif dan membantu orang lain mengurangi resistensi.</t>
  </si>
  <si>
    <t>Self-assessment sedikit lebih rendah dari superior assessment</t>
  </si>
  <si>
    <t>Individu mungkin kurang percaya diri atau belum menyadari kekuatannya</t>
  </si>
  <si>
    <t>Adaptive Learning &amp; Experimentation
(aktif belajar hal baru)</t>
  </si>
  <si>
    <t>Ketika perubahan menuntut pengetahuan, keterampilan, atau pendekatan baru, perilaku yang paling sering ditunjukkan adalah…</t>
  </si>
  <si>
    <t>Merasa cukup dengan kemampuan saat ini dan kurang terdorong belajar hal baru.</t>
  </si>
  <si>
    <t>Tertarik pada hal baru, tetapi belum konsisten mempelajari atau mencobanya.</t>
  </si>
  <si>
    <t>Mempelajari pengetahuan/keterampilan baru yang relevan ketika dibutuhkan.</t>
  </si>
  <si>
    <t>Aktif belajar lintas bidang dan mencoba penerapannya dalam pekerjaan.</t>
  </si>
  <si>
    <t>Konsisten mencari, menguji, dan menerapkan pembelajaran baru untuk menciptakan solusi lebih baik.</t>
  </si>
  <si>
    <t>Viewing Change as Opportunity
(melihat perubahan sebagai peluang)</t>
  </si>
  <si>
    <t>Ketika menilai perubahan yang terjadi di lingkungan kerja, perilaku yang paling sering ditunjukkan adalah…</t>
  </si>
  <si>
    <t>Melihat perubahan sebagai beban, gangguan, atau ancaman rutinitas.</t>
  </si>
  <si>
    <t>Menerima perubahan, tetapi masih ragu dan sangat berhati-hati.</t>
  </si>
  <si>
    <t>Melihat perubahan sebagai sesuatu yang perlu diikuti dan menyesuaikan diri saat diperlukan.</t>
  </si>
  <si>
    <t>Melihat perubahan sebagai kesempatan belajar, memperbaiki proses, atau meningkatkan kinerja.</t>
  </si>
  <si>
    <t>Aktif mencari peluang dari perubahan untuk menciptakan nilai, keunggulan, atau cara kerja baru.</t>
  </si>
  <si>
    <t>Self-assessment jauh lebih tinggi dari perilaku yang tampak menurut atasan</t>
  </si>
  <si>
    <t>Ada potensi blind spot; perilaku belum terlihat sekuat persepsi diri</t>
  </si>
  <si>
    <t>Proposing New Ideas
(mulai menginisiasi perubahan)</t>
  </si>
  <si>
    <t>Ketika melihat peluang perbaikan atau kebutuhan perubahan, perilaku yang paling sering ditunjukkan adalah…</t>
  </si>
  <si>
    <t>Jarang mengusulkan ide dan lebih memilih mengikuti arahan.</t>
  </si>
  <si>
    <t>Sesekali mengusulkan ide sederhana ketika diminta atau saat masalah terlihat jelas.</t>
  </si>
  <si>
    <t>Memberikan saran relevan untuk perbaikan proses, kualitas, atau penyelesaian masalah.</t>
  </si>
  <si>
    <t>Konsisten mengusulkan ide baru yang relevan, realistis, dan bermanfaat.</t>
  </si>
  <si>
    <t>Proaktif menciptakan ide inovatif, menginspirasi orang lain, dan mendorong implementasi perubahan berdampak.</t>
  </si>
  <si>
    <t>Risk-Taking for Innovation
(berani mencoba pendekatan baru)</t>
  </si>
  <si>
    <t>Ketika perlu mencoba cara, pendekatan, atau solusi baru yang belum sepenuhnya terbukti, perilaku yang paling sering ditunjukkan adalah…</t>
  </si>
  <si>
    <t>Menghindari risiko dan memilih metode aman atau biasa digunakan.</t>
  </si>
  <si>
    <t>Mencoba metode baru, tetapi masih ragu dan mudah kembali ke cara lama.</t>
  </si>
  <si>
    <t>Berani mengambil risiko terukur setelah mempertimbangkan dampaknya.</t>
  </si>
  <si>
    <t>Mencoba pendekatan baru meskipun hasil belum jelas, dengan tetap mengelola risiko.</t>
  </si>
  <si>
    <t>Mendorong eksperimen dalam tim, mengambil risiko terukur, dan menciptakan pembelajaran/inovasi dari pendekatan baru</t>
  </si>
  <si>
    <t>Calmness in Uncertainty
(tetap tenang di kondisi tidak pasti)</t>
  </si>
  <si>
    <t>Ketika menghadapi situasi kerja yang tidak pasti, berubah cepat, atau belum memiliki arah jelas, perilaku yang paling sering ditunjukkan adalah…</t>
  </si>
  <si>
    <t>Mudah cemas, reaktif, atau sulit berpikir jernih.</t>
  </si>
  <si>
    <t>Berusaha tenang, tetapi sering kehilangan fokus saat situasi belum jelas.</t>
  </si>
  <si>
    <t>Mampu mengelola diri dan tetap menjalankan pekerjaan dalam ketidakpastian.</t>
  </si>
  <si>
    <t>Tetap tenang, menjaga fokus, dan mengambil keputusan tepat dalam situasi tidak pasti.</t>
  </si>
  <si>
    <t>Menjaga ketenangan diri/orang lain, membaca peluang, dan mengambil langkah strategis.</t>
  </si>
  <si>
    <t>Proactive in Anticipating Change
(mengantisipasi perubahan sebelum terjadi)</t>
  </si>
  <si>
    <t>Ketika menghadapi kemungkinan perubahan di masa depan, perilaku yang paling sering ditunjukkan adalah…</t>
  </si>
  <si>
    <t>Tidak mengantisipasi perubahan dan baru bergerak setelah perubahan terjadi.</t>
  </si>
  <si>
    <t>Bereaksi setelah perubahan mulai terlihat, tetapi belum memiliki persiapan memadai.</t>
  </si>
  <si>
    <t>Memperhatikan tanda-tanda perubahan dan melakukan persiapan terbatas.</t>
  </si>
  <si>
    <t>Aktif memindai lingkungan, membaca tren, dan menyiapkan rencana menghadapi perubahan.</t>
  </si>
  <si>
    <t>Memprediksi arah perubahan, menyiapkan skenario strategis, dan menggerakkan organisasi sebelum perubahan terjadi.</t>
  </si>
  <si>
    <t>Task Completion Quality 
(menyelesaikan tugas dengan baik)</t>
  </si>
  <si>
    <t>Ketika menyelesaikan tugas atau tanggung jawab kerja, perilaku yang paling sering ditunjukkan adalah…</t>
  </si>
  <si>
    <t>Sering tidak menyelesaikan tugas sesuai standar, tenggat waktu, atau ekspektasi.</t>
  </si>
  <si>
    <t>Menyelesaikan tugas, tetapi kualitas/ketepatan waktu belum konsisten.</t>
  </si>
  <si>
    <t>Menyelesaikan tugas dengan kualitas cukup baik, stabil, dan sesuai standar.</t>
  </si>
  <si>
    <t>Konsisten menghasilkan pekerjaan berkualitas tinggi, tepat waktu, dan dapat diandalkan.</t>
  </si>
  <si>
    <t>Menghasilkan output melampaui ekspektasi, memberi nilai tambah, dan menjadi contoh standar kualitas.</t>
  </si>
  <si>
    <t>Action-Oriented &amp; Takes Initiative 
(proaktif bertindak)</t>
  </si>
  <si>
    <t>Ketika melihat peluang perbaikan, masalah, atau kebutuhan tindakan dalam pekerjaan, perilaku yang paling sering ditunjukkan adalah…</t>
  </si>
  <si>
    <t>Menunggu instruksi jelas sebelum bertindak.</t>
  </si>
  <si>
    <t>Mengidentifikasi peluang/masalah, tetapi masih menunggu persetujuan atau dorongan.</t>
  </si>
  <si>
    <t>Mengambil inisiatif menangani masalah dalam area tanggung jawab.</t>
  </si>
  <si>
    <t>Aktif menciptakan peluang perbaikan dan mengantisipasi masalah sebelum berdampak.</t>
  </si>
  <si>
    <t>Mengambil inisiatif yang menciptakan perubahan positif dan menggerakkan orang lain.</t>
  </si>
  <si>
    <t>Driving for impact
(fokus pada hasil kerja)</t>
  </si>
  <si>
    <t>Ketika menilai keberhasilan kerja, perilaku yang paling sering ditunjukkan adalah…</t>
  </si>
  <si>
    <t>Mengukur keberhasilan dari aktivitas yang dilakukan, bukan hasil/dampak.</t>
  </si>
  <si>
    <t>Fokus menyelesaikan pekerjaan sesuai prosedur, tetapi belum memastikan efektivitas hasil.</t>
  </si>
  <si>
    <t>Memahami tujuan akhir pekerjaan dan bertanggung jawab terhadap pencapaiannya.</t>
  </si>
  <si>
    <t>Mengidentifikasi hambatan, menyesuaikan proses, menyusun rencana, dan menggunakan metrik keberhasilan.</t>
  </si>
  <si>
    <t>Berorientasi pada dampak nyata dan memastikan hasil kerja memberi nilai bagi tim, pelanggan, fungsi, atau organisasi.</t>
  </si>
  <si>
    <t>Tenacity &amp; Strategic Persistence
(menjaga komitmen di tengah tantangan)</t>
  </si>
  <si>
    <t>Ketika menghadapi tantangan berat, hambatan, atau kegagalan dalam mencapai target, perilaku yang paling sering ditunjukkan adalah…</t>
  </si>
  <si>
    <t>Mudah kehilangan komitmen atau menyerah ketika menghadapi tantangan.</t>
  </si>
  <si>
    <t>Tetap berupaya, tetapi membutuhkan dorongan eksternal saat upaya awal gagal.</t>
  </si>
  <si>
    <t>Berusaha menyelesaikan tugas dan meminta bantuan ketika menghadapi hambatan sulit.</t>
  </si>
  <si>
    <t>Menjaga energi, komitmen, dan ketekunan tanpa mudah frustrasi.</t>
  </si>
  <si>
    <t>Gigih menghadapi tantangan berat dengan mencari solusi baru dan tetap menjaga arah hasil.</t>
  </si>
  <si>
    <t>Learning from Outcomes
(belajar dari hasil &amp; kesalahan tim)</t>
  </si>
  <si>
    <t>Setelah mengalami keberhasilan, kegagalan, atau hasil kerja yang belum sesuai harapan, perilaku yang paling sering ditunjukkan adalah…</t>
  </si>
  <si>
    <t>Jarang merefleksikan hasil sehingga cenderung mengulang kesalahan.</t>
  </si>
  <si>
    <t>Sesekali mengambil pelajaran, tetapi belum konsisten menggunakannya untuk perbaikan.</t>
  </si>
  <si>
    <t>Cukup sering mengevaluasi hasil kerja dan mengambil pelajaran.</t>
  </si>
  <si>
    <t>Aktif belajar dari hasil dan mengubahnya menjadi tindakan perbaikan.</t>
  </si>
  <si>
    <t>Konsisten mengubah pembelajaran menjadi peningkatan kinerja nyata bagi diri, tim, atau proses kerja.</t>
  </si>
  <si>
    <t>Deciding with Incomplete Data
(mengambil keputusan dengan data/informasi terbatas)</t>
  </si>
  <si>
    <t>Ketika harus mengambil keputusan dalam situasi baru, tidak pasti, atau dengan informasi belum lengkap, perilaku yang paling sering ditunjukkan adalah…</t>
  </si>
  <si>
    <t>Menghindari atau menunda keputusan ketika informasi belum lengkap.</t>
  </si>
  <si>
    <t>Cenderung menunggu informasi lebih lengkap sebelum mengambil keputusan.</t>
  </si>
  <si>
    <t>Membuat keputusan dengan opsi paling logis berdasarkan informasi terbatas.</t>
  </si>
  <si>
    <t>Membuat keputusan melalui analisis opsi, skenario, risiko, dan konsekuensi.</t>
  </si>
  <si>
    <t>Membuat keputusan berkualitas dengan kerangka berpikir baru, pembelajaran sebelumnya, dan pertimbangan dampak jangka panjang.</t>
  </si>
  <si>
    <t>Focus Under Pressure
(tetap fokus dalam tekanan tinggi)</t>
  </si>
  <si>
    <t>Ketika menghadapi tekanan, hambatan, tenggat waktu ketat, atau tuntutan kerja tinggi, perilaku yang paling sering ditunjukkan adalah…</t>
  </si>
  <si>
    <t>Mudah kehilangan fokus ketika tekanan atau hambatan muncul.</t>
  </si>
  <si>
    <t>Berusaha tetap fokus, tetapi sering terganggu saat tekanan meningkat.</t>
  </si>
  <si>
    <t>Cukup mampu menjaga fokus dan menyelesaikan pekerjaan dengan dukungan tertentu.</t>
  </si>
  <si>
    <t>Tetap fokus, produktif, dan menjaga kualitas kerja dalam tekanan berat.</t>
  </si>
  <si>
    <t>Menjaga fokus dalam tekanan tinggi, menenangkan situasi, dan mengubah hambatan menjadi momentum hasil.</t>
  </si>
  <si>
    <t>Adapting Strategy When Needed
(mengubah strategi untuk hasil lebih baik)</t>
  </si>
  <si>
    <t>Ketika strategi, rencana, atau cara kerja tidak lagi efektif, perilaku yang paling sering ditunjukkan adalah…</t>
  </si>
  <si>
    <t>Bertahan pada cara lama meskipun hasilnya tidak signifikan atau tidak relevan.</t>
  </si>
  <si>
    <t>Mencoba strategi baru dengan ragu-ragu dan mudah kembali ke cara lama.</t>
  </si>
  <si>
    <t>Menyesuaikan strategi ketika ada arahan, data, atau saran.</t>
  </si>
  <si>
    <t>Mandiri menyesuaikan strategi, prioritas, atau pendekatan untuk hasil lebih baik.</t>
  </si>
  <si>
    <t>Proaktif menciptakan strategi baru yang meningkatkan hasil, memperbaiki proses, dan berdampak luas.</t>
  </si>
  <si>
    <t>Agile Problem-Solving Under Pressure
(rencana di tengah ketidakpastian)</t>
  </si>
  <si>
    <t>Ketika menghadapi rintangan, krisis, atau masalah mendesak di bawah tekanan, perilaku yang paling sering ditunjukkan adalah…</t>
  </si>
  <si>
    <t>Bingung, panik, atau merasa masalah tidak mungkin diselesaikan.</t>
  </si>
  <si>
    <t>Mencoba solusi sederhana yang diketahui, tetapi cepat meminta bantuan saat tekanan meningkat.</t>
  </si>
  <si>
    <t>Menghasilkan 1–2 alternatif solusi dan mencoba menerapkannya.</t>
  </si>
  <si>
    <t>Mengeksplorasi solusi, melakukan brainstorming, dan cepat mengubah arah solusi jika kondisi berubah.</t>
  </si>
  <si>
    <t>Mengubah krisis menjadi peluang perbaikan, inovasi, dan peningkatan kinerja.</t>
  </si>
  <si>
    <t>Drive for High Performance
(sistem perencanaan berkinerja tinggi)</t>
  </si>
  <si>
    <t>Ketika menetapkan standar kinerja dan mendorong pencapaian hasil terbaik, perilaku yang paling sering ditunjukkan adalah…</t>
  </si>
  <si>
    <t>Kurang menunjukkan dorongan mencapai hasil tinggi atau bekerja sesuai minimum ekspektasi.</t>
  </si>
  <si>
    <t>Termotivasi mencapai hasil baik, tetapi masih membutuhkan dorongan atau pengawasan.</t>
  </si>
  <si>
    <t>Memiliki motivasi stabil untuk mencapai hasil kerja baik dan sesuai target.</t>
  </si>
  <si>
    <t>Konsisten mendorong diri/tim/fungsi untuk mencapai hasil optimal dan standar tinggi.</t>
  </si>
  <si>
    <t>Membangun standar, sistem, dan budaya kerja berkinerja tinggi secara berkelanjutan.</t>
  </si>
  <si>
    <t>Openness to Criticism
(menerima kritik dasar)</t>
  </si>
  <si>
    <t>Ketika menerima kritik, masukan korektif, atau pandangan yang kurang menyenangkan, perilaku yang paling sering ditunjukkan adalah…</t>
  </si>
  <si>
    <t>Defensif, menolak kritik, atau membenarkan diri tanpa mencoba memahami masukan.</t>
  </si>
  <si>
    <t>Menerima kritik meski tidak nyaman, tetapi belum sepenuhnya terbuka menindaklanjuti.</t>
  </si>
  <si>
    <t>Menerima kritik dengan cukup terbuka dan memahami pesan utama.</t>
  </si>
  <si>
    <t>Menerima kritik dengan baik, meminta klarifikasi, dan menggunakannya untuk memperbaiki diri.</t>
  </si>
  <si>
    <t>Sangat terbuka terhadap kritik, aktif mencarinya, dan menjadikannya pembelajaran berkelanjutan.</t>
  </si>
  <si>
    <t>Admitting Mistakes
(mengakui kesalahan)</t>
  </si>
  <si>
    <t>Ketika melakukan kesalahan atau hasil kerja tidak sesuai harapan, perilaku yang paling sering ditunjukkan adalah…</t>
  </si>
  <si>
    <t>Enggan mengakui kesalahan dan menyalahkan situasi, orang lain, atau faktor eksternal.</t>
  </si>
  <si>
    <t>Mengakui kesalahan kecil, tetapi sulit mengakui kesalahan berdampak besar.</t>
  </si>
  <si>
    <t>Mengakui kesalahan dalam sebagian besar situasi dan menerima konsekuensi.</t>
  </si>
  <si>
    <t>Konsisten mengakui kesalahan, mengambil tanggung jawab, dan menunjukkan perbaikan.</t>
  </si>
  <si>
    <t>Terbuka mengakui kesalahan, menjadikannya pembelajaran, dan membantu orang lain belajar dari situasi tersebut.</t>
  </si>
  <si>
    <t>Seeking Feedback on Performance
(mencari feedback)</t>
  </si>
  <si>
    <t>Ketika ingin memahami kualitas kinerja atau perilaku kerjanya, perilaku yang paling sering ditunjukkan adalah…</t>
  </si>
  <si>
    <t>Jarang atau tidak pernah meminta pendapat orang lain.</t>
  </si>
  <si>
    <t>Mau meminta pendapat hanya pada situasi tertentu atau ketika diminta.</t>
  </si>
  <si>
    <t>Cukup sering meminta masukan untuk meningkatkan kinerja.</t>
  </si>
  <si>
    <t>Aktif meminta feedback dari atasan, rekan kerja, atau pihak terkait secara rutin dan spesifik.</t>
  </si>
  <si>
    <t>Sangat proaktif mencari feedback dari berbagai sumber untuk mempercepat pertumbuhan diri.</t>
  </si>
  <si>
    <t>Understanding Strengths &amp; Weaknesses
(memahami kekuatan &amp; kelemahan)</t>
  </si>
  <si>
    <t>Dalam memahami kekuatan dan area pengembangan diri, perilaku yang paling sering ditunjukkan adalah…</t>
  </si>
  <si>
    <t>Tidak mengevaluasi kekuatan/kelemahan diri dan menganggap evaluasi diri tidak penting.</t>
  </si>
  <si>
    <t>Memikirkan kemampuan diri hanya ketika diminta dalam konteks formal.</t>
  </si>
  <si>
    <t>Sesekali merefleksikan kekuatan dan kelemahan setelah pengalaman penting atau kegagalan.</t>
  </si>
  <si>
    <t>Rutin mengevaluasi perkembangan kemampuan diri dan menyesuaikan tindakan.</t>
  </si>
  <si>
    <t>Menjadikan pemahaman kekuatan dan kelemahan sebagai dasar keputusan, peran, dan pengembangan diri.</t>
  </si>
  <si>
    <t>Reflective Practices
(melakukan refleksi diri)</t>
  </si>
  <si>
    <t>Setelah mengalami pengalaman kerja, keberhasilan, kegagalan, atau situasi penting, perilaku yang paling sering ditunjukkan adalah…</t>
  </si>
  <si>
    <t>Jarang mengevaluasi pengalaman dan kurang mengambil pembelajaran.</t>
  </si>
  <si>
    <t>Sesekali melakukan evaluasi diri, tetapi belum konsisten dan belum berdampak pada perubahan.</t>
  </si>
  <si>
    <t>Cukup sering melakukan refleksi setelah pengalaman penting dan mengambil pelajaran.</t>
  </si>
  <si>
    <t>Konsisten mengevaluasi pengalaman, menarik pembelajaran, dan meningkatkan kinerja.</t>
  </si>
  <si>
    <t>Sangat reflektif dan mengubah pengalaman menjadi pembelajaran yang mempercepat perkembangan diri.</t>
  </si>
  <si>
    <t>Proactive Self-Development for Adaptation
(aktif mengembangkan diri)</t>
  </si>
  <si>
    <t>Ketika menghadapi tuntutan baru, perubahan peran, atau kebutuhan kompetensi baru, perilaku yang paling sering ditunjukkan adalah…</t>
  </si>
  <si>
    <t>Menganggap pengembangan diri sebagai tanggung jawab perusahaan atau atasan.</t>
  </si>
  <si>
    <t>Membuat rencana pengembangan diri hanya ketika diminta atau dibutuhkan.</t>
  </si>
  <si>
    <t>Mandiri mencari pengembangan diri, terutama pengetahuan relevan dengan pekerjaan.</t>
  </si>
  <si>
    <t>Aktif membuat rencana pengembangan, mencari keterampilan baru, dan menerapkannya dalam pekerjaan.</t>
  </si>
  <si>
    <t>Konsisten mengembangkan pengetahuan, keterampilan, dan kematangan pribadi untuk tuntutan yang lebih kompleks.</t>
  </si>
  <si>
    <t>Objective Self-Assessment
(menilai diri secara objektif)</t>
  </si>
  <si>
    <t>Ketika menilai kemampuan, kinerja, atau kesiapan dirinya, perilaku yang paling sering ditunjukkan adalah…</t>
  </si>
  <si>
    <t>Menilai diri berdasarkan persepsi pribadi tanpa mempertimbangkan data atau masukan.</t>
  </si>
  <si>
    <t>Berusaha objektif, tetapi masih mudah dipengaruhi asumsi pribadi.</t>
  </si>
  <si>
    <t>Cukup objektif dengan mempertimbangkan beberapa fakta atau masukan.</t>
  </si>
  <si>
    <t>Menilai diri secara realistis, objektif, dan berbasis evidence hasil kerja maupun feedback.</t>
  </si>
  <si>
    <t>Mengevaluasi kemampuan diri secara tajam berbasis data, feedback, dan standar peran lebih tinggi.</t>
  </si>
  <si>
    <t>Awareness of Impact on Others
(memahami dampak perilaku terhadap orang lain)</t>
  </si>
  <si>
    <t>Ketika perilaku, keputusan, atau cara komunikasinya memengaruhi orang lain, perilaku yang paling sering ditunjukkan adalah…</t>
  </si>
  <si>
    <t>Tidak menyadari dampak perilakunya terhadap orang lain atau suasana kerja.</t>
  </si>
  <si>
    <t>Kadang menyadari dampaknya, tetapi belum konsisten menyesuaikan perilaku.</t>
  </si>
  <si>
    <t>Cukup sadar bahwa perilaku dan komunikasinya memengaruhi orang lain.</t>
  </si>
  <si>
    <t>Memahami dampak perilakunya dan menyesuaikan cara bertindak/berkomunikasi.</t>
  </si>
  <si>
    <t>Sangat peka terhadap dampak dirinya dan mampu menciptakan lingkungan kerja yang lebih sehat.</t>
  </si>
  <si>
    <t>Managing Emotions Effectively
(mengelola emosi secara matang)</t>
  </si>
  <si>
    <t>Ketika berada dalam situasi yang memicu emosi, tekanan, konflik, atau ketidaknyamanan, perilaku yang paling sering ditunjukkan adalah…</t>
  </si>
  <si>
    <t>Impulsif, reaktif, atau mudah dikendalikan emosi.</t>
  </si>
  <si>
    <t>Mulai mengenali emosi, tetapi sering baru sadar setelah reaksi emosional terjadi.</t>
  </si>
  <si>
    <t>Mengidentifikasi emosi yang muncul dan mulai memilih respons konstruktif.</t>
  </si>
  <si>
    <t>Mengelola emosi dengan baik, tetap tenang, dan menjaga respons profesional.</t>
  </si>
  <si>
    <t>Memiliki kendali emosi matang, menenangkan diri/orang lain, dan menjaga kualitas keputusan dalam tekanan tinggi.</t>
  </si>
  <si>
    <t>Deep Pattern Recognition &amp; Bias Awareness
(refleksi diri mendalam &amp; autentik)</t>
  </si>
  <si>
    <t>Dalam melakukan refleksi mendalam terhadap pola perilaku, keputusan, emosi, dan bias diri, perilaku yang paling sering ditunjukkan adalah…</t>
  </si>
  <si>
    <t>Menganggap refleksi mendalam atas tindakan, emosi, atau pola diri tidak penting.</t>
  </si>
  <si>
    <t>Melakukan refleksi terbatas dan lebih banyak melihat faktor eksternal.</t>
  </si>
  <si>
    <t>Mulai merefleksikan faktor eksternal, internal, dan respons emosional dalam situasi tertentu.</t>
  </si>
  <si>
    <t>Aktif menganalisis pola berulang dalam tindakan, keputusan, emosi, dan respons diri.</t>
  </si>
  <si>
    <t>Mengenali pola diri dan bias secara mendalam, memprediksi reaksi pribadi, mengelolanya matang, dan menjadi role model autentik.</t>
  </si>
  <si>
    <t>A. PROFILE SUMMARY</t>
  </si>
  <si>
    <t>Dimensi</t>
  </si>
  <si>
    <t>Average Score (max 5)</t>
  </si>
  <si>
    <t>Performance Level</t>
  </si>
  <si>
    <t>Outstanding Strength (Score 5)</t>
  </si>
  <si>
    <t>Key Strength (Score 4)</t>
  </si>
  <si>
    <t>Developing Areas (Score 3)</t>
  </si>
  <si>
    <t>Focus for Improvement (Score 2)</t>
  </si>
  <si>
    <t>Priority for Development (Score 1)</t>
  </si>
  <si>
    <t>Mental Agility</t>
  </si>
  <si>
    <t>People Agility</t>
  </si>
  <si>
    <t>Change Agility</t>
  </si>
  <si>
    <t>Result Agility</t>
  </si>
  <si>
    <t>Self Awareness</t>
  </si>
  <si>
    <t>OVERALL</t>
  </si>
  <si>
    <t>mentor skala agility 4</t>
  </si>
  <si>
    <t>2. Self Awareness Gap Score</t>
  </si>
  <si>
    <t xml:space="preserve">a. Mental Agility </t>
  </si>
  <si>
    <t>Indicator</t>
  </si>
  <si>
    <t>Score
Self</t>
  </si>
  <si>
    <t>Score
Superior</t>
  </si>
  <si>
    <t>Gap Score
Self-Sup</t>
  </si>
  <si>
    <t xml:space="preserve">Gap </t>
  </si>
  <si>
    <t xml:space="preserve"> </t>
  </si>
  <si>
    <t>Overall
Average</t>
  </si>
  <si>
    <t xml:space="preserve">b. People Agility </t>
  </si>
  <si>
    <t xml:space="preserve">c. Change Agility </t>
  </si>
  <si>
    <t xml:space="preserve">d. Result Agility </t>
  </si>
  <si>
    <t xml:space="preserve">e. Self Awareness </t>
  </si>
  <si>
    <t>f. Summary</t>
  </si>
  <si>
    <t>Average</t>
  </si>
  <si>
    <t>g. RADAR CHART DATA (for visualization)</t>
  </si>
  <si>
    <t xml:space="preserve">Score </t>
  </si>
  <si>
    <t>Kompetensi</t>
  </si>
  <si>
    <t>Proficiency
Level Saat ini</t>
  </si>
  <si>
    <t>Proficiency
Level Tujuan</t>
  </si>
  <si>
    <t>Hasil 
Potential</t>
  </si>
  <si>
    <t>Gap 
Kompetensi</t>
  </si>
  <si>
    <t>Absolut gap</t>
  </si>
  <si>
    <t>Metode Pengembangan dari matriks</t>
  </si>
  <si>
    <t>Metode dalam teks</t>
  </si>
  <si>
    <t>Prioritas</t>
  </si>
  <si>
    <t>Key Metode 1</t>
  </si>
  <si>
    <t>Key Metode 2</t>
  </si>
  <si>
    <t>Key Metode 3</t>
  </si>
  <si>
    <t>Key Metode 4</t>
  </si>
  <si>
    <t>Aktivitas Metode 1</t>
  </si>
  <si>
    <t>Aktivitas Metode 2</t>
  </si>
  <si>
    <t>Aktivitas Metode 3</t>
  </si>
  <si>
    <t>Aktivitas Metode 4</t>
  </si>
  <si>
    <t>Achievement Drive</t>
  </si>
  <si>
    <t>Developing Oneself</t>
  </si>
  <si>
    <t>Planning &amp; Organizing</t>
  </si>
  <si>
    <t>Problem Solving &amp; Decision Making</t>
  </si>
  <si>
    <t>Controlling &amp; Corrective Action</t>
  </si>
  <si>
    <t>Analytical Thinking</t>
  </si>
  <si>
    <t>Managing Change</t>
  </si>
  <si>
    <t>Strategic Thinking</t>
  </si>
  <si>
    <t>Conceptual Thinking</t>
  </si>
  <si>
    <t>Leadership</t>
  </si>
  <si>
    <t>Developing Others</t>
  </si>
  <si>
    <t>Team Work</t>
  </si>
  <si>
    <t>Communication &amp; Deal with Others</t>
  </si>
  <si>
    <t>Customer Focus</t>
  </si>
  <si>
    <t>Learning Agility</t>
  </si>
  <si>
    <t>Gap Score
Sup-Self</t>
  </si>
  <si>
    <t>Gap Matriks</t>
  </si>
  <si>
    <t>Proficiency
Level Next Path</t>
  </si>
  <si>
    <t>A (Key Unik)</t>
  </si>
  <si>
    <t>Level tujuan</t>
  </si>
  <si>
    <t>Kode Metode</t>
  </si>
  <si>
    <t>Metode Text</t>
  </si>
  <si>
    <t>Jenis Aktivitas</t>
  </si>
  <si>
    <t>Tugas</t>
  </si>
  <si>
    <t>Tujuan</t>
  </si>
  <si>
    <t>Instruksi</t>
  </si>
  <si>
    <t>Output</t>
  </si>
  <si>
    <t>Waktu</t>
  </si>
  <si>
    <t>Monitoring</t>
  </si>
  <si>
    <t>Standar kelulusan</t>
  </si>
  <si>
    <t>Personal Development</t>
  </si>
  <si>
    <t>Latihan "Pesan 1 Menit"</t>
  </si>
  <si>
    <t>Melatih menyampaikan ide secara ringkas dan terstruktur</t>
  </si>
  <si>
    <t>Setiap minggu, pilih 1 topik pekerjaan. Latih menyampaikannya dalam 1 menit (maksimal) dengan struktur: masalah → solusi → tindakan yang dibutuhkan. Rekam dan dengarkan kembali.</t>
  </si>
  <si>
    <t>Rekaman mingguan; catatan perbaikan struktur pesan</t>
  </si>
  <si>
    <t>Bulan 1–12</t>
  </si>
  <si>
    <t>Per bulan</t>
  </si>
  <si>
    <t>Rata-rata skor kejelasan ≥4 dari 5 di minggu ke-8
Review 4 rekaman terbaik; nilai kejelasan &amp; keringkasan pesan (skala 1-5)</t>
  </si>
  <si>
    <t>Jurnal "Permintaan &amp; Penerimaan Feedback"</t>
  </si>
  <si>
    <t>Membangun kebiasaan aktif mencari dan menerima masukan</t>
  </si>
  <si>
    <t>Setiap kali menerima atau meminta umpan balik, catat: apa feedbacknya, reaksi awal Anda (defensif/terbuka), dan tindak lanjut yang dilakukan.</t>
  </si>
  <si>
    <t>Log minimal 15 entri; pola respons terhadap feedback; peningkatan skor keterbukaan</t>
  </si>
  <si>
    <t>Rata-rata skor keterbukaan meningkat dari ≤3 menjadi ≥4 ; Review log oleh mentor; nilai tingkat keterbukaan ≥4 (skala 1-5)</t>
  </si>
  <si>
    <t>Evaluasi Rekaman Presentasi/Penyampaian Ide</t>
  </si>
  <si>
    <t>Mengidentifikasi kebiasaan verbal yang mengurangi kejelasan (kata pengisi, bertele-tele, jargon)</t>
  </si>
  <si>
    <t>Rekam 3 presentasi atau penyampaian ide selama pengembangan. Hitung: jumlah kata pengisi (eee, anu dll), durasi penyampaian vs poin utama, tingkat pemahaman audiensi.</t>
  </si>
  <si>
    <t>3 rekaman &amp; analisis; daftar perbaikan; target pengurangan kata pengisi 50%</t>
  </si>
  <si>
    <t>Pengurangan kata pengisi ≥50%; durasi penyampaian lebih ringkas.
Bandingkan dengan rekaman sebelumnya</t>
  </si>
  <si>
    <t>Education-Based Development</t>
  </si>
  <si>
    <t>Workshop "Effective Communication for Young Professionals"</t>
  </si>
  <si>
    <t>Menguasai teknik komunikasi jelas &amp; terstruktur (SBAR, Pyramid Principle, atau 3-point messaging)</t>
  </si>
  <si>
    <t xml:space="preserve">Pelatihan 1 hari (8 jam) mencakup: struktur pesan, komunikasi verbal &amp; non-verbal, teknik menerima feedback </t>
  </si>
  <si>
    <t>Sertifikat; rencana aksi penerapan 1 teknik komunikasi</t>
  </si>
  <si>
    <t>Lulus role-play dengan skor minimal 80
Evaluasi oleh fasilitator saat role-play</t>
  </si>
  <si>
    <t>Kursus Online "Giving and Receiving Feedback Effectively"</t>
  </si>
  <si>
    <t>Mempelajari teknik memberi &amp; menerima umpan balik secara konstruktif</t>
  </si>
  <si>
    <t>Selesaikan kursus online (4 jam) tentang model feedback (SBI, Pendekatan 360°), teknik menerima kritik tanpa defensif</t>
  </si>
  <si>
    <t>Sertifikat; 3 laporan penerapan 1 teknik feedback dalam percakapan nyata</t>
  </si>
  <si>
    <t>1 teknik diterapkan dalam situasi kerja nyata dan didukung oleh log penerapan atau feedback atasan.</t>
  </si>
  <si>
    <t>Micro-learning "Public Speaking &amp; Presentation Skills"</t>
  </si>
  <si>
    <t>Meningkatkan kemampuan menyampaikan ide di depan audiensi</t>
  </si>
  <si>
    <t>Selesaikan modul online (2 jam) tentang struktur presentasi, pengelolaan gugup, dan bahasa tubuh</t>
  </si>
  <si>
    <t>Sertifikat; 1 presentasi singkat (5 menit) di depan tim</t>
  </si>
  <si>
    <t>Mendapat skor ≥80 dari audiensi
Review presentasi oleh atasan &amp; rekan</t>
  </si>
  <si>
    <t xml:space="preserve">Relation-Based Development </t>
  </si>
  <si>
    <t>"Feedback Circle" dengan  Rekan Kerja</t>
  </si>
  <si>
    <t>Melatih memberi &amp; menerima umpan balik secara rutin dalam lingkungan aman</t>
  </si>
  <si>
    <t>Bentuk kelompok 3-4 orang. Setiap 2 minggu, masing-masing menyampaikan 1 umpan balik konstruktif ke rekan lain (format: situasi-perilaku-dampak). Bergantian menerima tanpa defensif.</t>
  </si>
  <si>
    <t>12 sesi; catatan feedback yang diterima &amp; diberikan; refleksi</t>
  </si>
  <si>
    <t>Minimal 10 dari 12 sesi menunjukkan respons terbuka, mendengarkan aktif, dan adanya tindak lanjut terhadap feedback berdasarkan review mentor atau catatan refleksi.</t>
  </si>
  <si>
    <t>"Shadowing Komunikasi" – Mengamati Senior/Atasan dalam Rapat/ Presentasi</t>
  </si>
  <si>
    <t>Belajar dari teladan langsung bagaimana pemimpin berkomunikasi secara jelas dan menerima pertanyaan sulit</t>
  </si>
  <si>
    <t>Minta izin atasan untuk mengamati 2 rapat/presentasi yang dipimpinnya. Catat: struktur penyampaian, cara menjawab pertanyaan, bahasa tubuh.</t>
  </si>
  <si>
    <t>2 laporan observasi; daftar 2 teknik yang diadopsi</t>
  </si>
  <si>
    <t>1 teknik diterapkan dalam situasi kerja nyata dan didukung oleh log penerapan atau feedback atasan.
Laporan disetujui atasan</t>
  </si>
  <si>
    <t>Umpan Balik 360° dari Rekan &amp; Atasan tentang Komunikasi</t>
  </si>
  <si>
    <t>Mengukur persepsi orang lain tentang kejelasan dan keterbukaan komunikasi Anda</t>
  </si>
  <si>
    <t>Kuesioner: "Saya memahami pesan yang disampaikan", "Dia terbuka terhadap masukan". Pre &amp; post dari 4 responden.</t>
  </si>
  <si>
    <t>2 laporan; target peningkatan ≥1 poin</t>
  </si>
  <si>
    <t>Peningkatan ≥1 poin
Dokumentasi hasil pre dan post</t>
  </si>
  <si>
    <t>Experience-Based Development</t>
  </si>
  <si>
    <t>Memimpin Briefing Tim</t>
  </si>
  <si>
    <t>Mempraktikkan komunikasi jelas &amp; ringkas dalam setting formal</t>
  </si>
  <si>
    <t>Tugaskan sebagai pemimpin brifing tim selama 4 minggu berturut-turut. Sampaikan update, instruksi, dan info penting dengan durasi maksimal 10 menit.</t>
  </si>
  <si>
    <t>4 sesi brifing; feedback dari peserta; rekaman (jika memungkinkan)</t>
  </si>
  <si>
    <t>Rata-rata skor kejelasan ≥4 dari 5
Feedback singkat dari peserta brifing</t>
  </si>
  <si>
    <t>Menyusun &amp; Menyampaikan Proposal Ide/Perbaikan ke Atasan</t>
  </si>
  <si>
    <t>Melatih komunikasi tertulis &amp; lisan yang meyakinkan</t>
  </si>
  <si>
    <t>Identifikasi 1 ide perbaikan di unit kerja. Susun proposal tertulis (1-2 halaman). Presentasikan ke atasan dalam 5 menit.</t>
  </si>
  <si>
    <t>1 Proposal tertulis; presentasi dengan penilaian/umpan balik atasan</t>
  </si>
  <si>
    <t>Proposal disetujui untuk pilot / mendapat feedback tertulis dengan skor minimal ≥4 pada aspek kejelasan, relevansi, dan kelayakan.
Review proposal &amp; presentasi oleh atasan</t>
  </si>
  <si>
    <t>Menjadi Fasilitator Diskusi Kelompok Kecil</t>
  </si>
  <si>
    <t>Melatih komunikasi dua arah: menyampaikan &amp; mendengarkan</t>
  </si>
  <si>
    <t>Fasilitasi diskusi kelompok (5-7 orang) tentang topik pekerjaan. Tugas: buka diskusi, arahkan, rangkum, dan tutup</t>
  </si>
  <si>
    <t>3 sesi terdokumentasi; feedback peserta; refleksi diri</t>
  </si>
  <si>
    <t>Rata-rata skor kepuasan peserta ≥4 dari 5. 
Survei kepuasan peserta</t>
  </si>
  <si>
    <t>Jurnal "Gaya Komunikasi"</t>
  </si>
  <si>
    <t>Mengidentifikasi berbagai gaya komunikasi dan bagaimana menyesuaikannya.</t>
  </si>
  <si>
    <t>Setiap minggu, identifikasi 3 rekan dengan gaya komunikasi berbeda. Catat bagaimana Anda menyesuaikan pendekatan saat berinteraksi dengan mereka dan hasilnya.</t>
  </si>
  <si>
    <t>Jurnal mingguan (12 jurnal); peta gaya komunikasi rekan kerja.</t>
  </si>
  <si>
    <t>Minimal 80% terisi, 5 entri terbaik direview mentor; mampu mengidentifikasi minimal 3 gaya komunikasi berbeda.</t>
  </si>
  <si>
    <t>Latihan "Menyesuaikan Pesan"</t>
  </si>
  <si>
    <t>Melatih kemampuan menyampaikan pesan yang sama dengan cara berbeda untuk audiens berbeda.</t>
  </si>
  <si>
    <t>Setiap minggu, pilih 1 pesan yang harus disampaikan. Tulis 3 versi berbeda: untuk atasan dan rekan. Perhatikan perbedaan bahasa, detail, dan tone.</t>
  </si>
  <si>
    <t>Log 30 latihan; peningkatan fleksibilitas komunikasi.</t>
  </si>
  <si>
    <t>30 daftar pesan,  Mampu menghasilkan 10 contoh terbaik per bulan yang sesuai untuk audiens berbeda.
Review log oleh mentor</t>
  </si>
  <si>
    <t>Analisis "Keberagaman dalam Tim"</t>
  </si>
  <si>
    <t>Memahami komposisi keberagaman tim dan implikasinya pada komunikasi.</t>
  </si>
  <si>
    <t>Petakan tim Anda (5 orang) dari segi: latar belakang, gaya kerja, preferensi komunikasi. Identifikasi tantangan dan peluang kolaborasi.</t>
  </si>
  <si>
    <t>Peta keberagaman tim; rekomendasi strategi komunikasi.</t>
  </si>
  <si>
    <t>Peta dan rekomendasi mendapat skor minimal ≥4 dari atasan pada aspek akurasi, relevansi, dan kemudahan diterapkan.</t>
  </si>
  <si>
    <t>Workshop "Communicating Across Differences"</t>
  </si>
  <si>
    <t>Menguasai teknik komunikasi lintas budaya, gaya kerja, dan kepribadian.</t>
  </si>
  <si>
    <t>Pelatihan 1-2 hari tentang: cultural intelligence, communication styles (DiSC/MBTI), dan inclusive communication.</t>
  </si>
  <si>
    <t>Sertifikat; rencana aksi penerapan 2 teknik komunikasi lintas perbedaan.</t>
  </si>
  <si>
    <t>Lulus role-play dengan skor minimal 80.
Evaluasi oleh fasilitator</t>
  </si>
  <si>
    <t>Kursus Online "Cultural Intelligence (CQ) for Professionals"</t>
  </si>
  <si>
    <t>Mempelajari cara meningkatkan kecerdasan budaya dalam komunikasi.</t>
  </si>
  <si>
    <t>Selesaikan kursus online (6 jam) tentang CQ, intercultural communication, dan global collaboration.</t>
  </si>
  <si>
    <t>Sertifikat; laporan penerapan 3 prinsip CQ dalam interaksi nyata.</t>
  </si>
  <si>
    <t>2 teknik diterapkan dalam situasi kerja nyata dan didukung oleh log penerapan atau feedback atasan.
Review laporan oleh atasan</t>
  </si>
  <si>
    <t>Micro-learning "Working with Different Personality Types"</t>
  </si>
  <si>
    <t>Belajar mengidentifikasi dan berkomunikasi dengan berbagai tipe kepribadian.</t>
  </si>
  <si>
    <t>Selesaikan modul online (2-3 jam) tentang personality types, communication preferences, dan adaptability.</t>
  </si>
  <si>
    <t>Sertifikat; daftar strategi komunikasi untuk 4 tipe kepribadian berbeda.</t>
  </si>
  <si>
    <t>Minimal 3 strategi dinilai ≥4 oleh atasan dan minimal 1 strategi digunakan dalam komunikasi kerja nyata.</t>
  </si>
  <si>
    <t>"Diversity Circle" dengan Rekan dari Berbagai Fungsi</t>
  </si>
  <si>
    <t>Mempraktikkan komunikasi dan kolaborasi dengan orang dari latar belakang berbeda.</t>
  </si>
  <si>
    <t>Bentuk circle 5 orang dari fungsi dan latar belakang berbeda. Setiap bulan, diskusikan topik pekerjaan dari perspektif masing-masing fungsi.</t>
  </si>
  <si>
    <t>12 sesi; catatan insight tentang perspektif berbeda; umpan balik dari circle.</t>
  </si>
  <si>
    <t>Mendapat skor ≥4 untuk "kemampuan berkolaborasi".
Review catatan oleh mentor</t>
  </si>
  <si>
    <t>"Shadowing" – Mengamati Atasan dalam Kolaborasi Lintas Tim</t>
  </si>
  <si>
    <t>Belajar bagaimana pemimpin membangun kolaborasi dengan berbagai pihak.</t>
  </si>
  <si>
    <t>Minta izin atasan untuk mengamati 2 pertemuan lintas tim/fungsi. Catat cara membangun hubungan, menyesuaikan komunikasi, dan mengelola perbedaan.</t>
  </si>
  <si>
    <t>2 laporan observasi; daftar 3 teknik yang akan diadopsi.</t>
  </si>
  <si>
    <t>Umpan Balik 360° tentang "Kolaborasi dengan Keberagaman"</t>
  </si>
  <si>
    <t>Mengukur persepsi rekan tentang kemampuan Anda berkolaborasi dengan berbagai latar belakang.</t>
  </si>
  <si>
    <t>Kuesioner: "Dia bekerja efektif dengan orang berbeda", "Dia menyesuaikan komunikasi untuk audiens berbeda". Pre &amp; post dari 5 responden.</t>
  </si>
  <si>
    <t>Dua laporan; target peningkatan rata-rata ≥1 poin.</t>
  </si>
  <si>
    <t>Peningkatan rata-rata ≥1 poin.
Dokumentasi hasil pre dan post</t>
  </si>
  <si>
    <t>Memimpin Proyek Kecil dengan Tim Lintas Fungsi</t>
  </si>
  <si>
    <t>Mempraktikkan kolaborasi dengan keberagaman dalam proyek nyata.</t>
  </si>
  <si>
    <t>Pimpin proyek kecil yang melibatkan 3-4 orang dari fungsi berbeda. Fokus pada membangun komunikasi efektif dan memanfaatkan perbedaan.</t>
  </si>
  <si>
    <t>Dokumentasi proyek; umpan balik anggota tim; refleksi.</t>
  </si>
  <si>
    <t>Rata-rata skor "kolaborasi efektif" dari tim ≥4 dari 5.
Review progres oleh atasan</t>
  </si>
  <si>
    <t>Melakukan "Communication Audit" untuk Proses Tim</t>
  </si>
  <si>
    <t>Mengidentifikasi hambatan komunikasi dalam tim dan memberikan rekomendasi.</t>
  </si>
  <si>
    <t>Analisis proses komunikasi dalam tim (misal: rapat, email, koordinasi). Identifikasi hambatan terkait perbedaan gaya/background. Berikan rekomendasi perbaikan.</t>
  </si>
  <si>
    <t>Laporan audit komunikasi; rekomendasi; presentasi ke tim.</t>
  </si>
  <si>
    <t>2 rekomendasi diadopsi dan diimplementasikan dengan bukti implementasi.
Review laporan oleh atasan</t>
  </si>
  <si>
    <t>Menjadi "Buddy" untuk Karyawan Baru dari Latar Belakang Berbeda</t>
  </si>
  <si>
    <t>Mempraktikkan komunikasi inklusif dengan orang baru dari latar belakang berbeda.</t>
  </si>
  <si>
    <t>Dampingi 1 karyawan baru selama 3 bulan pertama. Bantu mereka beradaptasi dengan budaya tim, perhatikan perbedaan latar belakang.</t>
  </si>
  <si>
    <t>Log pendampingan; umpan balik dari karyawan baru; refleksi.</t>
  </si>
  <si>
    <t>Karyawan baru memberi skor ≥4 untuk "dukungan dan komunikasi".
Review log oleh atasan</t>
  </si>
  <si>
    <t>Jurnal "Opini yang Berbeda" Mingguan</t>
  </si>
  <si>
    <t>Melatih kebiasaan secara aktif mencari dan menghargai opini berbeda.</t>
  </si>
  <si>
    <t>Setiap minggu, catat 1 keputusan yang harus diambil. Tulis: opini mayoritas, opini minoritas, dan bagaimana Anda mempertimbangkan keduanya.</t>
  </si>
  <si>
    <t>Jurnal mingguan (16 entri); pola pengambilan keputusan inklusif.</t>
  </si>
  <si>
    <t>Minimal 80% terisi, 6 jurnal terbaik direview mentor; mampu mengidentifikasi pola pengambilan keputusan inklusif</t>
  </si>
  <si>
    <t>Latihan "Mencari Perbedaan" dalam Rapat</t>
  </si>
  <si>
    <t>Membangun kebiasaan aktif mencari pendapat berbeda dalam rapat.</t>
  </si>
  <si>
    <t>Dalam setiap rapat, secara eksplisit tanyakan: "Siapa yang punya pandangan berbeda?" atau "Apa kelemahan dari usulan ini?" Catat respons dan bagaimana Anda menanggapinya.</t>
  </si>
  <si>
    <t>Log 20 rapat; peningkatan keberanian tim menyampaikan pendapat berbeda.</t>
  </si>
  <si>
    <t>80% rapat berhasil menggali opini berbeda.
 Review log oleh mentor</t>
  </si>
  <si>
    <t>Refleksi "Keputusan yang Terlewat"</t>
  </si>
  <si>
    <t>Mengidentifikasi keputusan yang terburu-buru tanpa mempertimbangkan opini berbeda.</t>
  </si>
  <si>
    <t>Pilih 3 keputusan yang pernah diambil tanpa mempertimbangkan opini berbeda. Analisis: apa dampaknya, apa yang seharusnya dilakukan, bagaimana akan berbeda jika ada opini berbeda.</t>
  </si>
  <si>
    <t>3 analisis kasus; rekomendasi perbaikan proses pengambilan keputusan.</t>
  </si>
  <si>
    <t>Analisis mendapat skor minimal ≥4 dari atasan pada aspek ketajaman analisis, relevansi, dan kelayakan rekomendasi; minimal 2 rekomendasi disetujui untuk diterapkan atau diuji coba
Review oleh atasan</t>
  </si>
  <si>
    <t>Workshop "Inclusive Decision Making"</t>
  </si>
  <si>
    <t>Menguasai teknik pengambilan keputusan yang inklusif dan menghargai perbedaan pendapat.</t>
  </si>
  <si>
    <t>Pelatihan 1-2 hari tentang: decision-making frameworks, devil's advocate, and building consensus.</t>
  </si>
  <si>
    <t>Sertifikat; rencana aksi penerapan 3 teknik dalam rapat tim.</t>
  </si>
  <si>
    <t>Lulus simulasi dengan skor minimal 80.
Evaluasi oleh fasilitator</t>
  </si>
  <si>
    <t>Kursus Online "Managing Groupthink &amp; Encouraging Debate"</t>
  </si>
  <si>
    <t>Mempelajari cara mencegah groupthink dan mendorong perdebatan sehat dalam tim.</t>
  </si>
  <si>
    <t>Selesaikan kursus online (6 jam) tentang groupthink, psychological safety, dan constructive debate.</t>
  </si>
  <si>
    <t>Sertifikat; laporan penerapan 2 teknik dalam tim.</t>
  </si>
  <si>
    <t>Micro-learning "Art of Constructive Disagreement"</t>
  </si>
  <si>
    <t>Belajar cara tidak setuju secara konstruktif dan menghargai pendapat berbeda.</t>
  </si>
  <si>
    <t>Selesaikan modul online (2 jam) tentang constructive disagreement, active listening dalam perdebatan, dan finding common ground.</t>
  </si>
  <si>
    <t>Sertifikat; panduan "Cara Tidak Setuju dengan Elegan" untuk tim.</t>
  </si>
  <si>
    <t>Panduan digunakan minimal dalam 2 rapat/tim discussion dan mendapat skor manfaat ≥4 dari minimal 80% peserta.
Review panduan oleh atasan</t>
  </si>
  <si>
    <t>"Debate Circle" dengan Peer Unit Head</t>
  </si>
  <si>
    <t>Berlatih menghargai perbedaan pendapat dalam lingkungan aman.</t>
  </si>
  <si>
    <t>Bentuk circle 3-4 Unit Head. Setiap bulan, satu topik kontroversial didiskusikan. Setiap orang harus menyampaikan satu sudut pandang dan mendengarkan sudut pandang lain.</t>
  </si>
  <si>
    <t>6 sesi; catatan tentang bagaimana perbedaan pendapat dikelola; umpan balik dari circle.</t>
  </si>
  <si>
    <t>Minimal 4 dari 6 sesi berjalan konstruktif, menghasilkan minimal 1 insight/alternatif keputusan per sesi, dan tidak ada eskalasi konflik personal berdasarkan catatan mentor atau peserta circle.</t>
  </si>
  <si>
    <t>"Shadowing" – Mengamati Atasan dalam 2 Pengambilan Keputusan</t>
  </si>
  <si>
    <t>Belajar bagaimana pemimpin senior menghargai dan mengintegrasikan opini berbeda.</t>
  </si>
  <si>
    <t>Minta izin atasan untuk mengamati 2 proses pengambilan keputusan. Catat: bagaimana ia mencari opini berbeda, bagaimana ia mengelola perbedaan.</t>
  </si>
  <si>
    <t>2 laporan observasi; daftar 4 teknik yang akan diadopsi.</t>
  </si>
  <si>
    <t>2 teknik diterapkan dalam situasi kerja nyata dan didukung oleh log penerapan atau feedback atasan.
Laporan disetujui atasan</t>
  </si>
  <si>
    <t>Umpan Balik 360° tentang "Menghargai Opini Berbeda"</t>
  </si>
  <si>
    <t>Mengukur persepsi tim tentang seberapa besar Anda menghargai pendapat berbeda.</t>
  </si>
  <si>
    <t>Kuesioner: "Atasan saya mencari pendapat yang berbeda", "Atasan saya menghargai opini yang bertentangan". Pre &amp; post dari tim.</t>
  </si>
  <si>
    <t>Memimpin "Devil's Advocate Session" untuk 3 Keputusan</t>
  </si>
  <si>
    <t>Mempraktikkan pencarian opini berbeda secara terstruktur.</t>
  </si>
  <si>
    <t>Untuk 3 rapat dengan keputusan penting, pimpin sesi khusus di mana seseorang ditugaskan sebagai devil's advocate. Dokumentasikan bagaimana opini berbeda diintegrasikan.</t>
  </si>
  <si>
    <t>3 sesi; dokumentasi proses; umpan balik peserta.</t>
  </si>
  <si>
    <t>Minimal 3 sesi Devil’s Advocate terdokumentasi, setiap sesi menghasilkan minimal 1 risiko/alternatif yang dipertimbangkan dalam keputusan akhir, dan peserta memberi skor ≥4 terhadap kualitas diskusi.
Review sesi oleh atasan</t>
  </si>
  <si>
    <t>Membangun "Sistem Saran Anonim" dalam Tim</t>
  </si>
  <si>
    <t>Menciptakan mekanisme untuk mendengar opini yang mungkin tidak berani disampaikan secara langsung.</t>
  </si>
  <si>
    <t>Rancang dan implementasikan sistem untuk tim (misal: kotak saran anonim, sesi feedback tertulis). Evaluasi efektivitasnya.</t>
  </si>
  <si>
    <t>Sistem saran; laporan implementasi; umpan balik tim.</t>
  </si>
  <si>
    <t>80% anggota tim menggunakan sistem; 3 saran diadopsi.
Review sistem oleh atasan</t>
  </si>
  <si>
    <t>Memfasilitasi 1 Sesi "Perspective-Taking" untuk Tim</t>
  </si>
  <si>
    <t>Menciptakan ruang bagi tim untuk saling memahami perspektif berbeda.</t>
  </si>
  <si>
    <t>Fasilitasi sesi 2-3 jam di mana setiap anggota tim (6-8 orang) berbagi pandangan tentang satu topik kontroversial. Fokus pada mendengar, bukan meyakinkan.</t>
  </si>
  <si>
    <t>Dokumentasi sesi; ringkasan insight; rencana tindak lanjut.</t>
  </si>
  <si>
    <t>80% peserta merasa didengar (skor ≥4).
Review dokumentasi oleh atasan</t>
  </si>
  <si>
    <t>Department Head</t>
  </si>
  <si>
    <t>Jurnal "Konflik yang Dihadapi" Mingguan</t>
  </si>
  <si>
    <t>Meningkatkan kesadaran tentang konflik dan bagaimana mengelolanya.</t>
  </si>
  <si>
    <t>Setiap minggu, catat 1 konflik yang terjadi (atau Anda saksikan). Tulis: penyebab, pihak yang terlibat, pendekatan yang digunakan, hasilnya.</t>
  </si>
  <si>
    <t>Jurnal mingguan (20 entri); pola konflik yang teridentifikasi; peningkatan pendekatan.</t>
  </si>
  <si>
    <t>Minimal 80% minggu terisi, tetapi hanya 8 entri terbaik direview mentor</t>
  </si>
  <si>
    <t>Latihan "De-Eskalasi" dalam Konflik Ringan</t>
  </si>
  <si>
    <t>Melatih kemampuan menenangkan situasi konflik.</t>
  </si>
  <si>
    <t>Dalam setiap konflik ringan yang terjadi, praktikkan teknik de-eskalasi: tetap tenang, mendengarkan, mengakui perasaan, dan mencari solusi.</t>
  </si>
  <si>
    <t>Log 20 konflik; peningkatan kemampuan de-eskalasi; umpan balik dari pihak terlibat.</t>
  </si>
  <si>
    <t>Minimal 8 konflik ringan dapat ditangani tanpa eskalasi formal, dengan catatan tindak lanjut dan review mentor/atasan.</t>
  </si>
  <si>
    <t>Analisis "Konflik yang Tidak Dikelola"</t>
  </si>
  <si>
    <t>Mengidentifikasi konflik yang diabaikan dan dampaknya.</t>
  </si>
  <si>
    <t>Identifikasi 3 konflik yang tidak dikelola dengan baik di organisasi. Analisis: penyebab, dampak, dan bagaimana seharusnya dikelola.</t>
  </si>
  <si>
    <t>3 analisis kasus; rekomendasi penanganan.</t>
  </si>
  <si>
    <t>Minimal 2 rekomendasi disetujui untuk diterapkan atau diuji coba, disertai bukti implementasi awal.
Review oleh atasan</t>
  </si>
  <si>
    <t>Workshop "Conflict Resolution for Leaders"</t>
  </si>
  <si>
    <t>Menguasai teknik resolusi konflik dan mediasi dasar.</t>
  </si>
  <si>
    <t>Pelatihan 2 hari tentang: sumber konflik, teknik mediasi, de-eskalasi, dan negosiasi integratif.</t>
  </si>
  <si>
    <t>Sertifikat; rencana aksi penanganan konflik untuk 3 situasi potensial.</t>
  </si>
  <si>
    <t>Kursus Online "Managing Conflict in Teams"</t>
  </si>
  <si>
    <t>Mempelajari dinamika konflik dalam tim dan cara mengelolanya secara sistemik.</t>
  </si>
  <si>
    <t>Selesaikan kursus online (6-8 jam) tentang team conflict, constructive confrontation, dan restorative practices.</t>
  </si>
  <si>
    <t>Sertifikat; laporan penerapan 3 teknik dalam tim.</t>
  </si>
  <si>
    <t>3 teknik diterapkan dalam situasi kerja nyata dan didukung oleh log penerapan atau feedback atasan.
Review laporan oleh atasan</t>
  </si>
  <si>
    <t>Micro-learning "Emotional Intelligence in Conflict"</t>
  </si>
  <si>
    <t>Mempelajari peran kecerdasan emosional dalam mengelola konflik.</t>
  </si>
  <si>
    <t>Selesaikan modul online (2-3 jam) tentang EQ dalam konflik, self-regulation, dan empathy dalam situasi konflik.</t>
  </si>
  <si>
    <t>Sertifikat; rencana pengembangan EQ untuk penanganan konflik.</t>
  </si>
  <si>
    <t>Minimal 2 dari 3 action plan dijalankan, dievaluasi dalam 1 bulan, dan mendapat feedback atasan.
Review rencana oleh atasan</t>
  </si>
  <si>
    <t>"Conflict Circle" dengan Peer Department Head</t>
  </si>
  <si>
    <t>Berbagi pengalaman dan strategi penanganan konflik.</t>
  </si>
  <si>
    <t>Bentuk circle 3-4 Department Head. Setiap 2 bulan, satu orang memaparkan konflik yang dihadapi. Anggota lain berbagi pengalaman dan strategi.</t>
  </si>
  <si>
    <t>4 sesi; catatan strategi; umpan balik dari pemapar.</t>
  </si>
  <si>
    <t>Minimal 3 strategi diterapkan dalam kasus/percakapan nyata dan didukung oleh log penerapan atau feedback atasan/peer.</t>
  </si>
  <si>
    <t>"Shadowing" – Mengamati Atasan dalam 2 Penanganan Konflik</t>
  </si>
  <si>
    <t>Belajar bagaimana pemimpin senior menangani konflik.</t>
  </si>
  <si>
    <t>Minta izin atasan untuk mengamati 2 situasi penanganan konflik. Catat: pendekatan, teknik de-eskalasi, dan resolusi.</t>
  </si>
  <si>
    <t>3 teknik diterapkan dalam situasi kerja nyata dan didukung oleh log penerapan atau feedback atasan.
Laporan disetujui atasan</t>
  </si>
  <si>
    <t>Umpan Balik 360° tentang "Penanganan Konflik"</t>
  </si>
  <si>
    <t>Mengukur persepsi tim tentang kemampuan Anda menangani konflik.</t>
  </si>
  <si>
    <t>Kuesioner: "Atasan saya menghadapi konflik secara konstruktif", "Atasan saya membantu menyelesaikan konflik tim". Pre &amp; post dari tim.</t>
  </si>
  <si>
    <t>Menangani 1 Konflik Antar Anggota Tim</t>
  </si>
  <si>
    <t>Mempraktikkan resolusi konflik dalam tim.</t>
  </si>
  <si>
    <t>Identifikasi 1 konflik antara 2 anggota tim. Lakukan mediasi, bantu mereka mencapai kesepakatan, dokumentasikan proses.</t>
  </si>
  <si>
    <t>Dokumentasi mediasi; kesepakatan tertulis; umpan balik kedua pihak.</t>
  </si>
  <si>
    <t>Kedua pihak memberi skor ≥4 untuk "proses penanganan konflik".
Review progres oleh atasan</t>
  </si>
  <si>
    <t>Memfasilitasi "Konflik Konstruktif" dalam 1 Rapat</t>
  </si>
  <si>
    <t>Mengubah konflik menjadi peluang belajar dan inovasi.</t>
  </si>
  <si>
    <t>Dalam rapat tim yang berpotensi konflik, fasilitasi dengan pendekatan: akui perbedaan, cari kepentingan bersama, dan ciptakan solusi.</t>
  </si>
  <si>
    <t>Dokumentasi rapat; umpan balik peserta; resolusi yang dihasilkan.</t>
  </si>
  <si>
    <t>Minimal 80% peserta memberi skor ≥4 pada aspek fairness, ketenangan fasilitasi, kejelasan rangkuman, dan tindak lanjut.</t>
  </si>
  <si>
    <t>Membuat "Conflict Protocol" untuk Tim</t>
  </si>
  <si>
    <t>Menginternalisasi penanganan konflik dengan membuat sistem.</t>
  </si>
  <si>
    <t>Rancang protokol penanganan konflik untuk tim: bagaimana mengidentifikasi, mengeskalasi, dan menyelesaikan konflik. Sosialisasikan ke tim.</t>
  </si>
  <si>
    <t>Protokol konflik; dokumentasi sosialisasi; umpan balik tim.</t>
  </si>
  <si>
    <t>Protokol konflik disosialisasikan kepada 100% anggota tim, digunakan minimal pada 1 kasus atau simulasi konflik, dan mendapat skor manfaat ≥4 dari minimal 80% anggota tim.
Review protokol oleh atasan</t>
  </si>
  <si>
    <t>Division Head</t>
  </si>
  <si>
    <t>Jurnal "Antisipasi Percakapan Sulit"</t>
  </si>
  <si>
    <t>Melatih persiapan mental dan strategi sebelum percakapan berisiko.</t>
  </si>
  <si>
    <t>Setiap akan melakukan percakapan yang Anda prediksi sulit, tulis: topik, emosi yang mungkin muncul, 3 skenario terburuk, dan respons yang sudah disiapkan.</t>
  </si>
  <si>
    <t>Jurnal minimal 10 percakapan; tingkat keberhasilan persiapan (dinilai sendiri).</t>
  </si>
  <si>
    <t>80% percakapan berjalan lebih baik dari skenario terburuk berdasarkan refleksi diri dan minimal 1 feedback dari lawan bicara/mentor.</t>
  </si>
  <si>
    <t>Latihan "I-Message &amp; Non-Defensive Language" Harian</t>
  </si>
  <si>
    <t>Mengganti kebiasaan menyalahkan dengan pernyataan "saya merasa" dan bahasa non-defensif.</t>
  </si>
  <si>
    <t>Dalam komunikasi sehari-hari, gunakan format: "Saya merasa [emosi] ketika [fakta] karena [kebutuhan saya]. Apakah bisa...?" Catat reaksi lawan bicara.</t>
  </si>
  <si>
    <t>Log 30 percakapan; peningkatan respons positif dari lawan bicara.</t>
  </si>
  <si>
    <t>Minimal 80% percakapan mendapat respons positif dari lawan bicara/mentor berdasarkan skor ≥4 pada aspek respek, kejelasan, dan ketenangan.</t>
  </si>
  <si>
    <t>Rekaman Role-Play Percakapan Sulit dengan Diri Sendiri</t>
  </si>
  <si>
    <t>Mengidentifikasi kebiasaan verbal yang memicu eskalasi.</t>
  </si>
  <si>
    <t>Rekam diri Anda berlatih menyampaikan pesan sulit (misal: menolak permintaan, mengkritik). Dengarkan ulang, catat kata-kata bernada menyalahkan, memojokkan, atau defensif.</t>
  </si>
  <si>
    <t>6 rekaman; daftar perbaikan; rekaman akhir yang lebih baik.</t>
  </si>
  <si>
    <t>Penurunan kata-kata provokatif ≥60%</t>
  </si>
  <si>
    <t>Workshop "Crucial Conversations for Senior Leaders"</t>
  </si>
  <si>
    <t>Menguasai framework percakapan sulit: membuka dengan aman, berbagi fakta vs cerita, mendengar perspektif lawan, bergerak ke aksi.</t>
  </si>
  <si>
    <t>Pelatihan 2 hari (Crucial Conversations atau setara). Praktik simulasi kasus nyata.</t>
  </si>
  <si>
    <t>Sertifikat; peta percakapan untuk 2 kasus sulit di tempat kerja.</t>
  </si>
  <si>
    <t>Lulus simulasi (skor ≥80)</t>
  </si>
  <si>
    <t>Kursus "Nonviolent Communication (NVC) – Advanced: Conversations When Stakes Are High"</t>
  </si>
  <si>
    <t>Mendalami teknik memisahkan observasi dari evaluasi, mengungkapkan kebutuhan tanpa tuntutan, dan mendengar kritik tanpa defensif.</t>
  </si>
  <si>
    <t>Kursus lanjutan NVC (6 jam). Terapkan dalam 3 percakapan sulit.</t>
  </si>
  <si>
    <t>Sertifikat; laporan 3 percakapan dengan hasil.</t>
  </si>
  <si>
    <t>Minimal 3 percakapan menghasilkan kesepakatan atau action follow-up tertulis yang disetujui pihak terkait.</t>
  </si>
  <si>
    <t>Micro-learning "Giving Critical Feedback to Senior Peers"</t>
  </si>
  <si>
    <t>Belajar teknik menyampaikan umpan balik keras ke rekan setingkat atau atasan.</t>
  </si>
  <si>
    <t>Selesaikan modul 2 jam. Buat skrip untuk 1 percakapan umpan balik ke peer.</t>
  </si>
  <si>
    <t>Sertifikat; skrip; laporan pelaksanaan dan hasil.</t>
  </si>
  <si>
    <t>Penerima feedback memberi skor ≥4 pada aspek kejelasan, respek, dan manfaat; terdapat action follow-up yang disepakati.</t>
  </si>
  <si>
    <t>"Difficult Conversation Buddy" dengan Peer Division Head</t>
  </si>
  <si>
    <t>Berlatih percakapan sulit dalam lingkungan aman, mendapat umpan balik.</t>
  </si>
  <si>
    <t>Berpasangan. Setiap 2 minggu, satu orang memerankan skenario percakapan sulit (5-10 menit). Yang lain memberi umpan balik: bahasa tubuh, pilihan kata, nada. Bergantian.</t>
  </si>
  <si>
    <t>12 sesi; catatan perbaikan; umpan balik dari buddy.</t>
  </si>
  <si>
    <t>Peningkatan skor efektivitas ≥1 berdasarkan pre-post assessment dari buddy/mentor menggunakan formulir penilaian terpisah.</t>
  </si>
  <si>
    <t>"Shadowing" – Mengamati Director dalam 2 Percakapan Sulit</t>
  </si>
  <si>
    <t>Belajar teknik dari pemimpin yang lebih senior.</t>
  </si>
  <si>
    <t>Minta izin atasan untuk mengamati 2 percakapan sulit (misal: negosiasi anggaran, menyampaikan keputusan tidak populer). Catat pembukaan, cara menangani emosi, penutupan.</t>
  </si>
  <si>
    <t>2 laporan observasi; 5 teknik yang diadopsi; 2 teknik dicoba sendiri.</t>
  </si>
  <si>
    <t>2 teknik diterapkan dalam minimal 1 percakapan/rapat nyata dan direview oleh atasan atau mentor.</t>
  </si>
  <si>
    <t>Umpan Balik 360° dari Rekan &amp; Bawahan tentang "Seberapa Berani &amp; Bijak dalam Percakapan Sulit"</t>
  </si>
  <si>
    <t>Mengukur persepsi orang lain terhadap kemampuan Anda.</t>
  </si>
  <si>
    <t>Kuesioner: "Atasan saya berani membicarakan masalah yang tidak nyaman", "Atasan saya tetap hormat saat menyampaikan kritik". Pre &amp; post dari 5 responden.</t>
  </si>
  <si>
    <t>Dua laporan; target peningkatan ≥1 poin.</t>
  </si>
  <si>
    <t>Peningkatan ≥1 poin</t>
  </si>
  <si>
    <t>Memimpin 3 Kali "Feedback Sulit" ke Peer atau Atasan Langsung</t>
  </si>
  <si>
    <t>Mempraktikkan keberanian dan kebijaksanaan dalam memberikan umpan balik ke atas/samping.</t>
  </si>
  <si>
    <t>Identifikasi 3 situasi di mana Anda perlu memberikan umpan balik konstruktif namun sulit (misal: usulan rekan yang tidak realistis, permintaan atasan yang membebani tim). Siapkan, lakukan, dokumentasikan.</t>
  </si>
  <si>
    <t>3 laporan kasus; umpan balik dari penerima; refleksi diri.</t>
  </si>
  <si>
    <t>Minimal 2 dari 3 feedback menghasilkan kesepahaman atau action follow-up tertulis, penerima feedback memberi skor ≥4 pada aspek kejelasan, respek, dan relevansi, serta tidak terjadi eskalasi ulang dalam 30 hari</t>
  </si>
  <si>
    <t>Menjadi Mediator dalam 1 Konflik Antar Dua Pihak (bukan bawahan langsung)</t>
  </si>
  <si>
    <t>Menerapkan percakapan sulit untuk mediasi.</t>
  </si>
  <si>
    <t>Ambil peran mediator untuk konflik antara dua divisi atau antara bawahan Anda dengan pihak lain. Fasilitasi pertemuan, bantu mereka mencapai kesepakatan.</t>
  </si>
  <si>
    <t>Dokumentasi proses mediasi; kesepakatan tertulis; umpan balik kedua pihak.</t>
  </si>
  <si>
    <t>Kedua pihak puas dengan proses (skor ≥4)</t>
  </si>
  <si>
    <t>Menyampaikan Keputusan Tidak Populer ke Tim (atau Organisasi)</t>
  </si>
  <si>
    <t>Melatih menyampaikan kabar buruk dengan empati dan transparansi.</t>
  </si>
  <si>
    <t>Pilih situasi nyata di mana Anda harus mengumumkan keputusan yang tidak disukai (cuti dibatasi, target dinaikkan, proyek dibatalkan). Siapkan skrip, sampaikan, tangani reaksi.</t>
  </si>
  <si>
    <t>Skrip; rekaman (jika mungkin) atau notulen; umpan balik audiens; refleksi pembelajaran.</t>
  </si>
  <si>
    <t>Minimal 70% audiens memberi skor ≥4 pada aspek kejelasan alasan keputusan, empati penyampaian, dan pemahaman terhadap tindak lanjut.</t>
  </si>
  <si>
    <t>Director</t>
  </si>
  <si>
    <t>Jurnal "Antisipasi Krisis Komunikasi"</t>
  </si>
  <si>
    <t>Melatih kesiapan menghadapi krisis komunikasi.</t>
  </si>
  <si>
    <t>Selama pengembangan, pilih 12 potensi krisis komunikasi di organisasi. Tulis: skenario, pesan kunci, stakeholder yang terdampak, strategi komunikasi.</t>
  </si>
  <si>
    <t>Jurnal mingguan (12 skenario); kesiapan menghadapi krisis.</t>
  </si>
  <si>
    <t>Minimal 12 skenario selama program atau minimal 1 skenario per bulan, dengan 4 skenario strategis direview mentor.</t>
  </si>
  <si>
    <t>Latihan "Pesan Krisis 30 Detik"</t>
  </si>
  <si>
    <t>Melatih menyampaikan pesan krisis secara ringkas, jelas, dan menenangkan.</t>
  </si>
  <si>
    <t>Setiap bulan, buat 1 pesan krisis (fiktif) dalam 30 detik. Rekam dan evaluasi: kejelasan, ketenangan, dan dampak.</t>
  </si>
  <si>
    <t>12 rekaman pesan krisis; peningkatan kualitas pesan.</t>
  </si>
  <si>
    <t>Pesan dinilai jelas, tenang, dan meyakinkan (skor ≥4).
Review rekaman oleh mentor</t>
  </si>
  <si>
    <t>Analisis "Komunikasi Krisis Organisasi"</t>
  </si>
  <si>
    <t>Mempelajari kasus komunikasi krisis nyata dan mengambil pelajaran.</t>
  </si>
  <si>
    <t>Pilih 3 kasus komunikasi krisis di organisasi lain. Analisis: apa yang dilakukan dengan baik, apa yang salah, pelajaran untuk organisasi Anda.</t>
  </si>
  <si>
    <t>3 analisis kasus; rekomendasi untuk organisasi.</t>
  </si>
  <si>
    <t>Minimal 2 rekomendasi disetujui untuk dimasukkan ke rencana komunikasi/protokol krisis atau diuji coba dalam simulasi.
Review oleh atasan</t>
  </si>
  <si>
    <t>Workshop "Crisis Communication &amp; Leadership"</t>
  </si>
  <si>
    <t>Menguasai strategi komunikasi krisis dan kepemimpinan dalam situasi krisis.</t>
  </si>
  <si>
    <t>Pelatihan 2-3 hari tentang: crisis communication framework, media handling, internal communication in crisis, dan reputation management.</t>
  </si>
  <si>
    <t>Sertifikat; rencana komunikasi krisis untuk divisi/organisasi.</t>
  </si>
  <si>
    <t>Lulus simulasi krisis dengan skor minimal 85.
Evaluasi oleh fasilitator</t>
  </si>
  <si>
    <t>Kursus Online "Strategic Communication for Senior Leaders"</t>
  </si>
  <si>
    <t>Mempelajari komunikasi strategis di level organisasi dan sinergi lintas divisi.</t>
  </si>
  <si>
    <t>Selesaikan kursus online (8-10 jam) tentang organizational communication, change communication, dan stakeholder alignment.</t>
  </si>
  <si>
    <t>Sertifikat; blueprint komunikasi strategis untuk organisasi.</t>
  </si>
  <si>
    <t>Blueprint mendapat skor minimal ≥4 dari atasan/direksi pada aspek strategic alignment, stakeholder coverage, clarity of message, risk mitigation, dan implementability.</t>
  </si>
  <si>
    <t>Program "Media Training for Executives"</t>
  </si>
  <si>
    <t>Mempelajari cara berkomunikasi dengan media dan publik dalam situasi krisis.</t>
  </si>
  <si>
    <t>Ikuti program media training (2 hari) dengan simulasi wawancara dan press conference.</t>
  </si>
  <si>
    <t>Sertifikat; rekaman simulasi; umpan balik trainer.</t>
  </si>
  <si>
    <t>Lulus simulasi dengan skor minimal 80.
Evaluasi oleh trainer.</t>
  </si>
  <si>
    <t>"Crisis Circle" dengan Peer Director</t>
  </si>
  <si>
    <t>Berlatih menangani krisis komunikasi melalui simulasi bersama.</t>
  </si>
  <si>
    <t>Bentuk circle 3-4 Director. Setiap 2 bulan, satu orang menyajikan skenario krisis. Lainnya memainkan peran stakeholder dan memberi umpan balik.</t>
  </si>
  <si>
    <t>6 sesi; catatan strategi; umpan balik dari circle.</t>
  </si>
  <si>
    <t>Minimal 3 strategi krisis diterapkan dalam simulasi/kasus nyata dan didukung dokumentasi skenario serta feedback peer/mentor.
Dokumentasi skenario</t>
  </si>
  <si>
    <t>"Shadowing" – Mengamati CEO dalam 2 Komunikasi Krisis</t>
  </si>
  <si>
    <t>Belajar bagaimana pemimpin puncak menangani krisis komunikasi.</t>
  </si>
  <si>
    <t>Minta izin CEO untuk mengamati 2 situasi komunikasi krisis (bisa internal atau eksternal). Catat: pendekatan, pesan, dan teknik menenangkan.</t>
  </si>
  <si>
    <t>2 laporan observasi; daftar 7 teknik yang akan diadopsi.</t>
  </si>
  <si>
    <t>4 teknik diterapkan dalam komunikasi strategis/krisis dan divalidasi melalui laporan penerapan.
Laporan disetujui CEO</t>
  </si>
  <si>
    <t>Umpan Balik 360° tentang "Komunikasi Krisis &amp; Sinergi"</t>
  </si>
  <si>
    <t>Mengukur persepsi tentang kemampuan Anda dalam komunikasi strategis dan sinergi.</t>
  </si>
  <si>
    <t>Kuesioner: "Pemimpin ini komunikatif dalam situasi sulit", "Pemimpin ini menyelaraskan berbagai pihak". Pre &amp; post dari 7 responden.</t>
  </si>
  <si>
    <t>Memimpin Komunikasi dalam 1 Krisis Nyata</t>
  </si>
  <si>
    <t>Menerapkan kemampuan komunikasi krisis dalam situasi nyata.</t>
  </si>
  <si>
    <t>Identifikasi 1 krisis atau situasi sulit yang terjadi di organisasi. Pimpin komunikasi (internal/eksternal) dengan koordinasi lintas divisi.</t>
  </si>
  <si>
    <t>Dokumentasi komunikasi krisis; umpan balik stakeholder; refleksi.</t>
  </si>
  <si>
    <t>Stakeholder memberi skor ≥4 pada aspek kejelasan pesan, konsistensi komunikasi, ketenangan, koordinasi lintas divisi, dan kecepatan respons; tidak ada eskalasi komunikasi berulang dalam periode evaluasi.
Review progres oleh CEO</t>
  </si>
  <si>
    <t>Menyelaraskan Komunikasi Antar Divisi untuk 1 Inisiatif Strategis</t>
  </si>
  <si>
    <t>Mempraktikkan sinergi organisasi melalui komunikasi terkoordinasi.</t>
  </si>
  <si>
    <t>Pilih 1 inisiatif strategis yang melibatkan minimal 3 divisi. Buat dan koordinasikan rencana komunikasi untuk menyelaraskan semua pihak.</t>
  </si>
  <si>
    <t>Rencana komunikasi terintegrasi; dokumentasi implementasi; umpan balik divisi.</t>
  </si>
  <si>
    <t>Minimal 3 divisi memberi skor ≥4 pada aspek keselarasan pesan, kejelasan peran, konsistensi komunikasi, dan tindak lanjut.
Review progres oleh CEO</t>
  </si>
  <si>
    <t>Membangun "Crisis Communication Protocol" untuk Organisasi</t>
  </si>
  <si>
    <t>Menginternalisasi komunikasi krisis dengan membuat sistem untuk organisasi.</t>
  </si>
  <si>
    <t>Rancang protokol komunikasi krisis untuk organisasi: siapa bicara, pesan apa, saluran apa, dan bagaimana koordinasi. Presentasikan ke direksi.</t>
  </si>
  <si>
    <t>Protokol krisis; presentasi; tindak lanjut.</t>
  </si>
  <si>
    <t>Protokol mendapat persetujuan direksi dan diuji melalui minimal 1 simulasi krisis lintas fungsi dengan hasil evaluasi minimal ≥4.
Review protokol oleh direksi</t>
  </si>
  <si>
    <t>Jurnal "Siapa Pelanggan Saya?"</t>
  </si>
  <si>
    <t>Meningkatkan kesadaran tentang siapa yang menggunakan hasil kerja dan apa kebutuhan mereka</t>
  </si>
  <si>
    <t>selama program, identifikasi 1 tugas yang Anda kerjakan. Tulis: siapa penerima/pengguna hasil kerja ini, apa kebutuhan mereka, bagaimana saya memastikan kebutuhan itu terpenuhi.</t>
  </si>
  <si>
    <t>Jurnal bulanan (10 entri); peta pelanggan untuk setiap tugas rutin</t>
  </si>
  <si>
    <t>90% jurnal terisi; peta pelanggan teridentifikasi untuk semua tugas rutin
Review 4 entri oleh mentor</t>
  </si>
  <si>
    <t>Latihan "Cek Kepuasan" setelah Menyelesaikan Tugas</t>
  </si>
  <si>
    <t>Membangun kebiasaan mengecek apakah hasil kerja memenuhi kebutuhan pelanggan</t>
  </si>
  <si>
    <t>Setelah menyelesaikan tugas penting (min. 1x/minggu), tanyakan ke penerima: "Apakah hasilnya sesuai dengan yang Anda harapkan? Ada yang perlu diperbaiki?" Catat jawaban.</t>
  </si>
  <si>
    <t>Log minimal 20 cek kepuasan; pola umpan balik; peningkatan skor kepuasan</t>
  </si>
  <si>
    <t>Rata-rata skor kepuasan minimal ≥4 (skala 1-5)
Review log; hitung rata-rata skor kepuasan</t>
  </si>
  <si>
    <t>Analisis "Dampak Pekerjaan Saya"</t>
  </si>
  <si>
    <t>Menghubungkan pekerjaan sehari-hari dengan dampak pada pelanggan akhir</t>
  </si>
  <si>
    <t>Setiap bulan, pilih 1 tugas yang sudah selesai. Telusuri: bagaimana tugas ini membantu pelanggan (langsung atau tidak langsung)? Tulis dalam 1 paragraf.</t>
  </si>
  <si>
    <t>12 analisis bulanan; portofolio dampak pekerjaan</t>
  </si>
  <si>
    <t>10 dari 12 analisis dinilai layak oleh atasan dengan skor minimal ≥4 berdasarkan formulir review refleksi
Review oleh atasan</t>
  </si>
  <si>
    <t>Workshop "Customer Focus &amp; Service Excellence"</t>
  </si>
  <si>
    <t>Memahami konsep customer focus, identifikasi kebutuhan pelanggan, dan standar kualitas layanan</t>
  </si>
  <si>
    <t>Pelatihan 1 hari (8 jam) mencakup: siapa pelanggan internal/eksternal, teknik identifikasi kebutuhan, standar kualitas, penanganan keluhan dasar.</t>
  </si>
  <si>
    <t>Sertifikat; rencana aksi penerapan customer focus dalam pekerjaan sehari-hari</t>
  </si>
  <si>
    <t>Lulus role-play dengan skor minimal 80
Evaluasi oleh fasilitator</t>
  </si>
  <si>
    <t>Kursus Online "Customer Service Fundamentals"</t>
  </si>
  <si>
    <t>Mempelajari prinsip dasar layanan pelanggan dan teknik memenuhi kebutuhan</t>
  </si>
  <si>
    <t>Selesaikan kursus online (4 jam) tentang customer journey, service standards, dan handling customer expectations.</t>
  </si>
  <si>
    <t>Sertifikat; laporan penerapan 3 prinsip dalam pekerjaan</t>
  </si>
  <si>
    <t>Minimal 3 prinsip customer service diterapkan dalam minimal 3 situasi kerja nyata dan divalidasi atasan dengan skor ≥4.</t>
  </si>
  <si>
    <t>Micro-learning "Quality at Work: Delivering Results That Matter"</t>
  </si>
  <si>
    <t>Belajar tentang standar kualitas dan cara memastikan output memenuhi ekspektasi</t>
  </si>
  <si>
    <t>Selesaikan modul online (2 jam) tentang quality standards, checklists, dan continuous improvement.</t>
  </si>
  <si>
    <t>Sertifikat; checklist kualitas untuk 3 tugas rutin</t>
  </si>
  <si>
    <t>Checklist diadopsi dan digunakan dalam minimal 3 tugas rutin.
Review checklist oleh atasan</t>
  </si>
  <si>
    <t>"Customer Shadowing" – Mengamati Interaksi dengan Pelanggan</t>
  </si>
  <si>
    <t>Memahami secara langsung kebutuhan dan ekspektasi pelanggan</t>
  </si>
  <si>
    <t>Minta izin untuk mengamati 2 interaksi antara atasan/rekan senior dengan pelanggan (internal/eksternal). Catat: pertanyaan yang diajukan, kebutuhan yang terungkap, bagaimana kebutuhan itu dipenuhi.</t>
  </si>
  <si>
    <t>2 laporan observasi; 5 daftar kebutuhan pelanggan yang teridentifikasi</t>
  </si>
  <si>
    <t>Minimal 5 kebutuhan pelanggan teridentifikasi, didokumentasikan, dan minimal 2 insight diterjemahkan menjadi usulan perbaikan kerja.</t>
  </si>
  <si>
    <t>Wawancara dengan 3 "Pelanggan Internal"</t>
  </si>
  <si>
    <t>Memahami kebutuhan dan ekspektasi dari pengguna hasil kerja Anda</t>
  </si>
  <si>
    <t>Identifikasi 3 rekan dari departemen lain yang sering menerima output kerja Anda. Wawancara 15 menit: "Apa yang Anda harapkan dari output saya? Apa yang sudah baik dan apa yang perlu diperbaiki?"</t>
  </si>
  <si>
    <t>3 laporan wawancara; rencana perbaikan berdasarkan umpan balik</t>
  </si>
  <si>
    <t>Minimal 2 perbaikan diimplementasikan
Review laporan oleh atasan</t>
  </si>
  <si>
    <t>Umpan Balik 360° dari "Pelanggan" (Penerima Output Kerja)</t>
  </si>
  <si>
    <t>Mengukur persepsi pelanggan tentang kualitas output dan kepuasan mereka</t>
  </si>
  <si>
    <t>Identifikasi 5 orang yang sering menerima output kerja Anda. Minta mereka menilai (anonim) kuesioner tentang kualitas, ketepatan waktu, dan kesesuaian dengan kebutuhan. Pre &amp; post.</t>
  </si>
  <si>
    <t>Dua laporan; target peningkatan ≥1 poin</t>
  </si>
  <si>
    <t>Proyek Perbaikan Kualitas untuk 1 Proses/Tugas</t>
  </si>
  <si>
    <t>Menerapkan customer focus dengan memperbaiki kualitas output berdasarkan umpan balik pelanggan</t>
  </si>
  <si>
    <t>Identifikasi 1 proses/tugas yang sering menerima keluhan atau masukan. Usulkan perbaikan, implementasikan, ukur dampaknya terhadap kepuasan pelanggan.</t>
  </si>
  <si>
    <t>Dokumentasi sebelum-sesudah; data peningkatan kepuasan (survei); laporan proyek</t>
  </si>
  <si>
    <t>Terjadi peningkatan skor kepuasan minimal ≥15% berdasarkan baseline dan post-evaluation dari pelanggan internal/eksternal yang menerima output kerja.</t>
  </si>
  <si>
    <t>Membuat "Customer Profile" untuk 3 Jenis Pelanggan</t>
  </si>
  <si>
    <t>Memahami secara mendalam kebutuhan dan ekspektasi berbagai jenis pelanggan</t>
  </si>
  <si>
    <t>Identifikasi 3 jenis pelanggan (internal/eksternal) yang berbeda. Buat profil: siapa mereka, apa kebutuhan utama, apa ekspektasi, bagaimana cara terbaik memenuhi kebutuhan mereka.</t>
  </si>
  <si>
    <t>3 profil pelanggan; presentasi ke tim</t>
  </si>
  <si>
    <t xml:space="preserve">Profil digunakan oleh tim (minimal 1 profil diadopsi) dengan bukti penggunaan
Review profil oleh atasan </t>
  </si>
  <si>
    <t>Menangani 1 Keluhan/Kebutuhan Pelanggan dari Awal hingga Tuntas</t>
  </si>
  <si>
    <t>Mempraktikkan customer focus dalam situasi nyata</t>
  </si>
  <si>
    <t>Ambil tanggung jawab penuh untuk menangani 1 keluhan atau permintaan khusus dari pelanggan. Dari identifikasi kebutuhan, pengerjaan, hingga konfirmasi kepuasan pelanggan.</t>
  </si>
  <si>
    <t>Dokumentasi kasus; umpan balik pelanggan; refleksi pembelajaran</t>
  </si>
  <si>
    <t>Pelanggan memberi skor kepuasan ≥4
Review kasus oleh atasan</t>
  </si>
  <si>
    <t>Jurnal "Antisipasi Kebutuhan" Mingguan</t>
  </si>
  <si>
    <t>Melatih kebiasaan berpikir proaktif tentang kebutuhan pelanggan.</t>
  </si>
  <si>
    <t>Setiap minggu, pilih 1 pelanggan (internal/eksternal). Tulis: apa kebutuhan mereka saat ini, apa yang mungkin mereka butuhkan dalam 3-6 bulan ke depan, dan apa yang bisa Anda lakukan sekarang.</t>
  </si>
  <si>
    <t>Jurnal mingguan (20 entri); peningkatan akurasi antisipasi.</t>
  </si>
  <si>
    <t>80% minggu terisi; 
Minimal 8 dari 12 antisipasi kebutuhan dinilai relevan oleh mentor/atasan dengan rata rata skor ≥4 berdasarkan formulir review refleksi.</t>
  </si>
  <si>
    <t>Latihan "Analisis Pola Keluhan"</t>
  </si>
  <si>
    <t>Mengidentifikasi pola di balik keluhan pelanggan untuk antisipasi.</t>
  </si>
  <si>
    <t>Kumpulkan data keluhan pelanggan 6 bulan terakhir. Identifikasi 3 pola yang berulang. Buat rekomendasi pencegahan.</t>
  </si>
  <si>
    <t>Laporan analisis pola; 3 rekomendasi pencegahan.</t>
  </si>
  <si>
    <t>2 rekomendasi diadopsi.
Review laporan oleh atasan</t>
  </si>
  <si>
    <t>Refleksi "Komitmen di Tengah Tantangan"</t>
  </si>
  <si>
    <t>Meningkatkan kesadaran tentang kegigihan dalam menghadapi hambatan pelanggan.</t>
  </si>
  <si>
    <t>Setiap kali menghadapi hambatan dalam memenuhi kebutuhan pelanggan, catat: apa hambatannya, bagaimana Anda merespons, apa yang bisa dilakukan lebih baik.</t>
  </si>
  <si>
    <t>Log 20 refleksi; peningkatan ketahanan dalam menghadapi tantangan.</t>
  </si>
  <si>
    <t>80% hambatan berhasil diatasi dengan log atau catatan keberhasilan.
Review log oleh mentor</t>
  </si>
  <si>
    <t>Workshop "Customer Needs Anticipation &amp; Analytics"</t>
  </si>
  <si>
    <t>Menguasai teknik mengantisipasi kebutuhan pelanggan melalui data dan pola.</t>
  </si>
  <si>
    <t>Pelatihan 1-2 hari tentang: customer needs analysis, predictive analytics dasar, dan voice of customer.</t>
  </si>
  <si>
    <t>Sertifikat; rencana aksi antisipasi kebutuhan untuk 3 pelanggan.</t>
  </si>
  <si>
    <t>Lulus studi kasus dengan skor minimal 80.
Evaluasi oleh fasilitator</t>
  </si>
  <si>
    <t>Kursus Online "Customer Experience &amp; Journey Mapping"</t>
  </si>
  <si>
    <t>Mempelajari cara memetakan perjalanan pelanggan dan mengidentifikasi titik antisipasi.</t>
  </si>
  <si>
    <t>Selesaikan kursus online (6 jam) tentang customer journey mapping, touchpoint analysis, dan opportunity identification.</t>
  </si>
  <si>
    <t>Sertifikat; peta perjalanan pelanggan untuk 1 segmen.</t>
  </si>
  <si>
    <t>Customer journey map mendapat skor ≥4 dari atasan pada aspek kelengkapan touchpoint, akurasi pain point, dan relevansi rekomendasi.</t>
  </si>
  <si>
    <t>Micro-learning "Resilience &amp; Persistence in Customer Service"</t>
  </si>
  <si>
    <t>Belajar tentang ketahanan dan kegigihan dalam menghadapi tantangan pelanggan.</t>
  </si>
  <si>
    <t>Selesaikan modul online (2 jam) tentang resilience, persistence, dan growth mindset dalam konteks customer focus.</t>
  </si>
  <si>
    <t>Sertifikat; rencana pengembangan ketahanan pribadi.</t>
  </si>
  <si>
    <t>Minimal 2 dari 3 action plan dijalankan, dievaluasi dalam 1 bulan, dan divalidasi oleh atasan/mentor.
Review rencana oleh atasan</t>
  </si>
  <si>
    <t>"Customer Insight Circle" dengan Rekan Lintas Fungsi</t>
  </si>
  <si>
    <t>Berbagi insight pelanggan dan belajar dari perspektif berbeda.</t>
  </si>
  <si>
    <t>Bentuk circle 4 orang dari berbagai fungsi. Setiap 2 minggu, masing-masing membawa 1 insight pelanggan baru dan diskusikan implikasinya.</t>
  </si>
  <si>
    <t>8 sesi; catatan insight; umpan balik dari circle.</t>
  </si>
  <si>
    <t>Minimal 3 insight baru disetujui untuk diuji coba atau digunakan dalam perbaikan proses kerja/tim.
Review catatan oleh mentor</t>
  </si>
  <si>
    <t>"Shadowing" – Mengamati Atasan dalam Antisipasi Kebutuhan</t>
  </si>
  <si>
    <t>Belajar bagaimana pemimpin mengantisipasi kebutuhan pelanggan.</t>
  </si>
  <si>
    <t>Minta izin atasan untuk mengamati 2 sesi perencanaan atau review pelanggan. Catat: bagaimana ia mengantisipasi, data apa yang digunakan.</t>
  </si>
  <si>
    <t>2 laporan observasi; daftar 5 teknik yang akan diadopsi.</t>
  </si>
  <si>
    <t>Minimal 3 teknik hasil shadowing diterapkan dalam situasi pelanggan nyata dan divalidasi oleh atasan/mentor.</t>
  </si>
  <si>
    <t>Umpan Balik 360° tentang "Antisipasi Kebutuhan"</t>
  </si>
  <si>
    <t>Mengukur persepsi pelanggan/rekan tentang kemampuan antisipasi Anda.</t>
  </si>
  <si>
    <t>Kuesioner: "Dia mengantisipasi kebutuhan saya sebelum saya menyampaikannya", "Dia gigih dalam memenuhi komitmen". Pre &amp; post dari 4-5 responden.</t>
  </si>
  <si>
    <t>Proyek "Antisipasi Kebutuhan" untuk 1 Pelanggan</t>
  </si>
  <si>
    <t>Menerapkan antisipasi kebutuhan dalam proyek nyata.</t>
  </si>
  <si>
    <t>Pilih 1 pelanggan (internal/eksternal). Lakukan analisis kebutuhan saat ini dan antisipasi kebutuhan 6 bulan ke depan. Buat rekomendasi tindakan.</t>
  </si>
  <si>
    <t>Laporan proyek; rekomendasi; umpan balik pelanggan.</t>
  </si>
  <si>
    <t>Pelanggan memberi skor ≥4 untuk "rekomendasi sesuai kebutuhan".
Review progres oleh atasan</t>
  </si>
  <si>
    <t>Membuat "Customer Profile" untuk 3 Segmen Pelanggan</t>
  </si>
  <si>
    <t>Memahami secara mendalam berbagai segmen pelanggan untuk antisipasi.</t>
  </si>
  <si>
    <t>Identifikasi 3 segmen pelanggan berbeda. Buat profil mendalam: kebutuhan, perilaku, tantangan, dan peluang antisipasi.</t>
  </si>
  <si>
    <t>3 profil pelanggan; presentasi ke tim.</t>
  </si>
  <si>
    <t>Minimal 2 customer profile digunakan oleh tim dalam perencanaan layanan, komunikasi, atau penyelesaian kebutuhan pelanggan. 
Review profil oleh atasan</t>
  </si>
  <si>
    <t>Menangani 1 Kasus Pelanggan dengan Pendekatan Antisipatif</t>
  </si>
  <si>
    <t>Mempraktikkan antisipasi dalam situasi nyata.</t>
  </si>
  <si>
    <t>Pilih 1 kasus pelanggan. Alih-alih menunggu permintaan, lakukan pendekatan proaktif: identifikasi kebutuhan tersembunyi, tawarkan solusi sebelum diminta.</t>
  </si>
  <si>
    <t>Dokumentasi kasus; umpan balik pelanggan; refleksi.</t>
  </si>
  <si>
    <t>Pelanggan memberi skor ≥4 untuk "pendekatan proaktif".
Review kasus oleh atasan</t>
  </si>
  <si>
    <t>Jurnal "Keputusan dengan Data Terbatas" Mingguan</t>
  </si>
  <si>
    <t>Melatih pengambilan keputusan pelanggan dalam situasi data tidak lengkap.</t>
  </si>
  <si>
    <t>Setiap minggu, pilih 1 keputusan pelanggan yang diambil dengan data terbatas. Tulis: data apa yang tersedia, keputusan apa, bagaimana Anda mengatasi ketidakpastian.</t>
  </si>
  <si>
    <t>Jurnal mingguan (16 entri); peningkatan kualitas keputusan.</t>
  </si>
  <si>
    <t>80% minggu terisi; 
Minimal 4 entri jurnal direview mentor dan mendapat skor ≥4 pada aspek ketepatan pertimbangan, risiko, dan tindak lanjut keputusan.
Review 4 entri oleh mentor</t>
  </si>
  <si>
    <t>Latihan "Penanganan Keluhan"</t>
  </si>
  <si>
    <t>Melatih kemampuan menangani keluhan secara profesional dan empatik.</t>
  </si>
  <si>
    <t>Setiap kali menerima keluhan, praktikkan 4 langkah: dengarkan, akui perasaan, cari solusi, tindak lanjuti. Catat proses dan hasil.</t>
  </si>
  <si>
    <t>Log 20 keluhan; peningkatan kepuasan pelanggan setelah penanganan.</t>
  </si>
  <si>
    <t>80% keluhan terselesaikan
Review log oleh mentor</t>
  </si>
  <si>
    <t>Analisis "Keluhan sebagai Peluang"</t>
  </si>
  <si>
    <t>Mengubah keluhan menjadi peluang perbaikan sistem.</t>
  </si>
  <si>
    <t>Pilih 3 keluhan berulang. Analisis akar masalah dan buat rekomendasi perbaikan sistem agar keluhan tidak terulang.</t>
  </si>
  <si>
    <t>3 analisis; rekomendasi perbaikan sistem.</t>
  </si>
  <si>
    <t>Minimal 2 rekomendasi disetujui atasan untuk diterapkan, diuji coba, atau dimasukkan ke perbaikan proses layanan.</t>
  </si>
  <si>
    <t>Workshop "Decision Making Under Uncertainty &amp; Complaint Handling"</t>
  </si>
  <si>
    <t>Menguasai teknik pengambilan keputusan dengan data terbatas dan penanganan keluhan profesional.</t>
  </si>
  <si>
    <t>Pelatihan 2 hari tentang: decision-making frameworks, managing uncertainty, complaint handling, dan service recovery.</t>
  </si>
  <si>
    <t>Sertifikat; rencana aksi penanganan keluhan untuk tim.</t>
  </si>
  <si>
    <t>Kursus Online "Complaint Management &amp; Service Recovery"</t>
  </si>
  <si>
    <t>Mempelajari sistem penanganan keluhan dan pemulihan layanan.</t>
  </si>
  <si>
    <t>Selesaikan kursus online (6-8 jam) tentang complaint management, service recovery strategies, dan turning complaints into opportunities.</t>
  </si>
  <si>
    <t>Sertifikat; proposal sistem penanganan keluhan untuk unit.</t>
  </si>
  <si>
    <t>Proposal disetujui oleh atasan, masuk dalam SOP atau digunakan tim.</t>
  </si>
  <si>
    <t>Micro-learning "Data-Driven Decision Making with Limited Data"</t>
  </si>
  <si>
    <t>Belajar teknik decision-making dengan data terbatas.</t>
  </si>
  <si>
    <t>Selesaikan modul online (2-3 jam) tentang heuristics, satisficing, dan incremental decision-making.</t>
  </si>
  <si>
    <t>Sertifikat; panduan pengambilan keputusan dengan data terbatas.</t>
  </si>
  <si>
    <t>Panduan mendapat skor ≥4 dari atasan dan digunakan minimal 1 kali oleh tim dalam pengambilan keputusan pelanggan.</t>
  </si>
  <si>
    <t>"Complaint Circle" dengan Peer Unit Head</t>
  </si>
  <si>
    <t>Berbagi pengalaman dan strategi penanganan keluhan.</t>
  </si>
  <si>
    <t>Bentuk circle 3 Unit Head. Setiap 2 bulan, satu orang memaparkan kasus keluhan sulit. Anggota lain berbagi strategi.</t>
  </si>
  <si>
    <t>6 sesi; catatan strategi; umpan balik dari pemapar.</t>
  </si>
  <si>
    <t>Minimal 3 strategi service recovery diterapkan pada kasus pelanggan nyata dan didukung oleh log penerapan atau feedback pelanggan/atasan.</t>
  </si>
  <si>
    <t>"Shadowing" – Mengamati Atasan dalam 2 Penanganan Keluhan</t>
  </si>
  <si>
    <t>Belajar bagaimana pemimpin senior menangani keluhan sulit.</t>
  </si>
  <si>
    <t>Minta izin atasan untuk mengamati 2 sesi penanganan keluhan. Catat: pendekatan, teknik de-eskalasi, dan resolusi.</t>
  </si>
  <si>
    <t>Minimal 2 teknik hasil shadowing diterapkan dalam penanganan keluhan dan divalidasi oleh atasan.</t>
  </si>
  <si>
    <t>Umpan Balik 360° tentang "Penanganan Keluhan &amp; Keputusan"</t>
  </si>
  <si>
    <t>Mengukur persepsi tentang kemampuan Anda menangani keluhan dan keputusan.</t>
  </si>
  <si>
    <t>Kuesioner: "Dia menangani keluhan secara profesional", "Dia mengambil keputusan tepat meskipun data terbatas". Pre &amp; post dari minimal 5 responden.</t>
  </si>
  <si>
    <t>Menangani 3 Keluhan Sulit dari Awal hingga Tuntas</t>
  </si>
  <si>
    <t>Mempraktikkan penanganan keluhan profesional dalam situasi nyata.</t>
  </si>
  <si>
    <t>Ambil tanggung jawab penuh untuk 3 keluhan sulit. Dari penerimaan, analisis, resolusi, hingga tindak lanjut. Dokumentasikan proses.</t>
  </si>
  <si>
    <t>3 laporan kasus; umpan balik pelanggan; refleksi.</t>
  </si>
  <si>
    <t>3 keluhan terselesaikan dengan kepuasan pelanggan ≥4.
Review progres oleh atasan</t>
  </si>
  <si>
    <t>Membuat "Service Recovery Protocol" untuk Tim</t>
  </si>
  <si>
    <t>Menginternalisasi penanganan keluhan dengan membuat sistem.</t>
  </si>
  <si>
    <t>Rancang protokol pemulihan layanan untuk tim: langkah-langkah, eskalasi, dan standar respons. Sosialisasikan ke tim.</t>
  </si>
  <si>
    <t>Protokol; dokumentasi sosialisasi; umpan balik tim.</t>
  </si>
  <si>
    <t>Protokol disosialisasikan kepada tim, digunakan minimal pada 1 kasus layanan, dan mendapat skor manfaat ≥4 dari atasan/tim.</t>
  </si>
  <si>
    <t>Mengambil 3 Keputusan Pelanggan dengan Data Terbatas</t>
  </si>
  <si>
    <t>Mempraktikkan decision-making dalam situasi ketidakpastian.</t>
  </si>
  <si>
    <t>Pilih 3 situasi di mana data pelanggan tidak lengkap tetapi keputusan harus diambil. Dokumentasikan proses dan hasilnya.</t>
  </si>
  <si>
    <t>3 laporan keputusan; umpan balik pelanggan; refleksi.</t>
  </si>
  <si>
    <t>3 keputusan divalidasi oleh atasan sebagai tepat berdasarkan data yang tersedia, menghasilkan tindak lanjut yang jelas.</t>
  </si>
  <si>
    <t>Jurnal "Fokus di Tengah Tekanan" Mingguan</t>
  </si>
  <si>
    <t>Melatih kemampuan tetap fokus pada pelanggan dalam situasi tekanan.</t>
  </si>
  <si>
    <t>Setiap minggu, catat 1 situasi tekanan yang mempengaruhi fokus pada pelanggan. Tulis: apa tekanannya, bagaimana Anda tetap fokus, apa hasilnya.</t>
  </si>
  <si>
    <t>Jurnal mingguan (20 entri); peningkatan ketahanan dalam tekanan.</t>
  </si>
  <si>
    <t>Minimal 80% dari kasus tekanan yang terdokumentasi menunjukkan keputusan/tindakan yang tetap mempertimbangkan kebutuhan pelanggan, berdasarkan review mentor.</t>
  </si>
  <si>
    <t>Latihan "Menjaga Hubungan"</t>
  </si>
  <si>
    <t>Melatih kebiasaan membangun dan memelihara hubungan pelanggan jangka panjang.</t>
  </si>
  <si>
    <t>Setiap bulan, lakukan 1 aktivitas untuk memelihara hubungan dengan pelanggan (misal: check-in, kirim artikel relevan, undang diskusi). Catat aktivitas dan respons.</t>
  </si>
  <si>
    <t>Log 12 aktivitas pemeliharaan hubungan; peningkatan loyalitas pelanggan.</t>
  </si>
  <si>
    <t>Minimal 80% aktivitas hubungan pelanggan mendapat skor ≥4 dari pelanggan/stakeholder pada aspek kejelasan komunikasi, responsivitas, dan kualitas hubungan.</t>
  </si>
  <si>
    <t>Analisis "Tekanan vs Kepentingan Pelanggan"</t>
  </si>
  <si>
    <t>Mengidentifikasi situasi di mana tekanan internal mengancam kepentingan pelanggan.</t>
  </si>
  <si>
    <t>Pilih 3 situasi di mana tekanan internal (target, deadline) berpotensi mengorbankan kepentingan pelanggan. Analisis dan buat rekomendasi keseimbangan.</t>
  </si>
  <si>
    <t>3 analisis; rekomendasi; presentasi ke atasan.</t>
  </si>
  <si>
    <t>Minimal 2 rekomendasi disetujui untuk diterapkan atau diuji coba dalam pengelolaan layanan pelanggan.</t>
  </si>
  <si>
    <t>Workshop "Customer Relationship Management &amp; Resilience"</t>
  </si>
  <si>
    <t>Menguasai strategi membangun hubungan pelanggan jangka panjang dan ketahanan dalam tekanan.</t>
  </si>
  <si>
    <t>Pelatihan 2 hari tentang: CRM strategies, building trust, resilience under pressure, dan long-term value creation.</t>
  </si>
  <si>
    <t>Sertifikat; rencana hubungan jangka panjang untuk 3 pelanggan kunci.</t>
  </si>
  <si>
    <t>Kursus Online "Strategic Account Management"</t>
  </si>
  <si>
    <t>Mempelajari manajemen pelanggan strategis dan hubungan jangka panjang.</t>
  </si>
  <si>
    <t>Selesaikan kursus online (6-8 jam) tentang strategic account management, value selling, dan relationship building.</t>
  </si>
  <si>
    <t>Sertifikat; rencana manajemen untuk 1 pelanggan strategis.</t>
  </si>
  <si>
    <t>Rencana untuk 1 pelanggan strategis mendapat skor ≥4 dari atasan pada aspek pemahaman pelanggan, nilai tambah jangka panjang, dan kelayakan implementasi.</t>
  </si>
  <si>
    <t>Micro-learning "Resilience &amp; Stress Management for Leaders"</t>
  </si>
  <si>
    <t>Belajar tentang ketahanan dan manajemen stres dalam menjaga fokus pelanggan.</t>
  </si>
  <si>
    <t>Selesaikan modul online (2-3 jam) tentang resilience, stress management, dan mindfulness untuk pemimpin.</t>
  </si>
  <si>
    <t>Sertifikat; rencana pengelolaan stres pribadi.</t>
  </si>
  <si>
    <t>Minimal 2 dari 3 action plan dijalankan dan divalidasi oleh atasan/mentor.</t>
  </si>
  <si>
    <t>"Relationship Circle" dengan Peer Department Head</t>
  </si>
  <si>
    <t>Berbagi praktik membangun hubungan pelanggan jangka panjang.</t>
  </si>
  <si>
    <t>Bentuk circle 3 Department Head. Setiap 2 bulan, masing-masing berbagi 1 praktik membangun hubungan pelanggan yang berhasil.</t>
  </si>
  <si>
    <t>6 sesi; catatan praktik terbaik; umpan balik dari circle.</t>
  </si>
  <si>
    <t>Minimal 3 praktik terbaik dipilih, diterapkan dalam pengelolaan pelanggan, dan didokumentasikan hasil penerapannya.</t>
  </si>
  <si>
    <t>"Shadowing" – Mengamati Atasan dalam 2 Interaksi Pelanggan</t>
  </si>
  <si>
    <t>Belajar bagaimana pemimpin senior membangun hubungan jangka panjang.</t>
  </si>
  <si>
    <t>Minta izin atasan untuk mengamati 2 interaksi dengan pelanggan kunci. Catat: pendekatan, bahasa, dan strategi membangun kepercayaan.</t>
  </si>
  <si>
    <t>Minimal 3 teknik relationship management diterapkan dalam interaksi pelanggan dan divalidasi oleh atasan.</t>
  </si>
  <si>
    <t>Umpan Balik 360° dari Pelanggan tentang "Hubungan Jangka Panjang"</t>
  </si>
  <si>
    <t>Mengukur persepsi pelanggan tentang kualitas hubungan.</t>
  </si>
  <si>
    <t>Kuesioner: "Saya percaya pada komitmen jangka panjang", "Dia tetap fokus pada kebutuhan saya meskipun ada tekanan". Pre &amp; post dari 4 pelanggan.</t>
  </si>
  <si>
    <t>Membangun Hubungan Jangka Panjang dengan 3 Pelanggan Kunci</t>
  </si>
  <si>
    <t>Mempraktikkan pembangunan hubungan pelanggan jangka panjang.</t>
  </si>
  <si>
    <t>Identifikasi 3 pelanggan kunci. Buat rencana hubungan 6 bulan: frekuensi kontak, nilai tambah, dan strategi membangun kepercayaan. Implementasikan.</t>
  </si>
  <si>
    <t>Rencana hubungan; log implementasi; umpan balik pelanggan.</t>
  </si>
  <si>
    <t>3 pelanggan memberi skor ≥4 untuk "kualitas hubungan".
Review progres oleh atasan</t>
  </si>
  <si>
    <t>Mempertahankan Fokus Pelanggan dalam 1 Situasi Tekanan Tinggi</t>
  </si>
  <si>
    <t>Mempraktikkan fokus pada pelanggan dalam tekanan nyata.</t>
  </si>
  <si>
    <t>Pilih 1 situasi tekanan tinggi (deadline, krisis, konflik internal). Dokumentasikan bagaimana Anda tetap fokus pada kepentingan pelanggan.</t>
  </si>
  <si>
    <t>Pelanggan memberi skor ≥4 untuk "fokus pada kebutuhan saya".
Review kasus oleh atasan</t>
  </si>
  <si>
    <t>Membuat "Customer Loyalty Program" untuk Unit</t>
  </si>
  <si>
    <t>Menginternalisasi hubungan jangka panjang dengan membuat program loyalitas.</t>
  </si>
  <si>
    <t>Rancang program loyalitas pelanggan untuk unit: manfaat, frekuensi, dan pengukuran. Implementasikan dan evaluasi.</t>
  </si>
  <si>
    <t>Program loyalitas; dokumentasi implementasi; data loyalitas.</t>
  </si>
  <si>
    <t>Program menunjukkan peningkatan pada minimal 1 indikator loyalitas pelanggan, misalnya repeat order, retensi pelanggan, penurunan keluhan, atau peningkatan skor kepuasan
Review program oleh atasan</t>
  </si>
  <si>
    <t>Jurnal "Insight Pelanggan Mingguan"</t>
  </si>
  <si>
    <t>Melatih kebiasaan mendengarkan suara pelanggan secara terstruktur.</t>
  </si>
  <si>
    <t>Setiap minggu, kumpulkan minimal 3 input pelanggan (komplain, pujian, saran, wawancara). Tulis: apa yang mereka katakan, kebutuhan di balik itu, dan implikasi strategis untuk divisi Anda.</t>
  </si>
  <si>
    <t>Jurnal mingguan (20 entri); pola kebutuhan yang teridentifikasi.</t>
  </si>
  <si>
    <t>80% minggu terisi dan minimal 4 entri strategis direview mentor/atasan sebagai insight yang relevan untuk keputusan divisi.</t>
  </si>
  <si>
    <t>Latihan "Dari Keluhan ke Strategi"</t>
  </si>
  <si>
    <t>Mengubah kebiasaan sekadar "menyelesaikan keluhan" menjadi "mencari akar masalah strategis".</t>
  </si>
  <si>
    <t>Setiap kali menerima keluhan pelanggan (internal/eksternal), tulis: akar masalah (bukan solusi instan), berapa banyak pelanggan lain yang mungkin mengalaminya, rekomendasi perubahan sistem.</t>
  </si>
  <si>
    <t>Log 20 keluhan; 5 rekomendasi perubahan sistem yang diusulkan ke atasan.</t>
  </si>
  <si>
    <t>Minimal 3 rekomendasi disetujui untuk diterapkan, diuji coba, atau dimasukkan ke agenda perbaikan sistem/proses divisi.</t>
  </si>
  <si>
    <t>Analisis "Voice of Customer" dari Data yang Ada</t>
  </si>
  <si>
    <t>Mengidentifikasi pola kebutuhan tersembunyi dari data yang tersedia (survei, keluhan, NPS).</t>
  </si>
  <si>
    <t>Ambil data pelanggan 6 bulan terakhir. Buat analisis: 3 temuan utama yang belum pernah diangkat ke strategi, dan rekomendasi tindakan.</t>
  </si>
  <si>
    <t>Laporan analisis; presentasi ke tim/atasan.</t>
  </si>
  <si>
    <t>Laporan mendapat skor ≥4 dari atasan</t>
  </si>
  <si>
    <t>Workshop "Customer-Centric Strategy: From Insights to Execution"</t>
  </si>
  <si>
    <t>Menguasai metode mengintegrasikan suara pelanggan ke dalam perencanaan strategis (VoC, JTBD, Customer Journey Mapping).</t>
  </si>
  <si>
    <t>Pelatihan 2 hari (16 jam) mencakup: teknik wawancara pelanggan, analisis sentimen, prioritisasi insight, penyusunan roadmap berbasis pelanggan.</t>
  </si>
  <si>
    <t>Sertifikat; rencana strategis divisi yang direvisi berdasarkan insight pelanggan.</t>
  </si>
  <si>
    <t>Rencana strategis disetujui atasan</t>
  </si>
  <si>
    <t>Kursus "Design Thinking for Leaders"</t>
  </si>
  <si>
    <t>Mempelajari pendekatan empati, definisi masalah, ideasi, prototipe, dan uji coba solusi dengan pelanggan.</t>
  </si>
  <si>
    <t>Kursus online/offline minimal 10 jam. Terapkan 1 siklus design thinking pada masalah nyata divisi.</t>
  </si>
  <si>
    <t>Sertifikat; laporan penerapan (wawancara 4 pelanggan, prototipe, hasil uji).</t>
  </si>
  <si>
    <t>1 siklus design thinking selesai, mencakup wawancara minimal 4 pelanggan, prototipe solusi, uji coba, dan hasil before-after yang terdokumentasi.</t>
  </si>
  <si>
    <t>Micro-learning "NPS, CES, CSAT – Beyond the Numbers"</t>
  </si>
  <si>
    <t>Belajar membaca data kepuasan pelanggan secara kualitatif, mengidentifikasi driver tersembunyi.</t>
  </si>
  <si>
    <t>Selesaikan modul 2 jam. Ambil data NPS divisi, analisis komentar terbuka, buat 3 rekomendasi strategis.</t>
  </si>
  <si>
    <t>Sertifikat; laporan rekomendasi; umpan balik dari tim strategi.</t>
  </si>
  <si>
    <t>Minimal 1 rekomendasi berbasis data NPS/satisfaction score dijalankan dan dievaluasi dampaknya dalam 1 siklus review.</t>
  </si>
  <si>
    <t>"Customer Voice Circle" dengan Division Head Lain</t>
  </si>
  <si>
    <t>Berbagi insight pelanggan lintas divisi untuk menemukan pola organisasi.</t>
  </si>
  <si>
    <t>Bentuk circle 4 Division Head. Setiap 2 minggu, masing-masing membawa 1 insight pelanggan baru. Diskusikan implikasi lintas divisi dan usulkan inisiatif bersama.</t>
  </si>
  <si>
    <t>8 sesi; minimal 2 inisiatif kolaborasi yang dijalankan; umpan balik dari circle.</t>
  </si>
  <si>
    <t>Minimal 2 inisiatif lintas divisi terealisasi dan memiliki PIC, timeline, serta bukti implementasi awal.</t>
  </si>
  <si>
    <t>"Shadowing" – Mengikuti Director dalam 2 Sesi Mendengarkan Pelanggan Langsung</t>
  </si>
  <si>
    <t>Belajar bagaimana pemimpin puncak menggali insight strategis dari pelanggan.</t>
  </si>
  <si>
    <t>Minta izin atasan untuk mengamati 2 pertemuan dengan pelanggan kunci (bisa via telepon, kunjungan, atau rapat). Catat pertanyaan yang diajukan, bagaimana menggali kebutuhan tersembunyi, dan tindak lanjut.</t>
  </si>
  <si>
    <t>2 laporan observasi; daftar 7 pertanyaan efektif; 3 pertanyaan diadopsi sendiri.</t>
  </si>
  <si>
    <t>Minimal 3 pertanyaan hasil shadowing digunakan dalam sesi pelanggan nyata dan menghasilkan insight baru yang terdokumentasi.</t>
  </si>
  <si>
    <t>Umpan Balik 360° dari Tim &amp; Atasan tentang "Seberapa sering suara pelanggan diwakilkan dalam keputusan strategis"</t>
  </si>
  <si>
    <t>Mengukur persepsi internal tentang customer-centricity Anda.</t>
  </si>
  <si>
    <t>Kuesioner: "Atasan saya menggunakan data pelanggan sebelum mengambil keputusan strategis", "Atasan saya membela kepentingan pelanggan meskipun ada tekanan internal". Pre &amp; post dari 5 responden.</t>
  </si>
  <si>
    <t>Memimpin "Customer Listening Tour" – Wawancara 10 Pelanggan dalam 3 Bulan</t>
  </si>
  <si>
    <t>Mendapatkan insight langsung dari pelanggan, bukan hanya dari laporan.</t>
  </si>
  <si>
    <t>Rencanakan dan lakukan wawancara mendalam dengan 10 pelanggan (dari segmen berbeda). Gunakan teknik wawancara eksploratif (bukan survei). Dokumentasikan temuan.</t>
  </si>
  <si>
    <t>Laporan listening tour; presentasi ke tim; 3 perubahan strategis yang diusulkan.</t>
  </si>
  <si>
    <t>Laporan Voice of Customer mendapat skor minimal ≥4 dari atasan pada aspek ketajaman insight, relevansi strategi, dan kelayakan implementasi.</t>
  </si>
  <si>
    <t>Menyusun Ulang 1 Proses Divisi Berbasis Suara Pelanggan</t>
  </si>
  <si>
    <t>Menerjemahkan insight menjadi perubahan nyata.</t>
  </si>
  <si>
    <t>Pilih satu proses divisi yang sering dikeluhkan pelanggan. Gunakan data wawancara Anda. Susun usulan perbaikan, uji coba, ukur dampak, lalu implementasikan.</t>
  </si>
  <si>
    <t>Dokumentasi sebelum-sesudah; data peningkatan kepuasan pelanggan; laporan implementasi.</t>
  </si>
  <si>
    <t>Terjadi peningkatan skor kepuasan ≥15% berdasarkan baseline dan post-evaluation setelah perbaikan proses diterapkan.</t>
  </si>
  <si>
    <t>Mempresentasikan "Customer Strategy Roadmap" ke Direksi</t>
  </si>
  <si>
    <t>Membela kepentingan pelanggan di level tertinggi organisasi.</t>
  </si>
  <si>
    <t>Berdasarkan semua insight yang terkumpul, buat presentasi strategis (10-15 slide) untuk direksi: kondisi terkini dari perspektif pelanggan, gap, rekomendasi perubahan, dan rencana implementasi.</t>
  </si>
  <si>
    <t>Presentasi; notulen rapat; tindak lanjut yang disetujui direksi.</t>
  </si>
  <si>
    <t>Minimal 2 rekomendasi disetujui untuk dijalankan</t>
  </si>
  <si>
    <t>Jurnal "Customer-Centric Leadership" Mingguan</t>
  </si>
  <si>
    <t>Merefleksikan bagaimana keputusan kepemimpinan mempengaruhi budaya customer-centric.</t>
  </si>
  <si>
    <t>Setiap minggu, catat 1 keputusan kepemimpinan. Tulis: bagaimana keputusan ini mempengaruhi customer-centricity organisasi, apakah sudah cukup berpihak pada pelanggan.</t>
  </si>
  <si>
    <t>Jurnal mingguan (20 entri); peningkatan kesadaran customer-centric.</t>
  </si>
  <si>
    <t>80% entri terisi dan minimal 4 keputusan strategis direview mentor/CEO dengan skor ≥4 pada aspek customer impact, strateg</t>
  </si>
  <si>
    <t>Latihan "Mendengar Suara Pelanggan"</t>
  </si>
  <si>
    <t>Memastikan suara pelanggan didengar di level tertinggi.</t>
  </si>
  <si>
    <t>Setiap bulan, luangkan waktu untuk mendengarkan langsung pelanggan (wawancara, observasi, atau review data). Catat insight dan implikasi strategis.</t>
  </si>
  <si>
    <t>Log 12 sesi mendengar pelanggan; laporan insight strategis.</t>
  </si>
  <si>
    <t>12 insight strategis terdokumentasi dan minimal 3 insight disetujui untuk masuk ke inisiatif, kebijakan, atau roadmap customer-centric organisasi.</t>
  </si>
  <si>
    <t>Analisis "Budaya Customer-Centric"</t>
  </si>
  <si>
    <t>Mengukur dan menganalisis tingkat customer-centricity organisasi.</t>
  </si>
  <si>
    <t>Lakukan audit budaya customer-centric di organisasi: survei, wawancara, observasi. Identifikasi kekuatan, kelemahan, dan rekomendasi.</t>
  </si>
  <si>
    <t>Laporan audit budaya; rekomendasi; presentasi ke direksi.</t>
  </si>
  <si>
    <t>Laporan audit disetujui CEO dan minimal 3 rekomendasi masuk ke rencana transformasi, program budaya, atau governance customer-centric.</t>
  </si>
  <si>
    <t>Program "Building a Customer-Centric Organization"</t>
  </si>
  <si>
    <t>Menguasai strategi membangun organisasi berpusat pada pelanggan.</t>
  </si>
  <si>
    <t>Program eksekutif 3-5 hari tentang: customer-centric culture, organizational transformation, dan customer-led strategy.</t>
  </si>
  <si>
    <t>Sertifikat; blueprint customer-centric transformation untuk organisasi.</t>
  </si>
  <si>
    <t>Blueprint mendapat skor ≥4 dari fasilitator/CEO pada aspek strategic alignment, culture change, governance, metric system, dan implementability.</t>
  </si>
  <si>
    <t>Kursus Online "Leading Customer-Centric Transformation"</t>
  </si>
  <si>
    <t>Mempelajari kepemimpinan transformasi menuju customer-centricity.</t>
  </si>
  <si>
    <t>Selesaikan kursus online (8-10 jam) tentang change management, cultural transformation, dan customer-centric leadership.</t>
  </si>
  <si>
    <t>Sertifikat; rencana transformasi customer-centric untuk organisasi.</t>
  </si>
  <si>
    <t>Rencana transformasi mendapat persetujuan CEO/direksi atau sponsor eksekutif, serta memiliki scope, milestone, PIC, dan indikator keberhasilan.</t>
  </si>
  <si>
    <t>Program "Chief Customer Officer (CCO) Immersion"</t>
  </si>
  <si>
    <t>Mempelajari peran dan tanggung jawab pemimpin customer-centric.</t>
  </si>
  <si>
    <t>Ikuti program immersion atau mentoring dengan CCO/pemimpin customer-centric dari organisasi lain.</t>
  </si>
  <si>
    <t>Laporan immersion; rekomendasi untuk organisasi.</t>
  </si>
  <si>
    <t>Minimal 3 rekomendasi hasil immersion disetujui untuk pilot, integrasi ke roadmap, atau penguatan sistem customer-centric organisasi.</t>
  </si>
  <si>
    <t>"Customer-Centric Circle" dengan Peer Director/CEO</t>
  </si>
  <si>
    <t>Berbagi praktik membangun budaya customer-centric.</t>
  </si>
  <si>
    <t>Bentuk circle 3 pemimpin puncak. Setiap 2 bulan, masing-masing berbagi 1 inisiatif customer-centric yang berhasil.</t>
  </si>
  <si>
    <t>Minimal 3 praktik terbaik diterapkan atau diuji coba dalam konteks organisasi dan didokumentasikan hasil awalnya.</t>
  </si>
  <si>
    <t>"Shadowing" – Mengamati CEO dalam 2 Interaksi Pelanggan</t>
  </si>
  <si>
    <t>Belajar bagaimana pemimpin puncak menunjukkan customer-centricity.</t>
  </si>
  <si>
    <t>Minta izin CEO untuk mengamati 2 interaksi dengan pelanggan kunci. Catat: pesan, perilaku, dan strategi membangun kepercayaan.</t>
  </si>
  <si>
    <t>Minimal 4 teknik customer-centric leadership diterapkan dalam forum pelanggan/strategic meeting dan divalidasi oleh CEO/mentor.</t>
  </si>
  <si>
    <t>Umpan Balik 360° tentang "Customer-Centric Leadership"</t>
  </si>
  <si>
    <t>Mengukur persepsi tentang kepemimpinan customer-centric Anda.</t>
  </si>
  <si>
    <t>Kuesioner: "Pemimpin ini menempatkan pelanggan di pusat keputusan", "Pemimpin ini menciptakan budaya customer-centric". Pre &amp; post dari 7 responden.</t>
  </si>
  <si>
    <t>Memimpin Transformasi Customer-Centric di 1 Divisi/Organisasi</t>
  </si>
  <si>
    <t>Menerapkan customer-centric transformation dalam skala nyata.</t>
  </si>
  <si>
    <t>Pilih 1 divisi (atau organisasi). Pimpin transformasi menuju customer-centricity: assessment, perencanaan, implementasi, evaluasi.</t>
  </si>
  <si>
    <t>Blueprint transformasi; dokumentasi implementasi; data dampak.</t>
  </si>
  <si>
    <t>Terjadi peningkatan minimal 15% pada indikator pelanggan yang disepakati, misalnya NPS/satisfaction score, complaint trend, retention, atau service quality index.
Review progres oleh CEO</t>
  </si>
  <si>
    <t>Membangun "Customer Metric System" untuk Organisasi</t>
  </si>
  <si>
    <t>Menciptakan sistem pengukuran yang berpusat pada pelanggan.</t>
  </si>
  <si>
    <t>Rancang dan implementasikan sistem metrik pelanggan yang komprehensif: Net Promoter Score (NPS), Customer Satisfaction Score (CSAT), Customer Effort Score (CES), churn, Lifetime Value (LTV). Integrasikan dengan sistem perencanaan kinerja.</t>
  </si>
  <si>
    <t>Sistem metrik; dashboard; laporan implementasi (minimal 6 bulan implementasi)</t>
  </si>
  <si>
    <t>Sistem metrik pelanggan disetujui CEO/direksi, digunakan minimal dalam 1 siklus review kinerja organisasi, dan mencakup minimal 3 metrik pelanggan utama seperti NPS, churn, atau complaint trend.</t>
  </si>
  <si>
    <t>Menyusun "Customer-Centric Strategy Roadmap" 3 Tahun</t>
  </si>
  <si>
    <t>Mengintegrasikan customer-centricity ke dalam strategi jangka panjang.</t>
  </si>
  <si>
    <t>Berdasarkan insight pelanggan dan analisis, susun roadmap strategis 3 tahun untuk menjadikan organisasi customer-centric. Presentasikan ke direksi.</t>
  </si>
  <si>
    <t>Roadmap strategis; presentasi; tindak lanjut.</t>
  </si>
  <si>
    <t>Roadmap mendapat persetujuan direksi.
Review roadmap oleh direksi</t>
  </si>
  <si>
    <t>Jurnal "Momen Berbagi Pengetahuan"</t>
  </si>
  <si>
    <t>Meningkatkan kesadaran akan peluang untuk berbagi pengetahuan dengan rekan kerja.</t>
  </si>
  <si>
    <t>Setiap kali Anda membantu rekan kerja (menjawab pertanyaan, menjelaskan cara kerja, dll.), catat situasi, apa yang Anda bagikan, dan bagaimana reaksi rekan Anda.</t>
  </si>
  <si>
    <t>Jurnal mingguan (24 entri) ; identifikasi pola peluang berbagi yang terlewatkan.</t>
  </si>
  <si>
    <t>Minimal 80% entri terisi, dan minimal 4 entri direview mentor sebagai contoh berbagi pengetahuan yang jelas, relevan, dan membantu rekan kerja.</t>
  </si>
  <si>
    <t>Latihan "Memberi Instruksi yang Jelas"</t>
  </si>
  <si>
    <t>Melatih kemampuan memberikan instruksi secara terstruktur dan mudah dipahami.</t>
  </si>
  <si>
    <t>Pilih satu prosedur atau tugas yang Anda kuasai. Tulis instruksi langkah demi langkah dalam bahasa sederhana. Berikan kepada rekan kerja dan minta mereka mengikuti instruksi tersebut tanpa bantuan Anda.</t>
  </si>
  <si>
    <t>3 set instruksi tertulis; umpan balik dari rekan tentang kejelasan instruksi.</t>
  </si>
  <si>
    <t>Rata-rata skor kejelasan instruksi ≥4 dari 5 dari rekan kerja; minimal 2 dari 3 instruksi berhasil diikuti rekan tanpa bantuan tambahan.
Revisi instruksi berdasarkan umpan balik rekan.</t>
  </si>
  <si>
    <t>Refleksi "Menerima Umpan Balik"</t>
  </si>
  <si>
    <t>Mengembangkan keterbukaan terhadap kritik sebagai fondasi untuk dapat memberikan umpan balik kepada orang lain.</t>
  </si>
  <si>
    <t>Setiap kali menerima umpan balik (formal atau informal), catat: apa umpan baliknya, reaksi awal Anda, dan bagaimana Anda akan menindaklanjutinya.</t>
  </si>
  <si>
    <t>Log minimal 15 entri umpan balik; catatan tentang peningkatan respons terhadap kritik.</t>
  </si>
  <si>
    <t>Rata-rata skor keterbukaan terhadap feedback meningkat dari baseline ke ≥4, berdasarkan self-review dan validasi mentor.</t>
  </si>
  <si>
    <t>Workshop "Coaching &amp; Developing Others for Beginners"</t>
  </si>
  <si>
    <t>Memahami konsep dasar pengembangan orang lain dan teknik memberikan umpan balik yang konstruktif.</t>
  </si>
  <si>
    <t>Pelatihan 1 hari (8 jam) mencakup: pentingnya mengembangkan orang lain, cara memberikan instruksi yang efektif, dan teknik memberikan umpan balik yang membangun.</t>
  </si>
  <si>
    <t>Sertifikat; rencana aksi untuk menerapkan 2 teknik dalam pekerjaan sehari-hari.</t>
  </si>
  <si>
    <t>Lulus role-play dengan skor minimal 80.
Evaluasi oleh fasilitator saat role-play.</t>
  </si>
  <si>
    <t>Kursus Online "Giving and Receiving Feedback"</t>
  </si>
  <si>
    <t>Mempelajari model-model umpan balik (seperti SBI) dan cara menyampaikannya dengan efektif.</t>
  </si>
  <si>
    <t>Selesaikan kursus online (4 jam) tentang teknik memberikan umpan balik yang spesifik, tepat waktu, dan membangun.</t>
  </si>
  <si>
    <t>Sertifikat; laporan penerapan 2 teknik umpan balik dalam situasi nyata.</t>
  </si>
  <si>
    <t>2 teknik feedback diterapkan dalam situasi kerja nyata dan divalidasi atasan dengan skor ≥4.</t>
  </si>
  <si>
    <t>Micro-learning "On-the-Job Training (OJT) Techniques"</t>
  </si>
  <si>
    <t>Mempelajari cara efektif untuk mengajar dan membimbing rekan kerja di tempat kerja.</t>
  </si>
  <si>
    <t>Selesaikan modul online (2 jam) tentang teknik pelatihan di tempat kerja, seperti "tell-show-do-review".</t>
  </si>
  <si>
    <t>Sertifikat; panduan singkat "Cara Melatih Rekan Kerja" yang dapat dibagikan ke tim.</t>
  </si>
  <si>
    <t>Panduan mendapat skor ≥4 dari atasan pada aspek kejelasan, kemudahan digunakan, dan relevansi untuk melatih rekan kerja.</t>
  </si>
  <si>
    <t>Program "Peer Learning Buddy"</t>
  </si>
  <si>
    <t>Mempraktikkan peran sebagai pembimbing dan pembelajar dalam lingkungan yang aman.</t>
  </si>
  <si>
    <t>Berpasangan dengan 1 rekan setingkat. Selama program, bergiliran mengajarkan satu keterampilan atau pengetahuan baru kepada pasangan Anda.</t>
  </si>
  <si>
    <t>8 sesi; catatan tentang apa yang diajarkan dan dipelajari; umpan balik dari pasangan.</t>
  </si>
  <si>
    <t>Minimal 6 dari 8 sesi terlaksana, pasangan memberi skor manfaat ≥4, dan terdapat catatan pembelajaran setiap sesi.</t>
  </si>
  <si>
    <t>Observasi "Shadowing Mentor"</t>
  </si>
  <si>
    <t>Belajar dari teladan langsung bagaimana seorang senior/atasan mengembangkan orang lain.</t>
  </si>
  <si>
    <t>Minta izin untuk mengamati 2 sesi coaching atau mentoring yang dilakukan oleh atasan atau senior. Catat teknik dan pendekatan yang mereka gunakan.</t>
  </si>
  <si>
    <t>2 laporan observasi; daftar 5 teknik yang dapat diadopsi.</t>
  </si>
  <si>
    <t>Minimal 2 teknik hasil shadowing diterapkan dalam interaksi dengan rekan kerja dan didukung log penerapan atau review atasan.</t>
  </si>
  <si>
    <t>Umpan Balik 360° tentang "Dukungan terhadap Rekan Kerja"</t>
  </si>
  <si>
    <t>Mengukur persepsi rekan kerja tentang seberapa besar Anda membantu dan mendukung mereka.</t>
  </si>
  <si>
    <t>Minta 4 rekan kerja (setingkat dan senior) untuk menilai (anonim) seberapa sering Anda berbagi pengetahuan, memberikan bantuan, dan memberikan umpan balik yang membangun. Pre &amp; post.</t>
  </si>
  <si>
    <t>Dua laporan (pre &amp; post); target peningkatan rata-rata ≥1 poin.</t>
  </si>
  <si>
    <t>Peningkatan rata-rata ≥1 poin.
Dokumentasi dan analisis hasil pre dan post.</t>
  </si>
  <si>
    <t>Menjadi "Buddy" untuk Karyawan Baru/Magang (3 bulan)</t>
  </si>
  <si>
    <t>Mempraktikkan peran sebagai pembimbing bagi rekan baru.</t>
  </si>
  <si>
    <t>Tugaskan sebagai buddy untuk 1 karyawan baru atau magang selama 3 bulan pertama mereka. Bantu mereka beradaptasi, pahami pekerjaan, dan selesaikan tugas-tugas awal.</t>
  </si>
  <si>
    <t>Rencana orientasi; log pertemuan mingguan; umpan balik dari karyawan baru.</t>
  </si>
  <si>
    <t>laporan log 12 entri ; Karyawan baru/magang memberikan skor kepuasan ≥4 dari 5 untuk dukungan yang diberikan.
Review log dan umpan balik oleh atasan.</t>
  </si>
  <si>
    <t>Membuat &amp; Memberikan 1 Sesi "Sharing Session" untuk Tim</t>
  </si>
  <si>
    <t>Berbagi pengetahuan atau keterampilan spesifik dengan tim yang lebih luas.</t>
  </si>
  <si>
    <t>Identifikasi 1 topik yang Anda kuasai dan bermanfaat bagi tim. Buat materi dan sampaikan dalam sesi berbagi pengetahuan (30-60 menit).</t>
  </si>
  <si>
    <t>Materi presentasi; dokumentasi sesi; umpan balik dari peserta.</t>
  </si>
  <si>
    <t>Rata-rata skor kebermanfaatan dari peserta ≥4 dari 5.
Review materi dan umpan balik oleh atasan.</t>
  </si>
  <si>
    <t>Membantu Rekan Kerja Menyelesaikan 1 Proyek/Tugas Sulit</t>
  </si>
  <si>
    <t>Memberikan dukungan aktif dan bimbingan kepada rekan yang membutuhkan bantuan.</t>
  </si>
  <si>
    <t>Identifikasi 1 rekan kerja yang sedang kesulitan dengan proyek atau tugas. Tawarkan bantuan secara sukarela, bimbing mereka, dan bantu mereka menyelesaikannya.</t>
  </si>
  <si>
    <t>Dokumentasi proses bimbingan; umpan balik dari rekan yang dibantu.</t>
  </si>
  <si>
    <t>Rekan yang dibantu menyatakan bahwa bantuan Anda sangat membantu (skor ≥4 dari 5) dan proyek/tugas berhasil diselesaikan.
Review dokumentasi dan umpan balik oleh atasan.</t>
  </si>
  <si>
    <t>Jurnal "Observasi Rekan Kerja"</t>
  </si>
  <si>
    <t>Melatih kebiasaan mengamati kinerja dan perilaku rekan secara objektif.</t>
  </si>
  <si>
    <t>Setiap minggu, pilih 1 rekan kerja. Amati cara mereka bekerja, kekuatan yang terlihat, dan tantangan yang mereka hadapi. Catat tanpa menghakimi.</t>
  </si>
  <si>
    <t>Jurnal mingguan (16 entri); pola kekuatan &amp; kelemahan yang teridentifikasi.</t>
  </si>
  <si>
    <t>80% jurnal terisi dan minimal 4 entri mendapat skor ≥4 dari mentor pada aspek objektivitas, spesifik, dan bebas asumsi.</t>
  </si>
  <si>
    <t>Latihan "Memberi Umpan Balik Spesifik"</t>
  </si>
  <si>
    <t>Melatih kemampuan memberikan umpan balik yang konstruktif berdasarkan pengamatan.</t>
  </si>
  <si>
    <t>Setelah mengamati rekan kerja, berikan umpan balik spesifik dengan format: "Saya melihat [perilaku], dampaknya [hasil], saran saya [perbaikan]."</t>
  </si>
  <si>
    <t>Log 12 umpan balik; respons dari rekan yang diberi umpan balik.</t>
  </si>
  <si>
    <t>Minimal 8 dari 12 feedback mendapat respons penerima dengan skor ≥4 pada aspek kejelasan, relevansi, dan manfaat.</t>
  </si>
  <si>
    <t>Analisis "Kekuatan Tim"</t>
  </si>
  <si>
    <t>Mengidentifikasi pola kekuatan dan kelemahan dalam tim secara keseluruhan.</t>
  </si>
  <si>
    <t>Buat peta kekuatan-kelemahan untuk tim Anda (6 orang) berdasarkan pengamatan. Identifikasi pola dan rekomendasi pemanfaatan.</t>
  </si>
  <si>
    <t>Peta kekuatan tim; rekomendasi pembagian tugas berbasis kekuatan.</t>
  </si>
  <si>
    <t>Peta kekuatan tim mendapat skor ≥4 dari atasan dan minimal 1 rekomendasi digunakan dalam pembagian tugas/proyek.</t>
  </si>
  <si>
    <t>Workshop "Giving Constructive Feedback"</t>
  </si>
  <si>
    <t>Menguasai teknik memberikan umpan balik yang membangun dan spesifik.</t>
  </si>
  <si>
    <t>Pelatihan 1 hari tentang model umpan balik (SBI, Pendekatan 360°, feedback sandwich yang efektif).</t>
  </si>
  <si>
    <t>Sertifikat; rencana aksi penerapan 3 teknik feedback.</t>
  </si>
  <si>
    <t>Lulus role-play dengan skor minimal 80.
Evaluasi oleh fasilitator/mentor</t>
  </si>
  <si>
    <t>Kursus Online "People Analytics &amp; Performance Observation"</t>
  </si>
  <si>
    <t>Mempelajari cara mengamati dan menganalisis kinerja orang lain secara objektif.</t>
  </si>
  <si>
    <t>Selesaikan kursus online (4 jam) tentang performance observation, bias dalam penilaian, dan dokumentasi kinerja.</t>
  </si>
  <si>
    <t>Sertifikat; template observasi kinerja yang akan digunakan.</t>
  </si>
  <si>
    <t>Template digunakan minimal pada 3 observasi kinerja dan mendapat skor manfaat ≥4 dari atasan.</t>
  </si>
  <si>
    <t>Micro-learning "Strengths-Based Development"</t>
  </si>
  <si>
    <t>Belajar pendekatan pengembangan berbasis kekuatan (strengths-based approach).</t>
  </si>
  <si>
    <t>Selesaikan modul online (2 jam) tentang strengths-based development, cara mengidentifikasi kekuatan, dan aplikasinya di tempat kerja.</t>
  </si>
  <si>
    <t>Sertifikat; daftar kekuatan 3 rekan kerja yang teridentifikasi.</t>
  </si>
  <si>
    <t>Minimal 3 kekuatan rekan kerja teridentifikasi dan divalidasi oleh atasan/rekan terkait dengan skor akurasi ≥4.</t>
  </si>
  <si>
    <t>"Observation Buddy" dengan Rekan</t>
  </si>
  <si>
    <t>Saling mengamati dan memberi umpan balik tentang kekuatan/kelemahan.</t>
  </si>
  <si>
    <t>Berpasangan dengan rekan. Saling mengamati selama 1 minggu, lalu beri umpan balik: 2 kekuatan dan 1 area pengembangan. Bergantian setiap bulan.</t>
  </si>
  <si>
    <t>6 sesi umpan balik; catatan refleksi; peningkatan akurasi observasi.</t>
  </si>
  <si>
    <t>Akurasi observasi meningkat minimal 1 poin berdasarkan review mentor/rekan menggunakan formulir observasi.</t>
  </si>
  <si>
    <t>"Shadowing" – Mengamati Atasan Memberi Umpan Balik</t>
  </si>
  <si>
    <t>Belajar dari teladan langsung bagaimana pemimpin memberikan umpan balik yang konstruktif.</t>
  </si>
  <si>
    <t>Minta izin atasan untuk mengamati 2 sesi pemberian umpan balik kepada bawahan. Catat teknik dan pendekatan yang digunakan.</t>
  </si>
  <si>
    <t>2 teknik berhasil diterapkan.
Laporan disetujui atasan</t>
  </si>
  <si>
    <t>Umpan Balik 360° tentang "Memberi Umpan Balik"</t>
  </si>
  <si>
    <t>Mengukur persepsi rekan tentang kualitas umpan balik yang Anda berikan.</t>
  </si>
  <si>
    <t>Kuesioner: "Umpan balik yang diberikan spesifik dan membantu", "Dia mengamati kinerja saya dengan baik". Pre &amp; post dari 5 responden.</t>
  </si>
  <si>
    <t>Menjadi "Observer" dalam Performance Review Tim</t>
  </si>
  <si>
    <t>Mempraktikkan observasi kinerja dalam setting formal.</t>
  </si>
  <si>
    <t>Minta izin untuk mengamati sesi performance review (minimal 3 orang). Catat kekuatan dan area pengembangan yang diidentifikasi. Bandingkan dengan penilaian atasan.</t>
  </si>
  <si>
    <t>3 laporan observasi; analisis kesamaan &amp; perbedaan dengan penilaian atasan.</t>
  </si>
  <si>
    <t>80% observasi sesuai dengan penilaian atasan.
Review laporan oleh atasan</t>
  </si>
  <si>
    <t>Membantu 1 Rekan Mengembangkan 1 Keterampilan</t>
  </si>
  <si>
    <t>Menerapkan pemahaman kekuatan/kelemahan untuk membantu orang lain berkembang.</t>
  </si>
  <si>
    <t>Identifikasi 1 rekan yang ingin mengembangkan keterampilan tertentu. Buat rencana pengembangan sederhana (3 bulan) dan bantu mereka mencapainya.</t>
  </si>
  <si>
    <t>Rencana pengembangan; log kemajuan; umpan balik dari rekan.</t>
  </si>
  <si>
    <t>Rekan menunjukkan peningkatan minimal 1 poin pada keterampilan yang dikembangkan atau menyelesaikan target keterampilan yang disepakati dalam rencana 3 bulan.</t>
  </si>
  <si>
    <t>Menyusun "Strengths Map" untuk Tim (5-7 orang)</t>
  </si>
  <si>
    <t>Menginternalisasi kemampuan memetakan kekuatan tim secara sistematis.</t>
  </si>
  <si>
    <t>Berdasarkan pengamatan dan wawancara singkat, buat peta kekuatan untuk tim Anda (3 orang). Presentasikan ke atasan dengan rekomendasi pembagian tugas.</t>
  </si>
  <si>
    <t>Peta kekuatan tim; presentasi; umpan balik atasan.</t>
  </si>
  <si>
    <t>Peta kekuatan mendapat skor ≥4 dari atasan dan minimal 2 rekomendasi digunakan dalam pembagian tugas, coaching, atau pengembangan tim.</t>
  </si>
  <si>
    <t>Jurnal "Peluang Belajar" Mingguan</t>
  </si>
  <si>
    <t>Melatih kebiasaan mengidentifikasi peluang pengembangan diri dan tim.</t>
  </si>
  <si>
    <t>Selama program, identifikasi 10 peluang belajar baru untuk diri sendiri dan 10 untuk tim. Tulis: apa yang bisa dipelajari, mengapa penting, dan bagaimana menerapkannya.</t>
  </si>
  <si>
    <t>Jurnal mingguan (16 entri); daftar peluang belajar yang diambil.</t>
  </si>
  <si>
    <t>80% minggu terisi dan minimal 10 peluang belajar ditindaklanjuti melalui aktivitas nyata, sharing, atau rencana pengembangan tim.</t>
  </si>
  <si>
    <t>Latihan "Belajar Hal Baru" Bulanan</t>
  </si>
  <si>
    <t>Menjadi role model pembelajaran berkelanjutan.</t>
  </si>
  <si>
    <t>Setiap bulan, pelajari 1 keterampilan atau pengetahuan baru (di luar pekerjaan rutin). Bagikan pembelajaran ke tim.</t>
  </si>
  <si>
    <t>6 keterampilan baru; catatan pembelajaran; bukti berbagi ke tim.</t>
  </si>
  <si>
    <t>Minimal 4 dari 6 bulan terdapat pembelajaran baru, dan minimal 2 pembelajaran dibagikan ke tim dengan bukti dokumentasi.</t>
  </si>
  <si>
    <t>Analisis "Kebutuhan Adaptasi Tim"</t>
  </si>
  <si>
    <t>Mengidentifikasi kebutuhan pengembangan tim berdasarkan perubahan lingkungan.</t>
  </si>
  <si>
    <t>Setiap kuartal, analisis perubahan di lingkungan kerja (teknologi, regulasi, pasar). Identifikasi 3 keterampilan yang perlu dikembangkan tim.</t>
  </si>
  <si>
    <t>4 analisis kuartalan; rekomendasi pengembangan tim.</t>
  </si>
  <si>
    <t>Minimal 3 rekomendasi disetujui untuk masuk ke rencana pelatihan, IDP, atau agenda pengembangan tim.</t>
  </si>
  <si>
    <t>Workshop "Learning Agility &amp; Adaptive Leadership"</t>
  </si>
  <si>
    <t>Memahami konsep learning agility dan cara mengembangkannya dalam tim.</t>
  </si>
  <si>
    <t>Pelatihan 1-2 hari tentang learning agility, growth mindset, dan adaptasi terhadap perubahan.</t>
  </si>
  <si>
    <t>Sertifikat; rencana pengembangan learning agility untuk tim.</t>
  </si>
  <si>
    <t>Lulus simulasi dengan skor minimal 80.
Evaluasi oleh fasilitator/mentor</t>
  </si>
  <si>
    <t>Kursus Online "Designing Learning Programs for Teams"</t>
  </si>
  <si>
    <t>Mempelajari cara merancang program pengembangan untuk tim.</t>
  </si>
  <si>
    <t>Selesaikan kursus online (6 jam) tentang analisis kebutuhan pelatihan, desain program, dan evaluasi pembelajaran.</t>
  </si>
  <si>
    <t>Sertifikat; rancangan program pelatihan untuk tim (3 bulan).</t>
  </si>
  <si>
    <t>Rancangan program pelatihan mendapat skor ≥4 dari atasan dan minimal 1 bagian program diuji coba atau dijadwalkan dalam rencana pengembangan tim.</t>
  </si>
  <si>
    <t>Micro-learning "Growth Mindset for Leaders"</t>
  </si>
  <si>
    <t>Mempelajari cara menumbuhkan mindset berkembang dalam tim.</t>
  </si>
  <si>
    <t>Selesaikan modul online (2 jam) tentang growth mindset, cara mengatasinya, dan cara menularkannya ke tim.</t>
  </si>
  <si>
    <t>Sertifikat; rencana 2 aktivitas untuk menumbuhkan growth mindset di tim.</t>
  </si>
  <si>
    <t>2 aktivitas dilaksanakan dan minimal 80% peserta/tim memberi skor ≥4 pada aspek manfaat dan relevansi.</t>
  </si>
  <si>
    <t>"Learning Circle" dengan Peer Unit Head</t>
  </si>
  <si>
    <t>Berbagi praktik pengembangan tim dan belajar dari sesama pemimpin.</t>
  </si>
  <si>
    <t>Bentuk circle 3 Unit Head. Setiap 2 bulan, masing-masing berbagi 1 inisiatif pengembangan tim yang berhasil.</t>
  </si>
  <si>
    <t>6 sesi; daftar praktik terbaik; umpan balik dari circle.</t>
  </si>
  <si>
    <t>Minimal 3 praktik terbaik dipilih dan minimal 1 praktik diterapkan dalam tim dengan dokumentasi hasil awal.</t>
  </si>
  <si>
    <t>Belajar bagaimana pemimpin senior mempertimbangkan berbagai perspektif sebelum memutuskan.</t>
  </si>
  <si>
    <t>Minta izin atasan untuk mengamati 2 proses pengambilan keputusan (rapat strategis, negosiasi). Catat: perspektif apa yang dipertimbangkan, bagaimana perbedaan dikelola.</t>
  </si>
  <si>
    <t>2 laporan observasi; daftar 2 teknik yang akan diadopsi.</t>
  </si>
  <si>
    <t>2 teknik berhasil diterapkan dalam pengambilan keputusan sendiri.
Laporan disetujui oleh atasan</t>
  </si>
  <si>
    <t>Umpan Balik 360° tentang "Mendorong Pengembangan"</t>
  </si>
  <si>
    <t>Mengukur persepsi tim tentang seberapa besar Anda mendorong pengembangan mereka.</t>
  </si>
  <si>
    <t>Kuesioner: "Atasan saya mendorong saya untuk terus belajar", "Atasan saya membantu saya beradaptasi dengan perubahan". Pre &amp; post dari tim.</t>
  </si>
  <si>
    <t>Merancang &amp; Mengimplementasikan 1 Program Pelatihan untuk Tim</t>
  </si>
  <si>
    <t>Menerapkan kemampuan merancang pengembangan tim.</t>
  </si>
  <si>
    <t>Identifikasi 1 kebutuhan pelatihan tim. Rancang program (3-6 bulan), implementasikan, dan evaluasi hasilnya.</t>
  </si>
  <si>
    <t>Proposal pelatihan; dokumentasi implementasi; laporan evaluasi.</t>
  </si>
  <si>
    <t>Program menunjukkan peningkatan minimal 1 poin pada pre-post assessment peserta atau minimal 80% peserta mencapai target pembelajaran.</t>
  </si>
  <si>
    <t>Membuat "Learning Plan" untuk 3 Anggota Tim</t>
  </si>
  <si>
    <t>Mempraktikkan penyusunan rencana pengembangan individu.</t>
  </si>
  <si>
    <t>Untuk 3 anggota tim, buat rencana pengembangan individual (IDP) yang mencakup keterampilan teknis &amp; non-teknis untuk 6 bulan ke depan.</t>
  </si>
  <si>
    <t>3 IDP; log kemajuan; umpan balik dari anggota tim.</t>
  </si>
  <si>
    <t>3 IDP dijalankan, minimal 2 dari 3 anggota tim mencapai milestone pengembangan yang disepakati, dan progress divalidasi atasan.</t>
  </si>
  <si>
    <t>Memimpin "Learning Festival" Internal (1 hari)</t>
  </si>
  <si>
    <t>Menciptakan budaya belajar dalam tim/unit.</t>
  </si>
  <si>
    <t>Rancang dan pimpin acara belajar 1 hari untuk tim (minimal 3 sesi berbagai topik). Libatkan anggota tim sebagai fasilitator.</t>
  </si>
  <si>
    <t>Dokumentasi acara; umpan balik peserta; rencana tindak lanjut.</t>
  </si>
  <si>
    <t>Minimal 3 sesi terlaksana, minimal 80% peserta hadir, dan rata-rata skor kepuasan peserta ≥4.</t>
  </si>
  <si>
    <t>Jurnal "Dampak Perilaku" Harian</t>
  </si>
  <si>
    <t>Meningkatkan kesadaran tentang dampak tindakan sendiri terhadap orang lain.</t>
  </si>
  <si>
    <t>Setiap minggu, catat 1 interaksi dengan anggota tim./rekan. Tulis: apa yang saya lakukan/katakan, bagaimana reaksi mereka, apa dampaknya terhadap motivasi/perkembangan mereka.</t>
  </si>
  <si>
    <t>Jurnal mingguan; pola dampak perilaku yang teridentifikasi.</t>
  </si>
  <si>
    <t>Minimal 20 entri refleksi selama program, minimal 4 entri direview mentor, dan employee mampu mengidentifikasi minimal 3 pola dampak perilaku terhadap tim</t>
  </si>
  <si>
    <t>Latihan "Cek Dampak" Setelah Keputusan</t>
  </si>
  <si>
    <t>Membangun kebiasaan mengecek dampak keputusan terhadap orang lain.</t>
  </si>
  <si>
    <t>Setiap kali mengambil keputusan yang mempengaruhi tim, tanyakan ke 2 anggota tim: "Bagaimana keputusan ini mempengaruhi Anda?" Catat jawaban.</t>
  </si>
  <si>
    <t>Log 12 cek dampak; peningkatan kesadaran dampak.</t>
  </si>
  <si>
    <t>Minimal 12 cek dampak dilakukan, dan minimal 80% menghasilkan insight yang ditindaklanjuti atau menjadi bahan penyesuaian keputusan.</t>
  </si>
  <si>
    <t>Refleksi "Gaya Kepemimpinan &amp; Dampaknya"</t>
  </si>
  <si>
    <t>Mengidentifikasi bagaimana gaya kepemimpinan sendiri mempengaruhi orang lain.</t>
  </si>
  <si>
    <t>Setiap kuartal, refleksikan gaya kepemimpinan Anda. Tulis: apa dampak positif dan negatif gaya ini terhadap 3 anggota tim yang berbeda.</t>
  </si>
  <si>
    <t>4 refleksi kuartalan; rencana penyesuaian gaya.</t>
  </si>
  <si>
    <t>4 refleksi kuartalan selesai, minimal 3 penyesuaian gaya diterapkan, dan mendapat feedback positif dari anggota tim/atasan dengan skor ≥4.</t>
  </si>
  <si>
    <t>Workshop "Situational Leadership &amp; Impact Awareness"</t>
  </si>
  <si>
    <t>Memahami model kepemimpinan situasional dan bagaimana gaya berbeda berdampak pada orang lain.</t>
  </si>
  <si>
    <t>Pelatihan 2 hari tentang Situational Leadership, emotional intelligence, dan impact awareness.</t>
  </si>
  <si>
    <t>Sertifikat; peta gaya kepemimpinan untuk 3 anggota tim berbeda.</t>
  </si>
  <si>
    <t>Kursus Online "Emotional Intelligence for Leaders"</t>
  </si>
  <si>
    <t>Mempelajari bagaimana kecerdasan emosional mempengaruhi kemampuan mengembangkan orang lain.</t>
  </si>
  <si>
    <t>Selesaikan kursus online (6-8 jam) tentang EQ, self-awareness, social awareness, dan relationship management.</t>
  </si>
  <si>
    <t>Sertifikat; rencana pengembangan EQ untuk 6 bulan ke depan.</t>
  </si>
  <si>
    <t>Minimal 2 dari 3 action plan EQ dijalankan, dievaluasi  dan divalidasi oleh atasan/mentor.</t>
  </si>
  <si>
    <t>Micro-learning "Psychological Safety &amp; tim Development"</t>
  </si>
  <si>
    <t>Belajar tentang pentingnya keamanan psikologis dalam pengembangan tim.</t>
  </si>
  <si>
    <t>Selesaikan modul online (2-3 jam) tentang psychological safety, dampaknya pada pembelajaran, dan cara membangunnya.</t>
  </si>
  <si>
    <t>Sertifikat; rencana 3 aksi untuk meningkatkan psychological safety di tim.</t>
  </si>
  <si>
    <t>3 aksi dilaksanakan dan minimal 80% anggota tim memberi skor ≥4 pada aspek keamanan psikologis/keterbukaan belajar.</t>
  </si>
  <si>
    <t>"Impact Circle" dengan Peer Department Head</t>
  </si>
  <si>
    <t>Berbagi dan menerima umpan balik tentang dampak perilaku terhadap orang lain.</t>
  </si>
  <si>
    <t>Bentuk circle 3 Department Head. Setiap 2 bulan, satu orang meminta umpan balik tentang dampak gaya kepemimpinannya.</t>
  </si>
  <si>
    <t>6 sesi; catatan umpan balik; rencana perbaikan.</t>
  </si>
  <si>
    <t>Minimal 3 feedback dari circle diterapkan dan terdokumentasi dalam perubahan perilaku kerja.</t>
  </si>
  <si>
    <t>"Shadowing" – Mengamati Atasan dalam 2 Interaksi</t>
  </si>
  <si>
    <t>Belajar bagaimana pemimpin senior menyadari dan menyesuaikan dampak perilakunya.</t>
  </si>
  <si>
    <t>Minta izin atasan untuk mengamati 2 interaksi (one-on-one, rapat). Catat bagaimana ia menyesuaikan gaya berdasarkan orang dan situasi.</t>
  </si>
  <si>
    <t>Minimal 3 teknik hasil shadowing diterapkan dalam interaksi tim dan divalidasi atasan.</t>
  </si>
  <si>
    <t>Umpan Balik 360° tentang "Dampak Kepemimpinan"</t>
  </si>
  <si>
    <t>Mengukur persepsi tim tentang dampak gaya kepemimpinan Anda terhadap mereka.</t>
  </si>
  <si>
    <t>Kuesioner: "Atasan saya menyadari dampak perilakunya terhadap saya", "Atasan saya menyesuaikan gaya untuk mendukung perkembangan saya". Pre &amp; post dari tim.</t>
  </si>
  <si>
    <t>Peningkatan rata-rata ≥1 poin.
Dokumentasi hasil pre dan post.</t>
  </si>
  <si>
    <t>Menyesuaikan Gaya Kepemimpinan untuk 3 Anggota Tim Berbeda</t>
  </si>
  <si>
    <t>Mempraktikkan kesadaran dampak dengan menyesuaikan gaya untuk individu berbeda.</t>
  </si>
  <si>
    <t>Identifikasi 3 anggota tim dengan kebutuhan berbeda. Selama 6 bulan, terapkan gaya kepemimpinan yang berbeda untuk masing-masing. Dokumentasikan pendekatan dan hasilnya.</t>
  </si>
  <si>
    <t>Laporan 3 kasus; umpan balik dari anggota tim; refleksi.</t>
  </si>
  <si>
    <t>3 anggota tim menunjukkan peningkatan minimal 1 poin pada indikator kinerja, motivasi, atau engagement yang disepakati.</t>
  </si>
  <si>
    <t>Mengumpulkan &amp; Merespons Umpan Balik 360° (tindak lanjut)</t>
  </si>
  <si>
    <t>Menggunakan umpan balik untuk penyesuaian perilaku nyata.</t>
  </si>
  <si>
    <t>Setelah menerima hasil 360°, buat rencana perbaikan spesifik untuk 3 area yang paling rendah. Implementasikan dan evaluasi ulang setelah 3 bulan.</t>
  </si>
  <si>
    <t>Rencana perbaikan; log implementasi; evaluasi ulang.</t>
  </si>
  <si>
    <t>3 area perbaikan menunjukkan peningkatan minimal 1 poin pada evaluasi ulang.</t>
  </si>
  <si>
    <t>Membangun Budaya Umpan Balik dalam Tim</t>
  </si>
  <si>
    <t>Menciptakan lingkungan di mana anggota tim saling memberi umpan balik tentang dampak perilaku.</t>
  </si>
  <si>
    <t>Rancang dan implementasikan sistem umpan balik rutin dalam tim (misal: feedback after action review, peer feedback session).</t>
  </si>
  <si>
    <t>Sistem umpan balik; dokumentasi implementasi; umpan balik dari tim.</t>
  </si>
  <si>
    <t>Minimal 80% anggota tim berpartisipasi aktif dalam sistem feedback dan minimal 2 sesi feedback terdokumentasi berjalan.</t>
  </si>
  <si>
    <t>Jurnal "Pemicu Emosi dalam Mentoring" Harian</t>
  </si>
  <si>
    <t>Mengenali pola pemicu emosi negatif (frustrasi, kesal, cemas) saat membimbing anggota tim..</t>
  </si>
  <si>
    <t>Setiap kali melakukan sesi mentoring/coaching dengan anggota tim., catat: situasi apa yang membuat emosi Anda naik (misal: anggota tim. tidak mengikuti saran, mengulang kesalahan sama, menyalahkan orang lain). Identifikasi fisik (debar, tegang) dan pikiran otomatis.</t>
  </si>
  <si>
    <t>Jurnal minimal 20 entri; daftar 5 pemicu terbesar; rencana antisipasi untuk setiap pemicu.</t>
  </si>
  <si>
    <t>Minimal 20 entri selesai, 5 pemicu utama teridentifikasi, dan setiap pemicu memiliki rencana antisipasi yang direview mentor.</t>
  </si>
  <si>
    <t>Latihan "Jeda 10 Detik" Sebelum Merespons dalam Sesi Mentoring</t>
  </si>
  <si>
    <t>Melatih pengendalian impuls emosional agar respons lebih matang dan tidak reaktif.</t>
  </si>
  <si>
    <t>Dalam setiap sesi mentoring (1x/minggu), ketika Anda merasa emosi mulai naik (kesal, tidak sabar), jeda 10 detik (tarik napas, hitung dalam hati) sebelum merespons. Catat berapa kali berhasil vs gagal.</t>
  </si>
  <si>
    <t>Log keberhasilan; target peningkatan dari 50% menjadi 80% keberhasilan di bulan ke-2.</t>
  </si>
  <si>
    <t>Keberhasilan jeda respons mencapai ≥80% pada bulan ke-3 berdasarkan log refleksi dan minimal 1 validasi mentor/peer.</t>
  </si>
  <si>
    <t>Evaluasi Rekaman Sesi Mentoring (Fokus Ekspresi Emosi Verbal &amp; Nonverbal)</t>
  </si>
  <si>
    <t>Meningkatkan kesadaran terhadap nada suara, bahasa tubuh, dan pilihan kata yang mungkin tidak sesuai.</t>
  </si>
  <si>
    <t>Rekam (izin) 2 sesi mentoring per bulan (15-20 menit). Dengarkan kembali dan catat: berapa kali nada suara Anda meninggi, sarkastik, atau terkesan menghakimi? Bandingkan dengan persepsi Anda saat sesi berlangsung.</t>
  </si>
  <si>
    <t>12 analisis; grafik penurunan frekuensi respons emosional negatif; target penurunan 50% di bulan ke-6.</t>
  </si>
  <si>
    <t>Minimal 12 analisis selesai dan frekuensi respons emosional negatif turun ≥50% dibanding baseline.</t>
  </si>
  <si>
    <t>Workshop "Emotional Regulation for Leaders: Mentoring Under Pressure"</t>
  </si>
  <si>
    <t>Menguasai teknik regulasi emosi (cognitive reappraisal, mindfulness, distress tolerance) khusus untuk konteks mentoring karier.</t>
  </si>
  <si>
    <t>Pelatihan 2 hari (16 jam) mencakup: identifikasi emosi diri, teknik menenangkan diri dalam 60 detik, cara memberikan umpan balik sulit tanpa terbawa emosi, studi kasus mentoring untuk anggota tim. bermasalah.</t>
  </si>
  <si>
    <t>Sertifikat; rencana aksi 3 teknik regulasi emosi yang akan dipraktikkan dalam mentoring.</t>
  </si>
  <si>
    <t>Lulus simulasi (dinilai fasilitator, skor ≥80)</t>
  </si>
  <si>
    <t>Kursus Online "Advanced Coaching Skills for Senior Leaders" (dengan modul Emotional Self-Awareness)</t>
  </si>
  <si>
    <t>Mendalami keterampilan coaching yang membutuhkan kestabilan emosi mentor.</t>
  </si>
  <si>
    <t>Selesaikan kursus minimal 10 jam, fokus pada modul: managing your own emotions as a coach, giving feedback without triggering defensiveness, handling emotional coachees.</t>
  </si>
  <si>
    <t>Sertifikat; laporan penerapan 2 teknik coaching dalam sesi nyata dengan anggota tim., dilengkapi umpan balik anggota tim. tentang "seberapa tenang dan objektif mentor".</t>
  </si>
  <si>
    <t>2 sesi dengan skor anggota tim. ≥4 untuk "mentor mengelola emosinya dengan baik"</t>
  </si>
  <si>
    <t>Micro-learning "Mentoring for Career Resilience – Bukan Menyelamatkan"</t>
  </si>
  <si>
    <t>Belajar membedakan empati yang sehat vs over-identification (terbawa emosi anggota tim.).</t>
  </si>
  <si>
    <t>Selesaikan modul online (2 jam) tentang batasan profesional dalam mentoring, teknik menjaga jarak emosional yang sehat, serta cara tidak terbawa stres anggota tim..</t>
  </si>
  <si>
    <t>Sertifikat; studi kasus tertulis: analisis 2 situasi mentoring di mana Anda cenderung over-identify, dan bagaimana seharusnya merespons.</t>
  </si>
  <si>
    <t>Studi kasus mendapat skor ≥4 dari atasan pada aspek ketepatan analisis, batasan profesional, dan kualitas respons mentoring.</t>
  </si>
  <si>
    <t>"Peer Mentoring Circle" dengan Sesama Division Head (atau calon)</t>
  </si>
  <si>
    <t>Melatih regulasi emosi dalam memberikan umpan balik dan dukungan ke sesama pemimpin, belajar dari pengalaman mereka.</t>
  </si>
  <si>
    <t>Bentuk kelompok kecil (4 orang). Setiap 2 minggu, satu orang memaparkan tantangan mentoring yang memicu emosinya (misal: anggota tim. bintang tapi sulit diatur). Lainnya memberi umpan balik dengan fokus pada: "Apa yang bisa kamu kendalikan dari emosimu sendiri?" Bukan memberi solusi teknis.</t>
  </si>
  <si>
    <t>12 sesi; catatan refleksi pribadi tentang emosi yang muncul saat memberi/menerima umpan balik; umpan balik dari circle tentang kemampuan Anda tetap tenang.</t>
  </si>
  <si>
    <t>Rata-rata skor "tetap tenang &amp; objektif" dari circle ≥4 dari 5</t>
  </si>
  <si>
    <t>"Shadowing Mentoring" – Mengikuti Atasan (Director) dalam 2 Sesi Mentoring Sulit</t>
  </si>
  <si>
    <t>Belajar dari teladan langsung bagaimana pemimpin level Director mengelola emosi saat membimbing anggota tim. yang emosional.</t>
  </si>
  <si>
    <t>Minta izin atasan untuk mengamati 2 sesi mentoring dengan anggota tim. yang bermasalah (misal: performa turun, konflik, atau krisis karier). Catat bagaimana atasan mengatur nada suara, bahasa tubuh, dan strategi menenangkan diri jika terlihat tegang.</t>
  </si>
  <si>
    <t>2 laporan observasi; daftar 6 teknik regulasi emosi yang digunakan atasan; rencana adopsi 3 teknik dalam mentoring Anda sendiri.</t>
  </si>
  <si>
    <t>3 teknik diterapkan dalam minimal 1 sesi mentoring nyata dan divalidasi oleh atasan/mentor.</t>
  </si>
  <si>
    <t>Umpan Balik 360° "Emotional Maturity in Mentoring" dari anggota tim. Langsung &amp; Peer</t>
  </si>
  <si>
    <t>Mengukur persepsi orang lain tentang seberapa matang emosi Anda saat membimbing mereka.</t>
  </si>
  <si>
    <t>Gunakan kuesioner (8 pertanyaan, skala 1-5) contoh: "Atasan saya tetap tenang dan objektif meskipun saya membuat kesalahan berulang." "Atasan saya tidak terbawa emosi negatif saat memberi umpan balik sulit." Responden: minimal 3 anggota tim. yang sering Anda mentoring + 2 peer. Dilakukan awal dan akhir program.</t>
  </si>
  <si>
    <t>Dua laporan (pre &amp; post); target peningkatan rata-rata ≥1 poin; butir dengan skor terendah menjadi fokus perbaikan.</t>
  </si>
  <si>
    <t>Menjadi Mentor Resmi untuk 2 Orang (satu dari dalam tim, satu dari tim lain)</t>
  </si>
  <si>
    <t>Mempraktikkan regulasi emosi dalam hubungan mentoring jangka panjang, termasuk menghadapi kekecewaan dan kemunduran.</t>
  </si>
  <si>
    <t>Pilih 2 mentee (level Officer/Unit Head). Komitmen 3 bulan, sesi 2x/bulan. Fokus pengembangan karier mereka. Anda harus mendokumentasikan setiap sesi, termasuk momen di mana Anda merasa frustrasi dan bagaimana Anda mengelola emosi tersebut.</t>
  </si>
  <si>
    <t>12 sesi dokumentasi; laporan perkembangan mentee; umpan balik mentee tentang "seberapa tenang dan suportif mentor" (skala 1-5); refleksi diri tentang emosi yang berhasil dikelola.</t>
  </si>
  <si>
    <t>Minimal 80% sesi mendapat skor mentee ≥4 pada aspek ketenangan, objektivitas, dan dukungan; tidak ada eskalasi perilaku emosional yang signifikan.</t>
  </si>
  <si>
    <t>Menangani 1 Kasus anggota tim. yang Gagal Promosi atau Dimutasi karena Performa</t>
  </si>
  <si>
    <t>Menerapkan regulasi emosi saat memberikan kabar buruk dan membimbing anggota tim. melewati kekecewaan.</t>
  </si>
  <si>
    <t>Pilih situasi nyata di mana Anda harus mengomunikasikan keputusan karier yang mengecewakan (bisa role-play jika tidak ada kasus riil, tapi lebih baik riil). Lakukan sesi mentoring pasca-keputusan. Fokus: jaga emosi Anda tetap stabil meskipun anggota tim. marah atau menangis. Dokumentasikan persiapan, pelaksanaan, dan refleksi.</t>
  </si>
  <si>
    <t>Laporan kasus (anonim): strategi regulasi emosi yang digunakan sebelum/durasi/sesudah; umpan balik anggota tim. (skor "atasan saya tetap profesional dan tidak terprovokasi"); rencana tindak lanjut.
Jika tidak ada kasus riil, gunakan role-play berbasis skenario yang divalidasi oleh atasan/HR.</t>
  </si>
  <si>
    <t>anggota tim. memberi skor ≥4 pada aspek profesionalisme, empati, dan kejelasan tindak lanjut; rencana tindak lanjut pasca-sesi terdokumentasi.</t>
  </si>
  <si>
    <t>Menciptakan "Mentoring Toolkit for Emotional Resilience" untuk Tim</t>
  </si>
  <si>
    <t>Menginternalisasi regulasi emosi dengan mengajarkan ke orang lain (learning by teaching).</t>
  </si>
  <si>
    <t>Berdasarkan pengalaman Anda, buatlah panduan singkat (10-15 slide atau 3 halaman) tentang cara mengelola emosi saat menjadi mentor/atasan. Isi: teknik jeda, identifikasi pemicu, cara merespons tanpa reaktif, studi kasus. Presentasikan ke tim departemen Anda (minimal 5 orang) dan minta umpan balik.</t>
  </si>
  <si>
    <t>Toolkit yang teruji; laporan presentasi; umpan balik dari peserta tentang kebermanfaatan dan kredibilitas Anda; revisi toolkit berdasarkan masukan.</t>
  </si>
  <si>
    <t>Toolkit digunakan minimal oleh 2 anggota tim dalam praktik mentoring dan mendapat skor manfaat ≥4.</t>
  </si>
  <si>
    <t>Jurnal "Refleksi Diri Mendalam" Mingguan</t>
  </si>
  <si>
    <t>Melatih kebiasaan refleksi diri yang jujur dan mendalam tentang pola pikir dan bias.</t>
  </si>
  <si>
    <t>Setiap minggu, tulis refleksi tentang: keputusan yang Anda buat, bias yang mungkin mempengaruhinya, dan bagaimana hal itu mempengaruhi pengembangan orang lain.</t>
  </si>
  <si>
    <t>Jurnal mingguan (20 entri); identifikasi pola bias yang berulang.</t>
  </si>
  <si>
    <t>80% minggu terisi, minimal 4 entri direview mentor eksternal, dan minimal 3 bias berulang diidentifikasi beserta rencana mitigasinya.</t>
  </si>
  <si>
    <t>Latihan "Mendengar yang Tidak Terucap"</t>
  </si>
  <si>
    <t>Mengenali pola sistemik yang sering terlewatkan dalam pengembangan orang lain.</t>
  </si>
  <si>
    <t>Dalam setiap interaksi tim, catat apa yang TIDAK dikatakan (ketegangan, keengganan, rasa takut). Identifikasi pola sistemik di baliknya.</t>
  </si>
  <si>
    <t>Log 20 observasi; analisis pola sistemik; rekomendasi perubahan sistem.</t>
  </si>
  <si>
    <t>Minimal 20 observasi terdokumentasi, 3 pola sistemik teridentifikasi, dan minimal 2 rekomendasi perbaikan dibahas dengan atasan/CEO.</t>
  </si>
  <si>
    <t>Analisis "Bias dalam Pengembangan Talenta"</t>
  </si>
  <si>
    <t>Mengidentifikasi bias dalam sistem pengembangan talenta yang ada.</t>
  </si>
  <si>
    <t>Analisis proses pengembangan talenta di organisasi. Identifikasi bias yang mungkin terjadi (misal: bias gender, bias afinitas, bias konfirmasi).</t>
  </si>
  <si>
    <t>Laporan analisis bias; rekomendasi perbaikan sistem.</t>
  </si>
  <si>
    <t>Laporan mendapat skor ≥4 dari atasan/CEO dan minimal 2 rekomendasi disetujui untuk masuk ke perbaikan sistem talent development.</t>
  </si>
  <si>
    <t>Program "Executive Coaching &amp; Leadership Reflection"</t>
  </si>
  <si>
    <t>Mendapatkan pendampingan untuk refleksi diri mendalam dan pengenalan bias.</t>
  </si>
  <si>
    <t>Ikuti program executive coaching (minimal 6 sesi) dengan coach bersertifikasi. Fokus pada pengenalan pola pikir dan bias.</t>
  </si>
  <si>
    <t>Laporan coaching; rencana pengembangan pribadi; refleksi.</t>
  </si>
  <si>
    <t>6 sesi coaching selesai, minimal 2 action plan dijalankan, dan progress direview oleh coach/mentor.</t>
  </si>
  <si>
    <t>Workshop "Building a Learning Organization"</t>
  </si>
  <si>
    <t>Mempelajari konsep learning organization dan cara membangunnya.</t>
  </si>
  <si>
    <t>Pelatihan 2-3 hari tentang: Senge's 5 disciplines, organizational learning, dan change management.</t>
  </si>
  <si>
    <t>Sertifikat; blueprint learning organization untuk divisi/organisasi.</t>
  </si>
  <si>
    <t>Blueprint mendapat skor ≥4 pada aspek strategic alignment, governance, learning culture, dan implementability.</t>
  </si>
  <si>
    <t>Program "Unconscious Bias Training for Leaders"</t>
  </si>
  <si>
    <t>Mendalami bias bawah sadar dan dampaknya pada pengembangan orang lain.</t>
  </si>
  <si>
    <t>Pelatihan 2 hari tentang unconscious bias, inclusive leadership, dan equitable talent development.</t>
  </si>
  <si>
    <t>Sertifikat; rencana aksi untuk mengurangi bias dalam pengembangan talenta.</t>
  </si>
  <si>
    <t>Minimal 2 dari 3 action plan dijalankan dan dievaluasi dalam 1 siklus talent review.</t>
  </si>
  <si>
    <t>"Reflection Circle" dengan Peer Director</t>
  </si>
  <si>
    <t>Melakukan refleksi bersama tentang pola dan bias dalam pengembangan talenta.</t>
  </si>
  <si>
    <t>Bentuk circle 3 Director. Setiap 2 bulan, satu orang memaparkan pola yang diamati dalam sistem pengembangan talenta. Diskusikan bias dan solusi sistemik.</t>
  </si>
  <si>
    <t>6 sesi; catatan insight; rekomendasi sistemik.</t>
  </si>
  <si>
    <t>Minimal 3 rekomendasi sistemik disetujui untuk pilot, dimasukkan ke governance, atau menjadi agenda perbaikan talent development.</t>
  </si>
  <si>
    <t>"Shadowing" – Mengamati CEO/Direktur dalam Pengembangan Talent Sistemik</t>
  </si>
  <si>
    <t>Belajar bagaimana pemimpin puncak membangun sistem pengembangan talenta.</t>
  </si>
  <si>
    <t>Minta izin untuk mengamati 2 proses pengambilan keputusan tentang pengembangan talenta di level organisasi.</t>
  </si>
  <si>
    <t>2 laporan observasi; daftar 5 prinsip yang akan diadopsi.</t>
  </si>
  <si>
    <t>Minimal 3 prinsip diterapkan dalam desain sistem/program pengembangan dan divalidasi CEO/atasan.</t>
  </si>
  <si>
    <t>Umpan Balik 360° tentang "Membangun Learning Organization"</t>
  </si>
  <si>
    <t>Mengukur persepsi tentang kemampuan Anda membangun budaya belajar.</t>
  </si>
  <si>
    <t>Kuesioner: "Pemimpin ini menciptakan lingkungan di mana kegagalan adalah peluang belajar", "Pemimpin ini mendorong refleksi diri yang jujur". Pre &amp; post dari 7 responden.</t>
  </si>
  <si>
    <t>Merancang Sistem Pengembangan Talenta untuk 1 Divisi/Organisasi</t>
  </si>
  <si>
    <t>Menerapkan pemahaman learning organization dalam sistem nyata.</t>
  </si>
  <si>
    <t>Rancang sistem pengembangan talenta untuk satu divisi (atau organisasi) yang mencakup: identifikasi talenta, pengembangan, rotasi, dan evaluasi. Perhatikan bias dan inklusivitas.</t>
  </si>
  <si>
    <t>Blueprint sistem; presentasi ke direksi; tindak lanjut.</t>
  </si>
  <si>
    <t>Blueprint disetujui CEO/direksi dan minimal 1 komponen sistem mulai diimplementasikan, misalnya IDP, mentoring, rotasi, talent review, atau evaluasi pengembangan.</t>
  </si>
  <si>
    <t>Memimpin "Learning Review" Organisasi (After Action Review)</t>
  </si>
  <si>
    <t>Menciptakan budaya belajar dari kegagalan dan keberhasilan.</t>
  </si>
  <si>
    <t>Pimpin proses after action review untuk 1 proyek besar (baik yang berhasil maupun gagal). Libatkan semua pihak, fokus pada pembelajaran sistemik, bukan mencari kesalahan.</t>
  </si>
  <si>
    <t>Dokumentasi AAR; laporan pembelajaran; rencana perbaikan sistem.</t>
  </si>
  <si>
    <t>Peserta memberi skor ≥4 pada aspek kualitas pembelajaran, keamanan diskusi, dan tindak lanjut; minimal 2 action improvement terdokumentasi.</t>
  </si>
  <si>
    <t>Membangun "Mentoring &amp; Coaching Ecosystem"</t>
  </si>
  <si>
    <t>Menciptakan sistem mentoring dan coaching yang berkelanjutan di organisasi.</t>
  </si>
  <si>
    <t>Rancang dan implementasikan ekosistem mentoring &amp; coaching yang melibatkan berbagai level. Termasuk pelatihan mentor, sistem pairing, dan evaluasi.</t>
  </si>
  <si>
    <t>Ekosistem mentoring; dokumentasi implementasi; umpan balik peserta.</t>
  </si>
  <si>
    <t>Ekosistem mentoring berjalan minimal 1 siklus, mencakup mentor-mentee pairing, panduan mentoring, monitoring sesi, dan minimal 80% peserta memberi skor manfaat ≥4.</t>
  </si>
  <si>
    <t>Latihan "Dengar &amp; Rangkum"</t>
  </si>
  <si>
    <t>Melatih fokus mendengarkan tanpa gangguan; memisahkan "mendengar" dari "menyiapkan respons".</t>
  </si>
  <si>
    <t>Dengarkan podcast singkat (10-15 menit) atau pembicara dalam rapat tanpa interupsi. Setelah selesai, tulis ringkasan 5-7 kalimat tentang isi dan perasaan pembicara.</t>
  </si>
  <si>
    <t>2 ringkasan/bulan (12 podcast); peningkatan akurasi ringkasan; catatan refleksi</t>
  </si>
  <si>
    <t>Minimal 80% ringkasan dinilai akurat oleh mentor/atasan berdasarkan kesesuaian dengan pesan utama, fakta, dan konteks pembicaraan.</t>
  </si>
  <si>
    <t>Latihan "Jeda 3 Detik"</t>
  </si>
  <si>
    <t>Menghentikan kebiasaan memotong pembicaraan atau merespons terburu-buru; memberi ruang bagi lawan bicara</t>
  </si>
  <si>
    <t>Setiap kali lawan bicara selesai berbicara, hitung dalam hati 1-2-3 sebelum merespons. Catat berapa kali berhasil vs gagal setiap hari.</t>
  </si>
  <si>
    <t>30 Log harian "Jeda 3 Detik"; peningkatan persentase keberhasilan dari minggu ke minggu</t>
  </si>
  <si>
    <t>Skor rata-rata persentase keberhasilan mingguan mencapai ≥80%</t>
  </si>
  <si>
    <t xml:space="preserve">Evaluasi Rekaman Percakapan
</t>
  </si>
  <si>
    <t>Meningkatkan kesadaran diri terhadap kebiasaan mendengarkan; mengidentifikasi area perbaikan konkret</t>
  </si>
  <si>
    <t>Merekam 1 percakapan kerja per minggu (dengan izin). Dengarkan kembali dan hitung proporsi waktu bicara vs mendengarkan. Evaluasi kualitas pertanyaan yang diajukan</t>
  </si>
  <si>
    <t>laporan rekaman 10, Rasio bicara:dengar mingguan; catatan observasi diri; target rasio ideal (minimal 40:60)</t>
  </si>
  <si>
    <t>Laporan rekaman sebanyak 10 laporan; rasio bicara:dengar mencapai ≤40:60</t>
  </si>
  <si>
    <t>Workshop "Active Listening for First-Time Leaders"</t>
  </si>
  <si>
    <t>Menguasai 3 teknik inti: parafrase, klarifikasi, refleksi perasaan</t>
  </si>
  <si>
    <t>Pelatihan 1 hari (8 jam) dengan role-play dan studi kasus. Peserta wajib mempraktikkan setiap teknik dalam simulasi.</t>
  </si>
  <si>
    <t>Sertifikat; rencana aksi penerapan 3 teknik di tempat kerja</t>
  </si>
  <si>
    <t>Lulus role-play assessment dengan skor minimal 80</t>
  </si>
  <si>
    <t>Micro-learning "Nonviolent Communication – Empathetic Listening"</t>
  </si>
  <si>
    <t>Belajar mendengar kebutuhan di balik kata-kata; mengurangi reaksi defensif</t>
  </si>
  <si>
    <t>Selesaikan modul online (total 4 jam) tentang observasi tanpa menghakimi, identifikasi perasaan &amp; kebutuhan</t>
  </si>
  <si>
    <t>Sertifikat; laporan analisis 5 percakapan nyata (identifikasi perasaan &amp; kebutuhan)</t>
  </si>
  <si>
    <t>5 analisis benar ≥80%</t>
  </si>
  <si>
    <t>Kursus Singkat "Paraphrasing &amp; Clarifying Questions"</t>
  </si>
  <si>
    <t xml:space="preserve"> Melatih keterampilan bertanya yang membuka pemahaman, bukan menguji</t>
  </si>
  <si>
    <t>Selesaikan kursus online 2 jam. Kerjakan kuis. Praktikkan 5 teknik pertanyaan klarifikasi dalam rapat.</t>
  </si>
  <si>
    <t>Sertifikat; dokumentasi 5 pertanyaan klarifikasi yang diajukan beserta dampaknya</t>
  </si>
  <si>
    <t>Minimal 5 pertanyaan klarifikasi digunakan dalam rapat/percakapan kerja dan mendapat skor ≥4 dari atasan pada aspek relevansi, kejelasan, dan kemampuan menggali pemahaman.</t>
  </si>
  <si>
    <t>"Listening Buddy" Berpasangan</t>
  </si>
  <si>
    <t>Melatih mendengar murni tanpa memberi solusi; membangun empati</t>
  </si>
  <si>
    <t>Berpasangan dengan rekan sesama level. Setiap minggu bergiliran bercerita 15 menit tentang masalah kerja. Pendengar hanya boleh: parafrase, bertanya klarifikasi, mengakui perasaan – DILARANG memberi solusi.</t>
  </si>
  <si>
    <t>12 sesi; catatan refleksi; umpan balik dari buddy setiap bulan</t>
  </si>
  <si>
    <t>Minimal 10 dari 12 sesi terlaksana, dan dalam minimal 80% sesi employee mampu mendengarkan tanpa langsung memberi solusi berdasarkan feedback buddy.</t>
  </si>
  <si>
    <t>Umpan Balik 360° Mini dari 3 Rekan</t>
  </si>
  <si>
    <t>Mengetahui persepsi orang lain tentang kualitas mendengarkan Anda</t>
  </si>
  <si>
    <t>Di awal dan akhir program, minta 3 rekan (setingkat, senior, atasan) menilai dengan skala 1-5 untuk pertanyaan: "Seberapa sering dia mendengarkan untuk memahami sebelum merespons?"</t>
  </si>
  <si>
    <t>Dua laporan (pre &amp; post); target peningkatan minimal 1 poin</t>
  </si>
  <si>
    <t>Peningkatan ≥1 poin dari rata-rata
Dokumentasi hasil pre dan post</t>
  </si>
  <si>
    <t>"Cek Pemahaman" dengan Atasan Setelah Rapat</t>
  </si>
  <si>
    <t>Mendapat umpan balik langsung dan membangun akuntabilitas</t>
  </si>
  <si>
    <t>Setelah rapat tim, tanya atasan: "Dari cara saya mendengarkan tadi, apakah Bapak/Ibu merasa saya memahami inti pembicaraan?" Catat jawaban dan tindak lanjut.</t>
  </si>
  <si>
    <t>12 catatan feedback; bukti perbaikan perilaku berdasarkan feedback</t>
  </si>
  <si>
    <t>2 feedback atasan menunjukkan peningkatan pada aspek mendengarkan, merangkum, dan klarifikasi pada 2 laporan terakhir</t>
  </si>
  <si>
    <t>Menjadi Notulen Rapat Tim (3 bulan)</t>
  </si>
  <si>
    <t>Melatih mendengarkan akurat, memisahkan fakta &amp; opini, merangkum dengan validasi</t>
  </si>
  <si>
    <t>Tugaskan sebagai notulen rapat mingguan (min. 12 rapat). Di akhir setiap rapat, bacakan ringkasan poin keputusan dan action items untuk divalidasi peserta</t>
  </si>
  <si>
    <t>12 notulen; feedback ketua rapat; tingkat akurasi berdasarkan validasi peserta</t>
  </si>
  <si>
    <t>8 dari 12 rapat tanpa koreksi substansi (akurasi ≥90%)
Validasi oleh peserta rapat</t>
  </si>
  <si>
    <t>Fasilitasi "Check-in" Pembuka Rapat (6x)</t>
  </si>
  <si>
    <t>Melatih mendengarkan banyak suara sekaligus; menciptakan ruang aman</t>
  </si>
  <si>
    <t>setiap minggu tanya rekan kerja dalam lingkungan kerja yang ramai: "Apa kabarmu hari ini? Satu hal yang ada di pikiranmu?" Dengarkan tanpa komentar, lalu rangkum tanpa menghakimi (minimal 1 orang pe rminggu)</t>
  </si>
  <si>
    <t>12 sesi terdokumentasi</t>
  </si>
  <si>
    <t>80% anggota memberi skor 4 bahwa mereka merasa didengarkan. Survei singkat ke rekan kerja</t>
  </si>
  <si>
    <t>Wawancara Mendalam dengan 3 Orang Lintas Fungsi</t>
  </si>
  <si>
    <t>Menerapkan mendengarkan empatik di luar tim sendiri; memahami perspektif berbeda</t>
  </si>
  <si>
    <t>Pilih 3 rekan dari departemen berbeda. Masing-masing wawancara 30 menit dengan topik: "Apa tantangan terbesar dalam pekerjaanmu dan bagaimana tim kami bisa mendukung?"</t>
  </si>
  <si>
    <t>3 ringkasan wawancara; minimal 1 usulan perbaikan kolaborasi</t>
  </si>
  <si>
    <t>1 usulan implementasi disetujui atasan
Review ringkasan oleh atasan</t>
  </si>
  <si>
    <t>Jurnal "Pertanyaan Eksploratif" Harian</t>
  </si>
  <si>
    <t>Melatih kebiasaan mengajukan pertanyaan yang menggali lebih dalam tentang orang lain.</t>
  </si>
  <si>
    <t>Setiap hari, dalam 1 interaksi dengan rekan kerja, ajukan 1 pertanyaan eksploratif di luar topik pekerjaan (contoh: "Apa yang membuatmu tertarik di bidang ini?", "Bagaimana pengalamanmu sebelumnya membentuk cara kerjamu sekarang?"). Catat pertanyaan dan responsnya.</t>
  </si>
  <si>
    <t>Jurnal minimal 30 pertanyaan eksploratif; refleksi tentang pola respons yang muncul.</t>
  </si>
  <si>
    <t>Minimal 80% dari 30 pertanyaan mendapat respons yang menunjukkan elaborasi, contoh, atau informasi baru; 5 contoh direview mentor.</t>
  </si>
  <si>
    <t>Latihan "Menahan Diri dari Memberi Solusi"</t>
  </si>
  <si>
    <t>Membangun kebiasaan mendengar dan bertanya, bukan langsung memberi solusi.</t>
  </si>
  <si>
    <t>Dalam setiap percakapan dengan rekan yang sedang bercerita tentang masalahnya, tahan keinginan untuk memberi solusi. Sebaliknya, ajukan 3 pertanyaan eksploratif sebelum merespons. Catat keberhasilan.</t>
  </si>
  <si>
    <t>Log 30 percakapan; rasio bertanya vs memberi solusi; target rasio bertanya:solusi ≥3:1</t>
  </si>
  <si>
    <t>Rasio bertanya:solusi ≥3:1 di akhir bulan ke-3.
Review log oleh mentor</t>
  </si>
  <si>
    <t>Rekaman &amp; Analisis Percakapan (Fokus Pertanyaan)</t>
  </si>
  <si>
    <t>Mengidentifikasi pola pertanyaan yang terlalu tertutup atau menghakimi.</t>
  </si>
  <si>
    <t>Rekam (izin) 1 percakapan kerja per bulan. Analisis: berapa pertanyaan terbuka vs tertutup, berapa pertanyaan yang menunjukkan rasa ingin tahu tulus vs sekadar konfirmasi.</t>
  </si>
  <si>
    <t>12 analisis; grafik peningkatan pertanyaan terbuka &amp; eksploratif</t>
  </si>
  <si>
    <t>Peningkatan pertanyaan terbuka &amp; eksploratif ≥50%
Bandingkan dengan hasil sebelumnya</t>
  </si>
  <si>
    <t>Workshop "The Art of Powerful Questioning"</t>
  </si>
  <si>
    <t>Menguasai teknik bertanya yang membuka percakapan dan membangun pemahaman mendalam.</t>
  </si>
  <si>
    <t>Pelatihan 1-2 hari tentang teknik bertanya eksploratif, active inquiry, dan pendekatan coaching. Praktik simulasi dengan studi kasus.</t>
  </si>
  <si>
    <t>Sertifikat; daftar 10 pertanyaan eksploratif pribadi yang akan digunakan.</t>
  </si>
  <si>
    <t>Lulus role-play dengan skor minimal 80.
Evaluasi oleh fasilitator saat role-play</t>
  </si>
  <si>
    <t>Kursus Online "Coaching Skills for Leaders"</t>
  </si>
  <si>
    <t>Mempelajari pendekatan coaching yang menekankan pada mendengar dan bertanya, bukan memberi tahu.</t>
  </si>
  <si>
    <t>Selesaikan kursus online (6-8 jam) tentang coaching fundamentals, GROW model, dan teknik pertanyaan yang memberdayakan.</t>
  </si>
  <si>
    <t>Sertifikat; laporan penerapan 3 teknik coaching dalam percakapan nyata.</t>
  </si>
  <si>
    <t>Minimal 3 teknik coaching diterapkan dalam percakapan nyata dan mendapat skor ≥4 dari atasan/mentor pada aspek kualitas pertanyaan, active listening, dan tindak lanjut.</t>
  </si>
  <si>
    <t>Micro-learning "Cultural Intelligence &amp; Empathic Curiosity"</t>
  </si>
  <si>
    <t>Belajar tentang keragaman budaya dan bagaimana rasa ingin tahu yang tulus dapat menjembatani perbedaan.</t>
  </si>
  <si>
    <t>Selesaikan modul online (2-3 jam) tentang cultural intelligence, menghindari asumsi, dan pendekatan curiositas dalam konteks lintas budaya.</t>
  </si>
  <si>
    <t>Sertifikat; rencana aksi untuk menerapkan 3 prinsip dalam interaksi lintas tim.</t>
  </si>
  <si>
    <t>Minimal 3 prinsip diterapkan dalam interaksi lintas fungsi/budaya dan didukung oleh log penerapan atau feedback stakeholder.</t>
  </si>
  <si>
    <t>"Curiosity Circle" dengan Rekan Lintas Fungsi</t>
  </si>
  <si>
    <t>Mempraktikkan rasa ingin tahu tulus dengan orang-orang dari latar belakang berbeda.</t>
  </si>
  <si>
    <t>Bentuk kelompok 4 orang dari berbagai fungsi. Setiap bulan, satu orang menjadi "narasumber" tentang perjalanan karier dan motivasi mereka. Anggota lain hanya bertanya—tidak memberi saran.</t>
  </si>
  <si>
    <t>8 sesi; catatan tentang insight baru yang diperoleh; umpan balik dari narasumber.</t>
  </si>
  <si>
    <t>Setiap peserta mendapat skor ≥4 untuk "rasa ingin tahu yang tulus" dari narasumber.
 Review catatan insight oleh mentor</t>
  </si>
  <si>
    <t>"Shadowing Curiosity" – Mengamati Atasan dalam 2 Interaksi</t>
  </si>
  <si>
    <t>Belajar bagaimana pemimpin senior menunjukkan rasa ingin tahu yang tulus dalam praktik.</t>
  </si>
  <si>
    <t>Minta izin atasan untuk mengamati 2 interaksi (rapat, one-on-one, atau negosiasi). Catat pertanyaan yang diajukan, bahasa tubuh, dan bagaimana ia menggali lebih dalam.</t>
  </si>
  <si>
    <t>2 laporan observasi; daftar 5 pertanyaan efektif yang akan diadopsi.</t>
  </si>
  <si>
    <t>Minimal 3 pertanyaan hasil shadowing digunakan dalam percakapan nyata dan menghasilkan insight baru yang terdokumentasi.</t>
  </si>
  <si>
    <t>Umpan Balik 360° tentang "Rasa Ingin Tahu"</t>
  </si>
  <si>
    <t>Mengukur persepsi rekan tentang seberapa tulus rasa ingin tahu Anda.</t>
  </si>
  <si>
    <t>Kuesioner: "Dia benar-benar tertarik memahami saya", "Pertanyaannya membuat saya merasa dihargai". Pre &amp; post dari 5 responden.</t>
  </si>
  <si>
    <t>Melakukan "Career Journey Interview" dengan 5 Orang</t>
  </si>
  <si>
    <t>Mempraktikkan rasa ingin tahu tulus dalam skala yang lebih besar.</t>
  </si>
  <si>
    <t>Wawancarai 5 rekan dari berbagai latar belakang (level, fungsi, pengalaman) tentang perjalanan karier mereka. Fokus pada pertanyaan eksploratif, bukan sekadar fakta.</t>
  </si>
  <si>
    <t>5 laporan wawancara; pola insight yang ditemukan; presentasi ke tim.</t>
  </si>
  <si>
    <t>4 dari 5 narasumber memberi skor ≥4 untuk "rasa ingin tahu yang tulus"
 Review 1-2 laporan oleh atasan</t>
  </si>
  <si>
    <t>Memimpin "Discovery Session" dengan Tim Lintas Fungsi</t>
  </si>
  <si>
    <t>Menggunakan rasa ingin tahu untuk menggali tantangan dan peluang lintas fungsi.</t>
  </si>
  <si>
    <t>Pimpin sesi 1-2 jam dengan 4 orang dari berbagai fungsi. Gunakan pertanyaan eksploratif untuk menggali: "Apa tantangan terbesar dalam kolaborasi lintas fungsi?"</t>
  </si>
  <si>
    <t>Dokumentasi sesi; daftar insight dan rekomendasi; umpan balik peserta.</t>
  </si>
  <si>
    <t>minimal 3 insight lintas fungsi dan 2 rekomendasi tindak lanjut terdokumentasi.
Review dokumentasi oleh atasan</t>
  </si>
  <si>
    <t>Proyek "Memahami 1 Pengguna/Stakeholder Secara Mendalam"</t>
  </si>
  <si>
    <t>Menerapkan rasa ingin tahu untuk memahami kebutuhan tersembunyi stakeholder.</t>
  </si>
  <si>
    <t>Pilih 1 stakeholder internal yang sering berinteraksi. Lakukan 3 sesi wawancara mendalam (total 2-3 jam) untuk benar-benar memahami motivasi, tantangan, dan harapan mereka.</t>
  </si>
  <si>
    <t>Laporan profil stakeholder; rekomendasi perbaikan hubungan kerja; umpan balik dari stakeholder.</t>
  </si>
  <si>
    <t>Stakeholder memberi skor ≥4 untuk "saya merasa benar-benar dipahami";
minimal 1 rekomendasi perbaikan hubungan kerja disetujui untuk dicoba oleh atasan/stakeholder.</t>
  </si>
  <si>
    <t>Jurnal "3 Sudut Pandang" Mingguan</t>
  </si>
  <si>
    <t>Melatih kebiasaan melihat setiap situasi dari minimal 3 perspektif berbeda.</t>
  </si>
  <si>
    <t>Setiap minggu, pilih 1 keputusan atau situasi kerja. Tulis analisis dari 3 sudut pandang berbeda (misal: atasan, anggota tim, pelanggan; atau divisi A, B, C).</t>
  </si>
  <si>
    <t>Jurnal mingguan (16 entri); peningkatan kedalaman analisis dari waktu ke waktu.</t>
  </si>
  <si>
    <t>80% minggu terisi dan minimal 4 entri mendapat skor ≥4 dari mentor pada aspek kelengkapan perspektif, kedalaman analisis, dan objektivitas.</t>
  </si>
  <si>
    <t>Latihan "Role-Reversal" dalam Rapat</t>
  </si>
  <si>
    <t>Melatih kemampuan melihat dari perspektif orang lain secara aktif.</t>
  </si>
  <si>
    <t>Dalam setiap rapat, pilih 1 orang yang memiliki pendapat berbeda. Tulis: "Jika saya dia, apa yang membuat saya berpikir demikian? Apa kepentingan saya?"</t>
  </si>
  <si>
    <t>Catatan refleksi dari 10 rapat; peningkatan empati kognitif.</t>
  </si>
  <si>
    <t>10 catatan selesai dan minimal 5 catatan memuat 2 alasan logis di balik pendapat berbeda, direview oleh mentor.</t>
  </si>
  <si>
    <t>Analisis "Keputusan Kontroversial"</t>
  </si>
  <si>
    <t>Melatih kemampuan menganalisis keputusan dari berbagai perspektif stakeholder.</t>
  </si>
  <si>
    <t>Pilih 1 keputusan organisasi yang kontroversial. Tulis analisis: bagaimana keputusan ini dilihat dari perspektif 4 stakeholder berbeda? Apa kepentingan masing-masing?</t>
  </si>
  <si>
    <t>3 analisis keputusan; peta stakeholder untuk setiap kasus.</t>
  </si>
  <si>
    <t>Setiap analisis mencakup minimal 4 perspektif berbeda yang kredibel
Review analisis oleh atasan</t>
  </si>
  <si>
    <t>Workshop "Multi-Perspective Thinking for Leaders"</t>
  </si>
  <si>
    <t>Menguasai kerangka kerja analisis multi-perspektif dan teknik pengambilan keputusan inklusif.</t>
  </si>
  <si>
    <t>Pelatihan 2 hari tentang: Six Thinking Hats, stakeholder mapping, perspective-taking, dan building consensus.</t>
  </si>
  <si>
    <t>Sertifikat; peta perspektif untuk 1 kasus nyata di tempat kerja.</t>
  </si>
  <si>
    <t>Lulus studi kasus dengan skor minimal 80
Evaluasi oleh fasilitator/Mentor</t>
  </si>
  <si>
    <t>Kursus Online "Conflict Resolution &amp; Mediation"</t>
  </si>
  <si>
    <t>Mempelajari bagaimana memahami berbagai perspektif adalah kunci resolusi konflik.</t>
  </si>
  <si>
    <t>Selesaikan kursus online (6-8 jam) tentang teknik mediasi, active listening dalam konflik, dan mencari titik temu.</t>
  </si>
  <si>
    <t>Sertifikat; laporan penerapan 3 teknik dalam situasi konflik nyata.</t>
  </si>
  <si>
    <t>Minimal 3 teknik diterapkan dalam situasi konflik/ketegangan kerja dan mendapat validasi/review atasan bahwa rekomendasi dapat menurunkan tensi diskusi atau meningkatkan kesepahaman.</t>
  </si>
  <si>
    <t>Micro-learning "System Thinking &amp; Stakeholder Analysis"</t>
  </si>
  <si>
    <t>Belajar melihat masalah sebagai sistem dengan berbagai pemangku kepentingan yang saling terkait.</t>
  </si>
  <si>
    <t>Selesaikan modul online (3-4 jam) tentang system thinking, causal loop diagrams, dan stakeholder analysis.</t>
  </si>
  <si>
    <t>Sertifikat; 2 diagram sistem untuk masalah di unit kerja.</t>
  </si>
  <si>
    <t>2 diagram sistem mendapat skor ≥4 dari atasan pada aspek akurasi hubungan sebab-akibat, kelengkapan stakeholder, dan relevansi rekomendasi.</t>
  </si>
  <si>
    <t>"Perspective Circle" dengan Peer dari Berbagai Fungsi</t>
  </si>
  <si>
    <t>Berlatih melihat masalah dari perspektif berbagai fungsi secara rutin.</t>
  </si>
  <si>
    <t>Bentuk circle 5 orang dari fungsi berbeda. Setiap 2 minggu, satu orang memaparkan masalah di fungsinya. Anggota lain harus memberikan analisis dari perspektif fungsi mereka masing-masing.</t>
  </si>
  <si>
    <t>10 sesi; catatan tentang perspektif baru yang diperoleh; umpan balik dari pemapar.</t>
  </si>
  <si>
    <t>Seluruh sesi menghasilkan minimal 4 perspektif baru, dan minimal 80% pemapar memberi skor ≥4 pada aspek manfaat dan relevansi perspektif.</t>
  </si>
  <si>
    <t>Umpan Balik 360° tentang "Mempertimbangkan Perspektif Berbeda"</t>
  </si>
  <si>
    <t>Mengukur persepsi orang lain tentang seberapa baik Anda mempertimbangkan berbagai sudut pandang.</t>
  </si>
  <si>
    <t>Kuesioner: "Dia mempertimbangkan pendapat yang berbeda sebelum memutuskan", "Dia menghargai sudut pandang yang bertentangan". Pre &amp; post dari 5 responden.</t>
  </si>
  <si>
    <t>Memimpin Proyek dengan Tim Lintas Fungsi (3-6 bulan)</t>
  </si>
  <si>
    <t>Mempraktikkan analisis multi-perspektif dalam proyek nyata.</t>
  </si>
  <si>
    <t>Pimpin proyek yang melibatkan minimal 2 fungsi berbeda. Dalam setiap pengambilan keputusan, secara eksplisit minta dan pertimbangkan perspektif dari setiap fungsi.</t>
  </si>
  <si>
    <t>Dokumentasi keputusan proyek; peta perspektif untuk setiap keputusan besar; umpan balik dari anggota tim.</t>
  </si>
  <si>
    <t>Rata-rata skor "perspektif saya dipertimbangkan" dari tim ≥4 dari 5.
Review progres oleh atasan</t>
  </si>
  <si>
    <t>Memfasilitasi 1 Sesi "Perspective-Sharing" untuk Tim</t>
  </si>
  <si>
    <t>Menciptakan ruang bagi tim untuk saling memahami perspektif masing-masing.</t>
  </si>
  <si>
    <t>Fasilitasi sesi 2 jam di mana setiap anggota tim (6 orang) berbagi: "Apa tantangan terbesar dalam pekerjaan saya yang mungkin tidak orang lain pahami?"</t>
  </si>
  <si>
    <t>80% peserta merasa perspektif mereka didengar (survei)
Review dokumentasi oleh atasan</t>
  </si>
  <si>
    <t>Menyusun "Stakeholder Perspective Map" untuk 1 Keputusan Strategis</t>
  </si>
  <si>
    <t>Menerapkan analisis multi-perspektif pada keputusan strategis nyata.</t>
  </si>
  <si>
    <t>Pilih 1 keputusan strategis yang akan diambil di unit kerja. Petakan perspektif semua stakeholder yang terpengaruh. Gunakan peta ini untuk merekomendasikan keputusan.</t>
  </si>
  <si>
    <t>Peta stakeholder; rekomendasi keputusan; presentasi ke atasan.</t>
  </si>
  <si>
    <t>Rekomendasi dipresentasikan ke atasan dan minimal 1 rekomendasi disetujui untuk digunakan, diuji coba, atau menjadi bahan keputusan.</t>
  </si>
  <si>
    <t>Jurnal "Menangkap Emosi" Harian</t>
  </si>
  <si>
    <t>Melatih kepekaan terhadap isyarat emosional yang sebelumnya mungkin terlewat karena terlalu fokus pada logika.</t>
  </si>
  <si>
    <t>Selama pengembangan catat 20 interaksi dengan anggota tim/rekan. Identifikasi: apa yang dia rasakan (sedih, cemas, kecewa, takut, senang)? Bukti spesifik (nada suara, ekspresi, bahasa tubuh). Konfirmasikan ke orang tersebut (bila memungkinkan).</t>
  </si>
  <si>
    <t>Jurnal (20 entri) ; tingkat akurasi tebakan emosi (min. 75% dikonfirmasi benar).</t>
  </si>
  <si>
    <t>Minimal 20 entri selama program, dengan minimal 4 entri direview mentor; akurasi identifikasi emosi mencapai ≥75% berdasarkan konfirmasi ringan dari lawan bicara.</t>
  </si>
  <si>
    <t>Latihan "Validasi Emosi" dalam One-on-One</t>
  </si>
  <si>
    <t>Mengubah kebiasaan merespons dengan analisis/logika menjadi respons yang mengakui perasaan terlebih dahulu.</t>
  </si>
  <si>
    <t>Dalam setiap one-on-one dengan anggota tim, setelah anggota tim selesai bercerita, ucapkan: "Saya mendengar kamu merasa [nama emosi] karena [penyebab]. Apakah itu yang kamu rasakan?" Catat reaksi mereka.</t>
  </si>
  <si>
    <t>Minimal 12 sesi; persentase anggota tim yang mengatakan "Tepat sekali" atau mengangguk.</t>
  </si>
  <si>
    <t>Minimal 12 percakapan terdokumentasi, dan minimal 80% respons validasi mendapat feedback positif dari anggota tim.</t>
  </si>
  <si>
    <t>Rekaman &amp; Analisis Rapat Tim (Fokus Deteksi Emosi yang Tidak Terucap)</t>
  </si>
  <si>
    <t>Meningkatkan kemampuan membaca emosi kolektif tim yang sering tersembunyi di balik pernyataan netral.</t>
  </si>
  <si>
    <t>Rekam (izin)/membuat laporan 12 rapat tim. Dengarkan dan catat momen di mana seorang anggota menunjukkan emosi (nada suara naik, diam tiba-tiba, frasa seperti "tidak apa-apa" tapi terdengar kesal). Bandingkan dengan catatan Anda saat rapat berlangsung.</t>
  </si>
  <si>
    <t>12 analisis; daftar "emosi yang terlewat" di awal vs akhir program; target penurunan momen terlewat sebanyak 50%.</t>
  </si>
  <si>
    <t>12 analisis selesai dengan izin peserta; penurunan momen emosi yang terlewat ≥50% berdasarkan perbandingan awal-akhir dan review mentor.</t>
  </si>
  <si>
    <t>Workshop "Empathy for Leaders: From Cognitive to Affective Empathy"</t>
  </si>
  <si>
    <t>Menguasai perbedaan empati kognitif (memahami perspektif) vs empati afektif (merasakan emosi), serta teknik merespons emosi.</t>
  </si>
  <si>
    <t>Pelatihan 2 hari (16 jam) mencakup: deteksi micro-expressions, teknik empathetic listening, cara merespons emosi sulit (marah, kecewa, takut), studi kasus dari level Unit Head ke Department Head.</t>
  </si>
  <si>
    <t>Sertifikat; rencana aksi 3 teknik empati afektif yang akan diterapkan dalam 30 hari.</t>
  </si>
  <si>
    <t>laporan studi kasus permasalahan nyata di perusahaan dan rekomendasi penerapan 3 teknik</t>
  </si>
  <si>
    <t>Kursus Online "Coaching with Empathy" (ICF-accredited atau setara)</t>
  </si>
  <si>
    <t>Belajar menggunakan empati sebagai alat coaching, bukan sekadar mendengar.</t>
  </si>
  <si>
    <t>Selesaikan kursus singkat (6 jam) tentang coaching berbasis empati: teknik refleksi perasaan, pertanyaan berbasis emosi, menahan diri dari memberi solusi.</t>
  </si>
  <si>
    <t>Sertifikat; laporan 3 sesi coaching singkat (15 menit) dengan anggota tim menggunakan pendekatan empati, dilengkapi umpan balik anggota tim.</t>
  </si>
  <si>
    <t>3 sesi coaching singkat selesai dan rata-rata skor kepuasan anggota tim ≥4.</t>
  </si>
  <si>
    <t>Micro-learning "Managing Difficult Emotions in Teams"</t>
  </si>
  <si>
    <t>Mempelajari protokol merespons emosi negatif (frustrasi, kecemasan, kemarahan) dalam tim.</t>
  </si>
  <si>
    <t>Selesaikan modul online (3 jam) tentang teknik de-eskalasi emosi, validation vs agreement, dan cara menenangkan tim.</t>
  </si>
  <si>
    <t>Sertifikat; studi kasus tertulis: bagaimana Anda akan merespons 2 skenario emosi sulit di tim.</t>
  </si>
  <si>
    <t>3 studi kasus mendapat skor ≥4 dari atasan pada aspek empati, de-eskalasi, batasan profesional, dan tindak lanjut.</t>
  </si>
  <si>
    <t>"Empathy Circle" dengan Peer Department Head (atau calon)</t>
  </si>
  <si>
    <t>Melatih empati afektif dalam lingkungan aman; menerima umpan balik langsung dari sesama pemimpin.</t>
  </si>
  <si>
    <t>Bentuk kelompok kecil (5 orang setara). satu orang berbagi tantangan emosional sebagai pemimpin (bukan masalah teknis). Lainnya merespons hanya dengan: "Saya merasakan kamu..." atau "Kamu tampak..." Tidak memberi solusi. Bergantian.</t>
  </si>
  <si>
    <t>10 sesi; catatan refleksi; umpan balik dari anggota circle tentang seberapa "tersentuh" mereka dengan respons Anda (skala 1-5).</t>
  </si>
  <si>
    <t>Rata-rata skor empati dari circle ≥4 dari 5</t>
  </si>
  <si>
    <t>"Shadowing Empathy" – Mengikuti Atasan (Division Head) dalam 2 Situasi Sulit</t>
  </si>
  <si>
    <t>Belajar dari teladan langsung bagaimana pemimpin senior merespons emosi tim dalam tekanan.</t>
  </si>
  <si>
    <t>Minta izin atasan untuk mengamati (1) sesi one-on-one dengan anggota tim yang sedang bermasalah secara emosional, (2) rapat tim yang tegang. Catat frasa, nada suara, bahasa tubuh, dan langkah yang diambil atasan.</t>
  </si>
  <si>
    <t>2 laporan observasi; daftar 6 perilaku empatik yang akan diadopsi; refleksi perbedaan dengan gaya Anda saat ini (yang mungkin terlalu kognitif).</t>
  </si>
  <si>
    <t>Laporan disetujui atasan dan 3 perilaku disetujui untuk diterapkan</t>
  </si>
  <si>
    <t>Umpan Balik 360° Empati dari anggota tim &amp; Peer</t>
  </si>
  <si>
    <t>Mengukur peningkatan persepsi orang lain tentang kemampuan empati Anda (afektif, bukan hanya kognitif).</t>
  </si>
  <si>
    <t>Gunakan kuesioner (6 pertanyaan, skala 1-5) contoh: "Atasan saya mampu merasakan apa yang saya rasakan saat saya kesulitan." Responden: minimal 4 anggota tim langsung + 2 peer. Dilakukan awal dan akhir program.</t>
  </si>
  <si>
    <t>Dua laporan (pre &amp; post); target peningkatan rata-rata ≥1 poin; identifikasi butir dengan skor terendah untuk fokus perbaikan.</t>
  </si>
  <si>
    <t>Memfasilitasi "Sesi Refleksi Emosi Tim" (3x, setiap 2 bulan)</t>
  </si>
  <si>
    <t>Mempraktikkan empati dalam setting kelompok; merespons emosi kolektif tim, bukan hanya individu.</t>
  </si>
  <si>
    <t>Jadwalkan sesi mendengarkan dari anggota tim1 jam setiap 2 bulan. Topik: "Apa yang paling menguras energi emosional tim belakangan ini?" Tugas Anda: mendengarkan, memvalidasi perasaan, tidak memberi solusi teknis. Akhiri dengan merangkum emosi dan kebutuhan tim, lalu rencanakan 1 tindakan kecil berbasis empati.</t>
  </si>
  <si>
    <t>3 sesi terdokumentasi; feedback anonim dari anggota tim (skor "seberapa didengarkan secara emosional"); dokumen rencana tindak lanjut.</t>
  </si>
  <si>
    <t>Rata-rata skor feedback ≥4 dari anggota tim secara anonimus</t>
  </si>
  <si>
    <t>Menangani 1 Kasus anggota tim dengan Masalah Emosional (bukan teknis)</t>
  </si>
  <si>
    <t>Menerapkan empati afektif untuk mendampingi anggota tim, bukan sekadar memecahkan masalah.</t>
  </si>
  <si>
    <t>Identifikasi 1 anggota tim yang sedang mengalami tekanan emosional (keluarga, burnout, kecemasan). Lakukan sesi empati murni (30 menit) tanpa memberikan solusi. Fokus: cerminkan emosi, akui perasaan, tawarkan dukungan sesuai kebutuhan emosionalnya. Dokumentasikan proses dan hasil.</t>
  </si>
  <si>
    <t>Laporan kasus (anonymized): pendekatan, frasa yang digunakan, umpan balik anggota tim (skor "seberapa dipahami"), rencana dukungan lanjutan.
Catatan : Aktivitas terkait masalah emosional harus memakai prinsip consent, confidentiality, anonymized report, dan escalation pathway bila isu menyangkut kesehatan mental, burnout berat, konflik personal serius, atau risiko keselamatan.</t>
  </si>
  <si>
    <t>1 kasus pendampingan terdokumentasi secara anonim, anggota tim memberi skor ≥4 pada aspek merasa didengar/dipahami, dan bila isu berisiko tinggi diarahkan ke HR/atasan sesuai prosedur.</t>
  </si>
  <si>
    <t>Proyek "Empati Lintas Departemen" – Memahami Beban Emosional 3 Rekan di Tim Lain</t>
  </si>
  <si>
    <t>Membangun empati ke kolega di luar tim sendiri, menciptakan kolaborasi berbasis kemanusiaan.</t>
  </si>
  <si>
    <t>Pilih 3 rekan dari departemen berbeda yang sedang menghadapi tekanan kerja tinggi. Lakukan wawancara 30 menit dengan fokus: "Apa yang paling membuatmu frustrasi/lelah akhir-akhir ini? Apa yang bisa saya atau tim saya lakukan untuk meringankan beban emosionalmu?" Catat tanpa menghakimi atau memberi solusi instan.</t>
  </si>
  <si>
    <t>3 laporan wawancara; minimal 1 tindakan nyata yang dilakukan (misal: menyesuaikan deadline, membantu tugas kecil, atau sekadar mengucapkan terima kasih lebih sering); umpan balik dari mereka.</t>
  </si>
  <si>
    <t>3 rekan memberi skor ≥4 untuk "tindakan yang dilakukan membuat saya merasa diperhatikan";
minimal 1 tindakan nyata disepakati bersama dan tidak melanggar batas peran/fungsi.</t>
  </si>
  <si>
    <t>Jurnal "Peta Kepentingan Stakeholder"</t>
  </si>
  <si>
    <t>Melatih analisis kepentingan tersembunyi di balik posisi stakeholder.</t>
  </si>
  <si>
    <t>Setiap kali berinteraksi dengan stakeholder sulit, buat peta: apa kepentingan eksplisit mereka vs kepentingan implisit (kekuasaan, pengakuan, keamanan). Catat di jurnal.</t>
  </si>
  <si>
    <t>Jurnal minimal 15 entri; pola kepentingan yang teridentifikasi.</t>
  </si>
  <si>
    <t>Minimal 15 entri selesai, dan minimal 5 entri mendapat skor ≥4 dari mentor/atasan pada aspek akurasi kepentingan, risiko relasi, dan strategi pendekatan.</t>
  </si>
  <si>
    <t>Latihan "Re-framing Konflik" Harian</t>
  </si>
  <si>
    <t>Mengubah persepsi dari "lawan" menjadi "mitra dengan kepentingan berbeda".</t>
  </si>
  <si>
    <t>Setiap kali merasa frustrasi dengan stakeholder, tulis: "Apa yang bisa saya pahami dari sudut pandang mereka yang sah?" dan "Apa kepentingan bersama terbesar kita?"</t>
  </si>
  <si>
    <t>Log 20 situasi; peningkatan skor kepuasan solusi (self-rated).</t>
  </si>
  <si>
    <t>20 catatan terdokumentasi memuat perspektif stakeholder, kepentingan bersama, dan opsi respons konstruktif yang direview mentor.</t>
  </si>
  <si>
    <t>Rekaman &amp; Analisis Negosiasi dengan Stakeholder</t>
  </si>
  <si>
    <t>Mengidentifikasi kebiasaan verbal/nonverbal yang memicu ketegangan.</t>
  </si>
  <si>
    <t>Rekam (izin) 1 negosiasi/rapat dengan stakeholder sulit per bulan. Analisis: kata-kata provokatif, nada suara, bahasa tubuh Anda. Bandingkan dengan versi ideal.</t>
  </si>
  <si>
    <t>6 rekaman analisis; daftar 3 kebiasaan buruk anda perlu diperbaiki,</t>
  </si>
  <si>
    <t>Workshop "Strategic Stakeholder Management"</t>
  </si>
  <si>
    <t>Menguasai pemetaan stakeholder, analisis kepentingan, strategi komunikasi asertif, dan taktik membangun aliansi.</t>
  </si>
  <si>
    <t>Pelatihan 2 hari (16 jam) mencakup: matrix kepentingan-pengaruh, teknik influencing tanpa wewenang, menangani sabotase pasif-agresif.</t>
  </si>
  <si>
    <t>Sertifikat; rencana aksi untuk 3 stakeholder sulit nyata.</t>
  </si>
  <si>
    <t>Kursus "Negotiation for Senior Leaders" (Harvard style)</t>
  </si>
  <si>
    <t>Mempelajari principled negotiation, BATNA, dan teknik menghadapi taktik manipulatif.</t>
  </si>
  <si>
    <t>Kursus online/offline minimal 8 jam. Praktikkan 2 teknik dalam negosiasi nyata.</t>
  </si>
  <si>
    <t>Sertifikat; laporan penerapan 2 teknik beserta hasilnya.</t>
  </si>
  <si>
    <t>2 teknik diterapkan dalam negosiasi nyata dan menghasilkan minimal 1 outcome positif, seperti kesepakatan, penurunan eskalasi, atau komitmen tindak lanjut.</t>
  </si>
  <si>
    <t>Micro-learning "Dealing with Difficult Personalities: Narcissist, Aggressive, Passive-Aggressive"</t>
  </si>
  <si>
    <t>Mengidentifikasi tipe kepribadian sulit dan strategi spesifik menghadapinya.</t>
  </si>
  <si>
    <t>Selesaikan modul 3 jam. Buat cheat sheet strategi untuk 3 tipe.</t>
  </si>
  <si>
    <t>Sertifikat; cheat sheet; aplikasi pada 1 kasus nyata.</t>
  </si>
  <si>
    <t>Strategi diterapkan pada 1 kasus nyata dan mendapat validasi atasan bahwa ketegangan menurun atau komunikasi menjadi lebih konstruktif.</t>
  </si>
  <si>
    <t>"Stakeholder Circle" dengan Peer Division Head</t>
  </si>
  <si>
    <t>Berbagi pengalaman dan strategi menghadapi stakeholder sulit lintas divisi.</t>
  </si>
  <si>
    <t>Bentuk circle 4 orang. Setiap 2 minggu, satu orang cerita tentang stakeholder sulit yang dihadapi. Lainnya memberi saran strategi yang pernah berhasil.</t>
  </si>
  <si>
    <t>12 sesi; catatan strategi baru yang diadopsi; umpan balik circle.</t>
  </si>
  <si>
    <t>Minimal 3 strategi baru diterapkan dalam interaksi stakeholder dan didukung oleh log penerapan atau feedback stakeholder.</t>
  </si>
  <si>
    <t>"Shadowing Stakeholder Meeting" – Mengikuti Director</t>
  </si>
  <si>
    <t>Belajar langsung teknik mengelola stakeholder di level lebih tinggi.</t>
  </si>
  <si>
    <t>Minta izin atasan (Director) untuk mengamati 2 pertemuan dengan stakeholder eksternal/sulit. Catat teknik membuka, menangani bantahan, menutup kesepakatan.</t>
  </si>
  <si>
    <t>2 laporan observasi; daftar 6 teknik; 3 teknik dicoba sendiri.</t>
  </si>
  <si>
    <t>3 teknik berhasil diterapkan dengan feedback/review dari mentor</t>
  </si>
  <si>
    <t>Umpan Balik 360° dari Stakeholder Internal/Eksternal</t>
  </si>
  <si>
    <t>Mengukur persepsi stakeholder tentang kemampuan Anda mengelola hubungan.</t>
  </si>
  <si>
    <t>Identifikasi 3 stakeholder yang sering berinteraksi (bisa rekan divisi lain, vendor, atau atasan). Minta mereka menilai (anonim) kuesioner tentang "seberapa mudah bekerja sama", "seberapa konstruktif saat konflik". Pre &amp; post.</t>
  </si>
  <si>
    <t>Memimpin Proyek Lintas Divisi dengan 2 Stakeholder yang Berselisih</t>
  </si>
  <si>
    <t>Mempraktikkan mediasi dan manajemen kepentingan dalam proyek nyata.</t>
  </si>
  <si>
    <t>Pilih proyek yang melibatkan minimal 2 divisi dengan kepentingan berbeda. Tugas Anda: memfasilitasi kesepakatan, mengelola ekspektasi, menjaga hubungan sepanjang proyek (3-6 bulan).</t>
  </si>
  <si>
    <t>Dokumentasi proses: peta stakeholder, notulen kesepakatan, resolusi konflik; umpan balik dari kedua pihak.</t>
  </si>
  <si>
    <t>Kedua pihak memberi skor ≥4 untuk "proses dikelola dengan adil"</t>
  </si>
  <si>
    <t>Menangani 1 Kasus Eskalasi Konflik dengan Stakeholder Eksternal (misal: regulator, vendor, klien internal)</t>
  </si>
  <si>
    <t>Menerapkan teknik negosiasi dan manajemen konflik tingkat lanjut.</t>
  </si>
  <si>
    <t>Ambil alih penanganan keluhan atau konflik yang sudah naik ke level Division Head. Lakukan analisis, negosiasi, dan resolusi. Dokumentasikan langkah-langkah.</t>
  </si>
  <si>
    <t>Laporan kasus; umpan balik dari pihak eksternal; pembelajaran untuk organisasi.</t>
  </si>
  <si>
    <t>Konflik memiliki kesepakatan/tindak lanjut tertulis, stakeholder memberi skor ≥4 pada aspek profesionalisme dan fairness</t>
  </si>
  <si>
    <t>Membangun "Stakeholder Engagement Plan" untuk 3 Stakeholder Kunci</t>
  </si>
  <si>
    <t>Menginternalisasi strategi pengelolaan stakeholder jangka panjang.</t>
  </si>
  <si>
    <t>Identifikasi 3 stakeholder paling kritis (sulit dan berpengaruh). Buat rencana engagement 12 bulan: frekuensi kontak, topik yang dibahas, strategi membangun kepercayaan. Implementasikan.</t>
  </si>
  <si>
    <t>Rencana tertulis; log implementasi; evaluasi kepuasan stakeholder di akhir.</t>
  </si>
  <si>
    <t>Minimal 2 dari 3 stakeholder melaporkan peningkatan kualitas hubungan;
minimal 2 dari 3 rencana engagement berjalan sesuai jadwal dan menghasilkan feedback stakeholder ≥4.</t>
  </si>
  <si>
    <t>Jurnal "Peta Konflik" Mingguan</t>
  </si>
  <si>
    <t>Melatih analisis mendalam tentang akar dan dinamika konflik.</t>
  </si>
  <si>
    <t>Selama pengembangan, pilih 1 konflik yang terjadi di organisasi (bisa diamati dari jauh). Buat peta: siapa pihak-pihaknya, apa kepentingan masing-masing, apa akar konflik, apa titik temu potensial.</t>
  </si>
  <si>
    <t>Jurnal mingguan (20 peta konflik); pola konflik yang teridentifikasi.</t>
  </si>
  <si>
    <t>Minimal 20 peta konflik selama program, dan minimal 4 peta strategis direview mentor/CEO pada aspek akar konflik, kepentingan pihak, dan titik temu potensial.</t>
  </si>
  <si>
    <t>Latihan "Mencari Titik Temu"</t>
  </si>
  <si>
    <t>Melatih kemampuan menemukan kepentingan bersama di tengah perbedaan.</t>
  </si>
  <si>
    <t>Setiap kali mendengar tentang dua pihak yang berselisih, tulis: apa 3 kepentingan bersama yang mungkin mereka miliki? Bagaimana itu bisa menjadi dasar kesepakatan?</t>
  </si>
  <si>
    <t>Log 20 analisis; peningkatan kemampuan menemukan titik temu.</t>
  </si>
  <si>
    <t>Minimal 20 analisis selesai, dan minimal 80% analisis memuat 3 titik temu potensial yang dinilai relevan oleh mentor.</t>
  </si>
  <si>
    <t>Refleksi "Mediator dalam Diri Sendiri"</t>
  </si>
  <si>
    <t>Meningkatkan kesadaran akan bias dan reaksi emosional sendiri saat menghadapi konflik.</t>
  </si>
  <si>
    <t>Catat reaksi emosional Anda saat menyaksikan atau terlibat dalam konflik. Identifikasi: pihak mana yang cenderung Anda dukung? Mengapa? Bagaimana Anda bisa lebih netral?</t>
  </si>
  <si>
    <t>Jurnal refleksi 20 entri; peningkatan kesadaran diri tentang bias.</t>
  </si>
  <si>
    <t>Mampu mengidentifikasi minimal 3 bias pribadi dan strategi mengatasinya.
Diskusikan dengan mentor</t>
  </si>
  <si>
    <t>Workshop "Advanced Conflict Mediation &amp; Negotiation"</t>
  </si>
  <si>
    <t>Menguasai teknik mediasi tingkat lanjut, termasuk mediasi multipihak dan konflik struktural.</t>
  </si>
  <si>
    <t>Pelatihan 2-3 hari tentang: teknik mediasi, negosiasi integratif, manajemen konflik organisasi, dan membangun konsensus.</t>
  </si>
  <si>
    <t>Sertifikat; rencana mediasi untuk 2 kasus konflik nyata di organisasi.</t>
  </si>
  <si>
    <t>Lulus simulasi mediasi dengan skor minimal 85.
Evaluasi oleh fasilitator saat simulasi</t>
  </si>
  <si>
    <t>Kursus Online "Organizational Conflict Management"</t>
  </si>
  <si>
    <t>Mempelajari teori dan praktik manajemen konflik di tingkat organisasi.</t>
  </si>
  <si>
    <t>Selesaikan kursus online (8-10 jam) tentang sumber konflik organisasi, sistem manajemen konflik, dan peran pemimpin puncak.</t>
  </si>
  <si>
    <t>Sertifikat; proposal sistem manajemen konflik untuk organisasi/divisi.</t>
  </si>
  <si>
    <t>Proposal sistem manajemen konflik mendapat skor ≥4 dari atasan/direksi pada aspek kelayakan, governance, risk mitigation, dan implementability.</t>
  </si>
  <si>
    <t>Program "Certified Mediator" (eksternal)</t>
  </si>
  <si>
    <t>Mendapatkan sertifikasi sebagai mediator profesional.</t>
  </si>
  <si>
    <t>Ikuti program sertifikasi mediator dari lembaga terakreditasi (minimal 40 jam pelatihan).</t>
  </si>
  <si>
    <t>Sertifikat mediator; portofolio kasus mediasi.</t>
  </si>
  <si>
    <t>Lulus ujian sertifikasi.
Evaluasi oleh lembaga sertifikasi</t>
  </si>
  <si>
    <t>"Mediation Circle" dengan Peer Director/Division Head</t>
  </si>
  <si>
    <t>Berlatih mediasi dalam lingkungan aman dengan sesama pemimpin senior.</t>
  </si>
  <si>
    <t>Bentuk circle 6 orang. Setiap 2 bulan, satu orang memaparkan konflik nyata yang dihadapi. Anggota lain berperan sebagai mediator dan memberi saran pendekatan.</t>
  </si>
  <si>
    <t>6 sesi; catatan strategi mediasi yang dipelajari; umpan balik dari pemapar.</t>
  </si>
  <si>
    <t>Setiap pemapar mendapat minimal 3 strategi mediasi yang aplikatif; minimal 2 strategi mediasi diterapkan dalam kasus/simulasi nyata.
Evaluasi oleh peserta</t>
  </si>
  <si>
    <t>"Shadowing Mediasi" – Mengamati Director/CEO dalam 2 Mediasi</t>
  </si>
  <si>
    <t>Belajar dari teladan langsung bagaimana pemimpin puncak melakukan mediasi.</t>
  </si>
  <si>
    <t>Minta izin atasan untuk mengamati 2 sesi mediasi yang dipimpinnya (bisa internal atau eksternal). Catat teknik membuka, mengelola emosi, mencari titik temu, dan menutup.</t>
  </si>
  <si>
    <t>Minimal 4 teknik hasil shadowing diterapkan dalam situasi mediasi/consensus building dan divalidasi atasan/mentor.</t>
  </si>
  <si>
    <t>Umpan Balik 360° tentang "Kemampuan Mediasi &amp; Penyatuan"</t>
  </si>
  <si>
    <t>Mengukur persepsi orang lain tentang kemampuan Anda sebagai penengah dan penyatu.</t>
  </si>
  <si>
    <t>Kuesioner: "Dia mampu menjadi penengah yang netral", "Dia bisa menyatukan pihak yang berbeda". Pre &amp; post dari 7 responden (termasuk yang pernah terlibat konflik dengan Anda).</t>
  </si>
  <si>
    <t>Memediasi 1 Konflik Antar Divisi</t>
  </si>
  <si>
    <t>Menerapkan kemampuan mediasi dalam konflik nyata antar unit organisasi.</t>
  </si>
  <si>
    <t>Ambil peran sebagai mediator untuk konflik antara 2 divisi (bisa konflik sumber daya, wewenang, atau perbedaan pendekatan). Fasilitasi pertemuan, bantu mereka mencapai kesepakatan.</t>
  </si>
  <si>
    <t>Dokumentasi proses mediasi; kesepakatan tertulis; umpan balik dari kedua pihak.</t>
  </si>
  <si>
    <t>Kedua pihak memberi skor ≥4 untuk "proses mediasi netral dan konstruktif".
Review oleh atasan</t>
  </si>
  <si>
    <t>Memfasilitasi "Consensus Building" untuk 1 Keputusan Strategis</t>
  </si>
  <si>
    <t>Mempraktikkan kemampuan menyatukan pihak berbeda untuk keputusan strategis.</t>
  </si>
  <si>
    <t>Pilih 1 keputusan strategis yang membutuhkan persetujuan dari berbagai pihak dengan kepentingan berbeda. Fasilitasi proses untuk mencapai konsensus.</t>
  </si>
  <si>
    <t>Dokumentasi proses; kesepakatan akhir; umpan balik dari peserta.</t>
  </si>
  <si>
    <t>Konsensus tercapai; rata-rata skor kepuasan peserta ≥4 dari 5; keputusan akhir memiliki owner, timeline, dan tindak lanjut yang disepakati.
Review oleh atasan</t>
  </si>
  <si>
    <t>Membangun "Sistem Manajemen Konflik" untuk Organisasi/Divisi</t>
  </si>
  <si>
    <t>Menginternalisasi peran sebagai pembangun sistem, bukan hanya mediator kasus per kasus.</t>
  </si>
  <si>
    <t>Berdasarkan pengalaman dan pembelajaran, rancang sistem manajemen konflik untuk organisasi/divisi: protokol, eskalasi, pelatihan, dan evaluasi. Presentasikan ke direksi.</t>
  </si>
  <si>
    <t>Proposal sistem; presentasi; tindak lanjut yang disetujui.</t>
  </si>
  <si>
    <t>Proposal sistem mendapat persetujuan direksi untuk pilot/implementasi atau masuk agenda governance organisasi.</t>
  </si>
  <si>
    <t>Membuat Milestone &amp; Checkpoint Tracker Pribadi</t>
  </si>
  <si>
    <t>Meningkatkan kemampuan memastikan pekerjaan berjalan sesuai timeline dan checkpoint yang telah ditetapkan.</t>
  </si>
  <si>
    <t>Buat daftar milestone dan checkpoint untuk tugas yang sedang dikerjakan. Tandai status penyelesaian setiap tahap dan lakukan review terhadap keterlambatan yang terjadi.</t>
  </si>
  <si>
    <t>Tracker milestone dan status penyelesaian tugas.</t>
  </si>
  <si>
    <t>≥90% checkpoint tercapai sesuai target waktu.</t>
  </si>
  <si>
    <t>Menerapkan SOP Compliance Checklist</t>
  </si>
  <si>
    <t>Membentuk kebiasaan memastikan setiap tahapan pekerjaan dilakukan sesuai prosedur dan standar yang berlaku.</t>
  </si>
  <si>
    <t>Buat checklist berdasarkan SOP atau work instruction yang digunakan dalam pekerjaan. Lakukan pengecekan sebelum dan sesudah penyelesaian tugas.</t>
  </si>
  <si>
    <t>Checklist kepatuhan SOP dan catatan deviasi.</t>
  </si>
  <si>
    <t>Checklist digunakan pada minimal 10 pekerjaan dan tingkat kepatuhan ≥95%.</t>
  </si>
  <si>
    <t>Melakukan Progress Review dan Early Warning Log</t>
  </si>
  <si>
    <t>Meningkatkan kemampuan mendeteksi potensi keterlambatan atau penyimpangan kualitas sejak dini.</t>
  </si>
  <si>
    <t>Setiap akhir minggu lakukan review progres pekerjaan, identifikasi potensi keterlambatan atau hambatan, dan buat rencana mitigasi sebelum masalah berdampak pada target akhir.</t>
  </si>
  <si>
    <t>Log review progres dan tindakan mitigasi.</t>
  </si>
  <si>
    <t>Minimal 4 review mingguan dilakukan dan seluruh risiko memiliki rencana tindak lanjut.</t>
  </si>
  <si>
    <t>Pelatihan Project Planning &amp; Milestone Management</t>
  </si>
  <si>
    <t>Meningkatkan kemampuan menyusun dan menjalankan pekerjaan sesuai milestone dan target waktu yang telah ditetapkan.</t>
  </si>
  <si>
    <t>1. Mengikuti seluruh sesi pelatihan.
2. Mempelajari konsep milestone, critical path, dan checkpoint monitoring.
3. Mengerjakan studi kasus penyusunan timeline proyek.
4. Membuat contoh milestone pekerjaan yang relevan dengan tugas saat ini.</t>
  </si>
  <si>
    <t>Sertifikat pelatihan dan dokumen milestone plan sederhana.</t>
  </si>
  <si>
    <t>Nilai post-test minimal 80 dan milestone plan lengkap.</t>
  </si>
  <si>
    <t>Workshop SOP Compliance &amp; Quality Assurance</t>
  </si>
  <si>
    <t>Memastikan pekerjaan dilakukan secara konsisten sesuai prosedur dan standar yang berlaku.</t>
  </si>
  <si>
    <t>1. Mengikuti seluruh sesi workshop.
2. Mempelajari prinsip quality assurance dan kepatuhan terhadap SOP.
3. Mengidentifikasi SOP yang digunakan pada pekerjaan saat ini.
4. Membuat checklist checkpoint pelaksanaan pekerjaan berdasarkan SOP yang berlaku.</t>
  </si>
  <si>
    <t>Checklist pelaksanaan pekerjaan berbasis SOP.</t>
  </si>
  <si>
    <t>Checklist memperoleh persetujuan atasan/mentor.</t>
  </si>
  <si>
    <t>Pelatihan Monitoring Progress &amp; Execution Control</t>
  </si>
  <si>
    <t>Meningkatkan kemampuan memonitor kemajuan pekerjaan agar tetap sesuai target waktu dan kualitas yang ditetapkan.</t>
  </si>
  <si>
    <t>1. Mengikuti seluruh materi pelatihan.
2. Mempelajari teknik progress tracking.
3. Menyelesaikan latihan pembuatan tracker.
4. Menyusun template monitoring sederhana.</t>
  </si>
  <si>
    <t>Template monitoring pekerjaan.</t>
  </si>
  <si>
    <t>Template monitoring memuat milestone dan checkpoint yang jelas.</t>
  </si>
  <si>
    <t>Checkpoint Review Berkala dengan Rekan Kerja untuk Memastikan Kepatuhan terhadap Timeline dan SOP</t>
  </si>
  <si>
    <t>Meningkatkan kualitas penyelesaian tugas sekaligus memastikan setiap tahapan pekerjaan dijalankan sesuai milestone, timeline, dan SOP yang berlaku.</t>
  </si>
  <si>
    <t>1. Tentukan rekan kerja sebagai partner checkpoint.
2. Susun milestone dan timeline pekerjaan.
3. Lakukan review progres bersama setiap minggu.
4. Cocokkan progres dengan milestone dan SOP.
5. Catat deviasi yang ditemukan.
6. Susun tindakan perbaikan.
7. Dokumentasikan hasil checkpoint.</t>
  </si>
  <si>
    <t>Log checkpoint dan tindak lanjut perbaikan.</t>
  </si>
  <si>
    <t>Minimal 90% milestone tercapai sesuai jadwal dan seluruh deviasi ditindaklanjuti.</t>
  </si>
  <si>
    <t>Coaching dengan Rekan Senior untuk Mengendalikan Kualitas dan Kepatuhan Proses Kerja</t>
  </si>
  <si>
    <t>Memastikan tugas selesai dengan baik dan dijalankan sesuai tahapan serta timeline yang ditetapkan.</t>
  </si>
  <si>
    <t>1. Tentukan rekan senior sebagai coach.
2. Lakukan coaching minimal 2 kali per bulan.
3. Review progres pekerjaan.
4. Identifikasi potensi keterlambatan.
5. Diskusikan strategi perbaikan.
6. Terapkan rekomendasi.
7. Evaluasi hasil implementasi.</t>
  </si>
  <si>
    <t>Catatan coaching dan bukti implementasi perbaikan.</t>
  </si>
  <si>
    <t>Mengikuti minimal 8 sesi coaching dan menerapkan minimal 80% rekomendasi.</t>
  </si>
  <si>
    <t>Forum Progress Review dengan Stakeholder Internal</t>
  </si>
  <si>
    <t>Membangun disiplin memonitor progres pekerjaan agar sesuai milestone dan ekspektasi stakeholder.</t>
  </si>
  <si>
    <t>1. Identifikasi stakeholder terkait.
2. Buat jadwal progress review.
3. Sampaikan progres terhadap milestone.
4. Diskusikan kendala timeline.
5. Catat masukan dan action plan.
6. Lakukan tindak lanjut.
7. Laporkan status penyelesaian pada review berikutnya.</t>
  </si>
  <si>
    <t>Rekap progress review dan bukti penyelesaian milestone.</t>
  </si>
  <si>
    <t>Minimal 90% milestone tercapai tepat waktu dan seluruh action item ditindaklanjuti.</t>
  </si>
  <si>
    <t>Memimpin Proyek dengan Milestone dan SOP Ketat</t>
  </si>
  <si>
    <t>Meningkatkan kemampuan menyelesaikan pekerjaan dengan kualitas baik sekaligus memastikan tahapan dijalankan sesuai milestone dan SOP.</t>
  </si>
  <si>
    <t>1. Menyusun milestone proyek.
2. Memastikan pekerjaan mengikuti SOP.
3. Melakukan pengecekan progres berkala.
4. Mendokumentasikan deviasi.
5. Melaporkan progres proyek.</t>
  </si>
  <si>
    <t>Timeline proyek, laporan progres dan daftar deviasi.</t>
  </si>
  <si>
    <t>≥90% milestone tercapai tepat waktu dan seluruh deviasi ditindaklanjuti.</t>
  </si>
  <si>
    <t>Mengelola Tugas dengan Checkpoint Berkala</t>
  </si>
  <si>
    <t>Mengembangkan disiplin dalam menjaga kualitas hasil kerja dan pencapaian checkpoint.</t>
  </si>
  <si>
    <t>1. Menentukan checkpoint pekerjaan.
2. Menjalankan aktivitas sesuai jadwal.
3. Review setiap checkpoint.
4. Mengidentifikasi keterlambatan.
5. Menyusun perbaikan.</t>
  </si>
  <si>
    <t>Laporan checkpoint dan progres.</t>
  </si>
  <si>
    <t>≥95% checkpoint tercapai sesuai jadwal tanpa keterlambatan mayor.</t>
  </si>
  <si>
    <t>Menangani Proyek dengan Persyaratan Kepatuhan Tinggi</t>
  </si>
  <si>
    <t>Meningkatkan kualitas output dan kepatuhan terhadap prosedur dan timeline.</t>
  </si>
  <si>
    <t>1. Mengidentifikasi seluruh SOP.
2. Mendokumentasikan tahapan pekerjaan.
3. Monitoring kepatuhan berkala.
4. Mengkomunikasikan temuan.
5. Melakukan evaluasi akhir.</t>
  </si>
  <si>
    <t>Checklist kepatuhan dan evaluasi proyek.</t>
  </si>
  <si>
    <t>≥95% aktivitas sesuai SOP dan seluruh milestone utama tercapai tepat waktu.</t>
  </si>
  <si>
    <t>Impact Goal &amp; Success Metrics Journal</t>
  </si>
  <si>
    <t>Meningkatkan kemampuan menetapkan tujuan yang jelas, ukuran keberhasilan, dan memastikan hasil memberikan dampak nyata (Driving for Impact).</t>
  </si>
  <si>
    <t>1. Tentukan 2 target kerja yang ingin dicapai dalam 2 bulan.
2. Tetapkan indikator keberhasilan dan dampak yang diharapkan.
3. Catat progres dan hasil setiap minggu.
4. Evaluasi apakah tindakan yang dilakukan sudah mendukung pencapaian tujuan.</t>
  </si>
  <si>
    <t>Jurnal target, indikator keberhasilan, dan evaluasi mingguan.</t>
  </si>
  <si>
    <t>Minimal 80% aktivitas monitoring dilakukan dan tersedia evaluasi hasil selama 8 minggu.</t>
  </si>
  <si>
    <t>Deviation &amp; Corrective Action Log</t>
  </si>
  <si>
    <t>Mengembangkan kemampuan menjaga komitmen melalui identifikasi deviasi dan tindakan perbaikan secara konsisten (Tenacity &amp; Strategic Persistence).</t>
  </si>
  <si>
    <t>1. Pilih satu pekerjaan atau target yang sedang berjalan.
2. Catat setiap deviasi, hambatan, atau keterlambatan yang muncul.
3. Identifikasi penyebabnya.
4. Tentukan dan jalankan tindakan korektif.
5. Tinjau kembali efektivitas tindakan yang dilakukan.</t>
  </si>
  <si>
    <t>Log deviasi dan tindakan perbaikan.</t>
  </si>
  <si>
    <t>Minimal terdapat 4 siklus identifikasi deviasi dan tindakan korektif yang terdokumentasi.</t>
  </si>
  <si>
    <t>Monthly Impact Reflection</t>
  </si>
  <si>
    <t>Meningkatkan orientasi pada hasil dan kemampuan mempertahankan komitmen melalui refleksi pencapaian dan penyesuaian strategi.</t>
  </si>
  <si>
    <t>1. Buat ringkasan pencapaian setiap bulan.
2. Bandingkan hasil aktual dengan target yang telah ditetapkan.
3. Identifikasi faktor yang mendukung dan menghambat.
4. Tentukan penyesuaian strategi untuk bulan berikutnya.
5. Dokumentasikan pembelajaran yang diperoleh.</t>
  </si>
  <si>
    <t>Laporan refleksi bulanan dan rencana perbaikan.</t>
  </si>
  <si>
    <t>Tersusun minimal 2 laporan refleksi dengan rencana perbaikan yang jelas.</t>
  </si>
  <si>
    <t>Mempelajari Goal Setting dan Impact Measurement</t>
  </si>
  <si>
    <t>Meningkatkan kemampuan menetapkan target yang jelas serta mengukur dampak pencapaian terhadap sasaran yang ditetapkan.</t>
  </si>
  <si>
    <t>1. Mengikuti materi atau membaca referensi mengenai SMART Goal, KPI, dan Impact Measurement.
2. Membuat ringkasan pembelajaran minimal 2 halaman.
3. Menyusun contoh target kerja beserta indikator keberhasilannya.
4. Mengidentifikasi risiko yang dapat menghambat pencapaian target dan alternatif tindakannya.</t>
  </si>
  <si>
    <t>Ringkasan materi dan contoh target kerja beserta indikator keberhasilan.</t>
  </si>
  <si>
    <t>70% output terimplementasi dan terpenuhi</t>
  </si>
  <si>
    <t>Mempelajari Monitoring Progress dan Corrective Action</t>
  </si>
  <si>
    <t>Mengembangkan kemampuan memantau kemajuan pencapaian tujuan, mengidentifikasi deviasi, dan menentukan tindakan perbaikan yang tepat.</t>
  </si>
  <si>
    <t>1. Mengikuti pelatihan atau mempelajari materi mengenai progress review dan corrective action.
2. Membuat catatan pembelajaran mengenai tahapan monitoring dan evaluasi.
3. Menyusun contoh dashboard monitoring sederhana dan tindakan korektif yang dapat dilakukan apabila terjadi deviasi.
4. Membuat daftar faktor penyebab keterlambatan dan strategi penanganannya.</t>
  </si>
  <si>
    <t>Catatan pembelajaran dan contoh dashboard monitoring beserta corrective action.</t>
  </si>
  <si>
    <t>Mempelajari Strategic Persistence dalam Pencapaian Target</t>
  </si>
  <si>
    <t>Meningkatkan kemampuan mempertahankan komitmen terhadap tujuan melalui penyesuaian strategi secara konsisten ketika menghadapi hambatan.</t>
  </si>
  <si>
    <t>1. Membaca artikel, modul, atau mengikuti webinar mengenai strategic persistence dan resilience dalam pencapaian target.
2. Membuat rangkuman pembelajaran mengenai strategi mempertahankan fokus pada tujuan.
3. Menyusun studi kasus sederhana mengenai hambatan pencapaian target dan alternatif strategi penyesuaiannya.
4. Menyusun lesson learned yang dapat diterapkan pada pekerjaan.</t>
  </si>
  <si>
    <t>Ringkasan materi, studi kasus, dan lesson learned.</t>
  </si>
  <si>
    <t>Melakukan sesi coaching berkala dengan atasan atau mentor terkait pencapaian target kerja yang berdampak</t>
  </si>
  <si>
    <t>Meningkatkan kemampuan menetapkan target yang jelas, mengukur dampak hasil kerja, serta menyesuaikan tindakan untuk memastikan sasaran tercapai.</t>
  </si>
  <si>
    <t>1. Menentukan target kerja yang memiliki dampak nyata bersama mentor.
2. Melakukan diskusi perkembangan dan hambatan secara berkala.
3. Menyepakati tindakan perbaikan apabila terdapat deviasi terhadap target.
4. Mendokumentasikan hasil coaching dan tindak lanjut yang disepakati.</t>
  </si>
  <si>
    <t>Catatan coaching dan action plan perbaikan.</t>
  </si>
  <si>
    <t>Minimal 80% action plan yang disepakati dijalankan dan terdapat peningkatan terhadap target yang dipantau.</t>
  </si>
  <si>
    <t>Melakukan peer review dengan rekan kerja untuk memantau pencapaian milestone dan mengidentifikasi deviasi</t>
  </si>
  <si>
    <t>Mengembangkan ketekunan dan kemampuan melakukan penyesuaian strategi secara konsisten ketika menghadapi hambatan.</t>
  </si>
  <si>
    <t>1. Menentukan milestone dan indikator keberhasilan bersama rekan kerja.
2. Melakukan review kemajuan secara berkala.
3. Mengidentifikasi penyebab deviasi atau hambatan yang muncul.
4. Menyusun alternatif tindakan perbaikan dan memantau implementasinya.</t>
  </si>
  <si>
    <t>Laporan hasil peer review dan daftar tindakan perbaikan.</t>
  </si>
  <si>
    <t>Minimal 90% milestone dipantau secara berkala dan terdapat implementasi tindakan perbaikan atas deviasi yang ditemukan.</t>
  </si>
  <si>
    <t>Meminta umpan balik dari stakeholder terkait dampak hasil kerja dan efektivitas tindak lanjut</t>
  </si>
  <si>
    <t>Meningkatkan kemampuan memastikan hasil kerja memberikan dampak nyata serta menjaga komitmen terhadap pencapaian tujuan.</t>
  </si>
  <si>
    <t>1. Mengidentifikasi stakeholder yang relevan.
2. Meminta umpan balik mengenai hasil kerja yang telah dilakukan.
3. Mendiskusikan area yang perlu ditingkatkan.
4. Menindaklanjuti masukan yang diberikan dan memonitor hasilnya.</t>
  </si>
  <si>
    <t>Rekap umpan balik stakeholder dan rencana tindak lanjut.</t>
  </si>
  <si>
    <t>Minimal memperoleh umpan balik dari 2 stakeholder dan menjalankan minimal 80% tindak lanjut yang telah disepakati.</t>
  </si>
  <si>
    <t>Memimpin Proyek Perbaikan Kinerja dengan Target Dampak Terukur</t>
  </si>
  <si>
    <t>Mengembangkan kemampuan Driving for Impact melalui penetapan target yang jelas, pengukuran keberhasilan, dan penyesuaian tindakan untuk memastikan hasil yang berdampak.</t>
  </si>
  <si>
    <t>1. Pilih satu proses kerja yang perlu ditingkatkan dan tentukan target keberhasilan yang terukur.
2. Susun milestone dan indikator keberhasilan proyek.
3. Jalankan rencana perbaikan dan lakukan evaluasi berkala.
4. Identifikasi hambatan yang muncul dan lakukan penyesuaian tindakan.
5. Dokumentasikan hasil dan dampak yang dicapai.</t>
  </si>
  <si>
    <t>Laporan proyek perbaikan beserta indikator keberhasilan, progress, dan hasil dampak yang dicapai.</t>
  </si>
  <si>
    <t>Minimal 80% target proyek tercapai dan terdapat bukti dampak yang terukur.</t>
  </si>
  <si>
    <t>Menangani Target Kerja yang Mengalami Deviasi</t>
  </si>
  <si>
    <t>Mengembangkan kemampuan Tenacity &amp; Strategic Persistence melalui pemantauan kemajuan, identifikasi deviasi, dan penyesuaian strategi secara konsisten.</t>
  </si>
  <si>
    <t>1. Pilih satu target kerja yang memiliki risiko keterlambatan atau deviasi.
2. Lakukan monitoring pencapaian terhadap milestone yang telah ditetapkan.
3. Identifikasi penyebab deviasi yang terjadi.
4. Susun tindakan korektif dan alternatif solusi.
5. Jalankan penyesuaian dan evaluasi hasilnya secara berkala.</t>
  </si>
  <si>
    <t>Dokumen monitoring progress, analisis deviasi, dan tindakan perbaikan yang dilakukan.</t>
  </si>
  <si>
    <t>Seluruh deviasi utama terdokumentasi dan minimal 80% milestone dapat kembali sesuai target.</t>
  </si>
  <si>
    <t>Memimpin Inisiatif Strategis dengan Evaluasi Berkala</t>
  </si>
  <si>
    <t>Mengembangkan Driving for Impact dan Tenacity &amp; Strategic Persistence melalui pencapaian sasaran yang berdampak dengan penyesuaian strategi secara berkelanjutan.</t>
  </si>
  <si>
    <t>1. Ambil peran sebagai PIC dalam satu inisiatif atau proyek strategis.
2. Tentukan target, KPI, dan milestone yang akan dicapai.
3. Lakukan review progress secara berkala terhadap pencapaian target.
4. Identifikasi hambatan dan lakukan penyesuaian strategi bila diperlukan.
5. Dokumentasikan pembelajaran dan hasil akhir yang diperoleh.</t>
  </si>
  <si>
    <t>Laporan pelaksanaan proyek strategis dan lesson learned.</t>
  </si>
  <si>
    <t>Minimal 80% target proyek tercapai dan seluruh evaluasi serta lesson learned terdokumentasi.</t>
  </si>
  <si>
    <t>Jurnal Pembelajaran dari Keberhasilan dan Kegagalan</t>
  </si>
  <si>
    <t>Meningkatkan kemampuan mengevaluasi hasil dan mengidentifikasi area perbaikan.</t>
  </si>
  <si>
    <t>1. Pilih minimal satu keberhasilan dan satu kegagalan yang dialami setiap minggu.
2. Tuliskan faktor penyebab, pelajaran yang diperoleh, dan hal yang perlu diperbaiki.
3. Tentukan satu corrective action yang akan diterapkan pada pekerjaan berikutnya.
4. Review kembali hasil penerapan corrective action pada minggu berikutnya.</t>
  </si>
  <si>
    <t>Jurnal pembelajaran mingguan dan daftar corrective action.</t>
  </si>
  <si>
    <t>Minimal 8 jurnal pembelajaran selesai dan ≥80% corrective action diterapkan.</t>
  </si>
  <si>
    <t>After Action Review (AAR) Pribadi</t>
  </si>
  <si>
    <t>Membiasakan evaluasi hasil kerja secara sistematis dan menerapkan perbaikan berkelanjutan.</t>
  </si>
  <si>
    <t>1. Pilih satu tugas atau proyek yang telah selesai.
2. Catat apa yang berjalan baik, apa yang tidak berjalan baik, dan penyebabnya.
3. Identifikasi minimal dua peluang perbaikan.
4. Terapkan perbaikan tersebut pada tugas berikutnya dan dokumentasikan hasilnya.</t>
  </si>
  <si>
    <t>Dokumen AAR dan daftar tindakan perbaikan.</t>
  </si>
  <si>
    <t>Minimal 2 AAR selesai dan minimal 2 tindakan perbaikan telah diterapkan.</t>
  </si>
  <si>
    <t>Refleksi dan Continuous Improvement Plan</t>
  </si>
  <si>
    <t>Mengubah pembelajaran menjadi peningkatan kualitas dan efektivitas kerja.</t>
  </si>
  <si>
    <t>1. Lakukan refleksi terhadap pencapaian bulanan.
2. Identifikasi pola keberhasilan dan kesalahan yang berulang.
3. Susun rencana perbaikan beserta target implementasinya.
4. Evaluasi efektivitas perbaikan yang telah dilakukan.</t>
  </si>
  <si>
    <t>Continuous Improvement Plan dan laporan evaluasi.</t>
  </si>
  <si>
    <t>Minimal 80% rencana perbaikan dijalankan dan terdapat peningkatan kualitas hasil kerja.</t>
  </si>
  <si>
    <t>Pelatihan Evaluasi Kinerja dan Continuous Improvement</t>
  </si>
  <si>
    <t>Memahami cara mengevaluasi hasil kerja, mengidentifikasi faktor keberhasilan maupun kegagalan, serta menyusun tindakan perbaikan berkelanjutan.</t>
  </si>
  <si>
    <t>1. Mengikuti pelatihan atau e-learning terkait evaluasi kinerja dan continuous improvement.
2. Mempelajari metode lesson learned dan PDCA.
3. Membuat ringkasan pembelajaran yang diperoleh dan peluang penerapannya.</t>
  </si>
  <si>
    <t>Ringkasan materi dan daftar ide perbaikan yang dapat diterapkan.</t>
  </si>
  <si>
    <t>Menyelesaikan pelatihan dan menghasilkan ringkasan pembelajaran dengan minimal 3 ide perbaikan.</t>
  </si>
  <si>
    <t>Studi Kasus Analisis Keberhasilan dan Kegagalan</t>
  </si>
  <si>
    <t>Meningkatkan kemampuan menarik pembelajaran dari hasil yang dicapai dan menentukan faktor penyebab yang memengaruhi efektivitas kinerja.</t>
  </si>
  <si>
    <t>1. Mempelajari minimal 3 studi kasus keberhasilan atau kegagalan proyek.
2. Mengidentifikasi faktor yang berkontribusi terhadap hasil tersebut.
3. Menyusun lesson learned dan rekomendasi perbaikan.</t>
  </si>
  <si>
    <t>Dokumen lesson learned dan rekomendasi perbaikan.</t>
  </si>
  <si>
    <t>Menyelesaikan analisis terhadap minimal 3 studi kasus dan menghasilkan rekomendasi yang relevan.</t>
  </si>
  <si>
    <t>Workshop Root Cause Analysis dan Action Improvement</t>
  </si>
  <si>
    <t>Mengembangkan kemampuan mengimplementasikan tindakan perbaikan untuk meningkatkan kualitas dan efektivitas hasil kerja.</t>
  </si>
  <si>
    <t>1. Mengikuti workshop Root Cause Analysis.
2. Mempelajari metode 5 Why dan Fishbone Diagram.
3. Menyusun rencana tindakan perbaikan untuk satu kasus nyata di area kerja.</t>
  </si>
  <si>
    <t>Action plan perbaikan dan analisis akar masalah.</t>
  </si>
  <si>
    <t>Menghasilkan action plan yang memuat akar masalah, solusi, PIC, dan target implementasi.</t>
  </si>
  <si>
    <t>Sesi After Action Review (AAR) bersama atasan atau mentor</t>
  </si>
  <si>
    <t>Mengembangkan kemampuan mengevaluasi hasil kerja, mengidentifikasi faktor keberhasilan dan kegagalan, serta memperoleh pembelajaran yang dapat diterapkan untuk peningkatan kinerja berikutnya.</t>
  </si>
  <si>
    <t>1. Pilih satu pekerjaan atau proyek yang telah selesai.
2. Jadwalkan diskusi dengan atasan atau mentor.
3. Bahas target, hasil aktual, faktor pendukung, hambatan, dan area perbaikan.
4. Catat minimal tiga pembelajaran.
5. Susun rencana tindakan perbaikan.</t>
  </si>
  <si>
    <t>Dokumen After Action Review (AAR) dan action plan perbaikan</t>
  </si>
  <si>
    <t>Mendokumentasikan minimal 3 pembelajaran dan menyusun minimal 2 tindakan perbaikan yang disetujui atasan atau mentor.</t>
  </si>
  <si>
    <t>Peer Learning Session mengenai keberhasilan dan kegagalan pekerjaan</t>
  </si>
  <si>
    <t>Meningkatkan kemampuan mengambil pembelajaran dari pengalaman orang lain dan menerapkan praktik yang lebih efektif untuk meningkatkan kualitas hasil kerja.</t>
  </si>
  <si>
    <t>1. Identifikasi rekan kerja terkait.
2. Lakukan sesi berbagi pengalaman.
3. Catat praktik efektif dan kesalahan yang perlu dihindari.
4. Pilih minimal dua pembelajaran untuk diterapkan.
5. Diskusikan hasil implementasi dengan rekan kerja.</t>
  </si>
  <si>
    <t>Ringkasan hasil peer learning dan daftar best practice</t>
  </si>
  <si>
    <t>Mengikuti minimal 2 sesi diskusi, mendokumentasikan minimal 3 pembelajaran, serta menerapkan minimal 2 praktik perbaikan.</t>
  </si>
  <si>
    <t>Coaching berkala untuk mengevaluasi implementasi perbaikan</t>
  </si>
  <si>
    <t>Memastikan tindakan perbaikan dilakukan secara berkelanjutan melalui pendampingan dan umpan balik dari atasan atau coach.</t>
  </si>
  <si>
    <t>1. Tentukan area perbaikan.
2. Lakukan sesi coaching berkala.
3. Sampaikan perkembangan implementasi.
4. Minta masukan terkait efektivitas perubahan.
5. Perbarui rencana perbaikan.</t>
  </si>
  <si>
    <t>Catatan coaching dan progress implementasi tindakan perbaikan</t>
  </si>
  <si>
    <t>Mengikuti minimal 3 sesi coaching dan menunjukkan peningkatan kualitas atau efektivitas pekerjaan.</t>
  </si>
  <si>
    <t>Proyek Evaluasi Hasil dan Lesson Learned</t>
  </si>
  <si>
    <t>Mengembangkan kemampuan mengevaluasi hasil yang dicapai serta mengambil pembelajaran dari keberhasilan maupun kegagalan.</t>
  </si>
  <si>
    <t>1. Pilih satu proyek atau pekerjaan yang telah selesai.
2. Bandingkan target dan hasil aktual.
3. Identifikasi faktor keberhasilan dan area perbaikan.
4. Susun lesson learned dan rekomendasi perbaikan.
5. Presentasikan hasil evaluasi kepada atasan atau tim.</t>
  </si>
  <si>
    <t>Dokumen evaluasi selesai, minimal 3 lesson learned dan 3 rekomendasi perbaikan disetujui atasan.</t>
  </si>
  <si>
    <t>Implementasi Continuous Improvement</t>
  </si>
  <si>
    <t>Mengembangkan kemampuan mengimplementasikan tindakan perbaikan secara berkelanjutan untuk meningkatkan efektivitas kerja.</t>
  </si>
  <si>
    <t>1. Pilih satu proses kerja yang memerlukan perbaikan.
2. Tentukan akar masalah dan tindakan perbaikan.
3. Implementasikan perbaikan dalam pekerjaan sehari-hari.
4. Ukur dampak sebelum dan sesudah perbaikan.
5. Dokumentasikan hasil implementasi.</t>
  </si>
  <si>
    <t>Laporan implementasi continuous improvement beserta hasilnya.</t>
  </si>
  <si>
    <t>Minimal satu inisiatif perbaikan diterapkan dan menunjukkan peningkatan efektivitas atau kualitas kerja.</t>
  </si>
  <si>
    <t>Memimpin Review Pasca Penyelesaian Proyek</t>
  </si>
  <si>
    <t>Mengembangkan kemampuan melakukan refleksi dan membangun budaya pembelajaran dari hasil kerja.</t>
  </si>
  <si>
    <t>1. Memimpin sesi review pasca proyek bersama tim.
2. Mengidentifikasi keberhasilan dan hambatan yang terjadi.
3. Menentukan tindakan pencegahan dan perbaikan ke depan.
4. Mendokumentasikan hasil diskusi.
5. Memastikan tindak lanjut dijalankan.</t>
  </si>
  <si>
    <t>Notulen review proyek dan daftar action plan.</t>
  </si>
  <si>
    <t>Sesi review terlaksana, action plan terdokumentasi dan minimal 80% tindak lanjut dijalankan.</t>
  </si>
  <si>
    <t>Membuat Jurnal Fokus dan Pengelolaan Tekanan Kerja</t>
  </si>
  <si>
    <t>Mengembangkan kemampuan mempertahankan fokus, menentukan prioritas, dan tetap efektif dalam situasi yang penuh tekanan.</t>
  </si>
  <si>
    <t>1. Identifikasi minimal 3 situasi kerja yang menimbulkan tekanan.
2. Catat gangguan, respons, dan prioritas yang dipilih.
3. Tuliskan strategi untuk mempertahankan fokus.
4. Lakukan refleksi dan perbaikan.</t>
  </si>
  <si>
    <t>Jurnal refleksi pengelolaan tekanan dan fokus kerja</t>
  </si>
  <si>
    <t>Minimal terdapat 8 jurnal mingguan dan terdapat bukti refleksi serta tindakan perbaikan yang dilakukan secara konsisten.</t>
  </si>
  <si>
    <t>Evaluasi Strategi Kerja dan Action Improvement Plan</t>
  </si>
  <si>
    <t>Mengembangkan kemampuan mengenali strategi yang kurang efektif dan melakukan penyesuaian untuk memperoleh hasil yang lebih baik.</t>
  </si>
  <si>
    <t>1. Pilih 2-3 aktivitas atau target kerja.
2. Evaluasi efektivitas strategi saat ini.
3. Identifikasi hambatan.
4. Susun minimal 2 alternatif strategi.
5. Terapkan dan evaluasi hasilnya.</t>
  </si>
  <si>
    <t>Dokumen evaluasi strategi dan action improvement plan</t>
  </si>
  <si>
    <t>Terdapat minimal 2 usulan perbaikan strategi dan minimal 1 strategi baru telah diterapkan serta dievaluasi hasilnya.</t>
  </si>
  <si>
    <t>Latihan Simulasi Prioritas dan Adaptasi Strategi dalam Kondisi Bertekanan</t>
  </si>
  <si>
    <t>Mengembangkan kemampuan mempertahankan fokus sekaligus menyesuaikan strategi ketika kondisi berubah agar target tetap tercapai.</t>
  </si>
  <si>
    <t>1. Pilih satu target pekerjaan.
2. Buat daftar prioritas.
3. Simulasikan minimal 3 skenario perubahan.
4. Tentukan penyesuaian strategi.
5. Lakukan refleksi efektivitas strategi.</t>
  </si>
  <si>
    <t>Dokumen simulasi skenario, prioritas, dan alternatif strategi</t>
  </si>
  <si>
    <t>Minimal terdapat 3 skenario perubahan yang dianalisis dan tersedia alternatif strategi yang relevan serta hasil refleksi pembelajaran.</t>
  </si>
  <si>
    <t>Pelatihan dan Studi Kasus: Maintaining Focus Under Pressure</t>
  </si>
  <si>
    <t>Meningkatkan kemampuan mempertahankan fokus, menentukan prioritas, dan mengambil keputusan yang efektif dalam situasi penuh tekanan.</t>
  </si>
  <si>
    <t>1. Mengikuti pelatihan atau e-learning terkait stress management, prioritization, dan decision making under pressure.
2. Mempelajari minimal 3 studi kasus kegagalan dan keberhasilan pengambilan keputusan dalam kondisi tekanan tinggi.
3. Membuat ringkasan pembelajaran dan faktor yang membantu menjaga fokus.</t>
  </si>
  <si>
    <t>Ringkasan pembelajaran dan analisis studi kasus.</t>
  </si>
  <si>
    <t>Menyelesaikan pelatihan dan membuat ringkasan minimal 2 halaman serta memperoleh nilai post-test minimal 80.</t>
  </si>
  <si>
    <t>Workshop Agile Strategy Adjustment</t>
  </si>
  <si>
    <t>Meningkatkan kemampuan mengenali strategi yang kurang efektif dan melakukan penyesuaian pendekatan untuk mencapai target.</t>
  </si>
  <si>
    <t>1. Mengikuti workshop atau webinar mengenai agile thinking, adaptive strategy, atau continuous improvement.
2. Mempelajari minimal 2 metode evaluasi strategi seperti PDCA atau retrospektif.
3. Membuat simulasi perubahan strategi berdasarkan skenario yang diberikan.</t>
  </si>
  <si>
    <t>Dokumen simulasi perubahan strategi dan lesson learned.</t>
  </si>
  <si>
    <t>Mengikuti seluruh sesi pembelajaran dan menghasilkan simulasi strategi dengan tingkat penyelesaian 100%.</t>
  </si>
  <si>
    <t>Mini Project Analisis Tekanan dan Penyesuaian Strategi</t>
  </si>
  <si>
    <t>Mengintegrasikan kemampuan menjaga fokus di bawah tekanan dan menyesuaikan strategi ketika pendekatan awal tidak efektif.</t>
  </si>
  <si>
    <t>1. Memilih satu kasus bisnis atau operasional yang memiliki kendala atau tekanan tinggi.
2. Mengidentifikasi prioritas dan risiko utama yang memengaruhi hasil.
3. Menyusun alternatif strategi dan menentukan perubahan yang diperlukan.
4. Membuat laporan pembelajaran dan rekomendasi perbaikan.</t>
  </si>
  <si>
    <t>Laporan mini project dan rekomendasi strategi.</t>
  </si>
  <si>
    <t>Laporan diselesaikan 100%, rekomendasi dapat dipresentasikan dengan baik, dan memperoleh penilaian minimal kategori Baik.</t>
  </si>
  <si>
    <t>Peer Coaching dan Review Penanganan Situasi Bertekanan</t>
  </si>
  <si>
    <t>Meningkatkan kemampuan mempertahankan fokus, prioritas kerja, dan kualitas keputusan dalam kondisi tekanan tinggi melalui umpan balik dari rekan kerja.</t>
  </si>
  <si>
    <t>1. Pilih 1 rekan kerja sebagai peer coach.
2. Diskusikan minimal 2 kasus pekerjaan yang dilakukan dalam situasi bertekanan.
3. Identifikasi faktor yang membantu atau mengganggu fokus.
4. Mintakan masukan terkait cara menjaga prioritas dan efektivitas tindakan.
5. Susun rencana perbaikan bersama.</t>
  </si>
  <si>
    <t>Catatan hasil diskusi dan action plan perbaikan.</t>
  </si>
  <si>
    <t>Melakukan minimal 2 sesi peer coaching dan memiliki action plan yang disepakati bersama.</t>
  </si>
  <si>
    <t>Sharing Session dengan Mentor mengenai Penyesuaian Strategi Kerja</t>
  </si>
  <si>
    <t>Mengembangkan kemampuan mengenali strategi yang kurang efektif dan melakukan penyesuaian pendekatan agar target tetap tercapai.</t>
  </si>
  <si>
    <t>1. Tentukan mentor atau atasan sebagai learning partner.
2. Pilih satu target kerja yang mengalami hambatan.
3. Diskusikan penyebab kurang efektifnya strategi yang digunakan.
4. Identifikasi alternatif strategi yang lebih sesuai.
5. Terapkan strategi baru dan lakukan evaluasi bersama mentor.</t>
  </si>
  <si>
    <t>Dokumen evaluasi strategi dan rekomendasi perbaikan.</t>
  </si>
  <si>
    <t>Minimal satu strategi kerja berhasil disesuaikan dan mendapatkan umpan balik positif dari mentor.</t>
  </si>
  <si>
    <t>After Action Review Bersama Tim</t>
  </si>
  <si>
    <t>Meningkatkan kemampuan tetap fokus di bawah tekanan sekaligus melakukan penyesuaian strategi berdasarkan pembelajaran dari tim.</t>
  </si>
  <si>
    <t>1. Lakukan sesi review setelah penyelesaian proyek atau tugas penting.
2. Diskusikan kondisi yang menimbulkan tekanan dan dampaknya terhadap hasil kerja.
3. Identifikasi strategi yang efektif dan yang perlu diperbaiki.
4. Kumpulkan masukan dari anggota tim.
5. Susun rekomendasi tindakan untuk proyek berikutnya.</t>
  </si>
  <si>
    <t>Laporan hasil after action review dan lesson learned.</t>
  </si>
  <si>
    <t>Terdapat lesson learned yang terdokumentasi dan minimal 80% rekomendasi dapat diterapkan pada pekerjaan berikutnya.</t>
  </si>
  <si>
    <t>Memimpin Penanganan Target Prioritas di Situasi Tekanan Tinggi</t>
  </si>
  <si>
    <t>Melatih kemampuan mempertahankan fokus, prioritas kerja, dan efektivitas tindakan pada situasi penuh tekanan.</t>
  </si>
  <si>
    <t>1. Pilih proyek atau target kerja dengan tenggat waktu ketat.
2. Susun prioritas dan rencana aksi mingguan.
3. Dokumentasikan tantangan dan cara menjaga fokus selama pelaksanaan.
4. Lakukan evaluasi hasil setelah target selesai.</t>
  </si>
  <si>
    <t>Laporan pelaksanaan proyek dan lesson learned.</t>
  </si>
  <si>
    <t>Target proyek tercapai minimal 90% dan terdapat evaluasi tindakan yang dilakukan.</t>
  </si>
  <si>
    <t>Melakukan Penyesuaian Strategi pada Proyek Berjalan</t>
  </si>
  <si>
    <t>Melatih kemampuan mengenali strategi yang kurang efektif dan melakukan penyesuaian untuk meningkatkan pencapaian hasil.</t>
  </si>
  <si>
    <t>1. Identifikasi hambatan atau strategi yang kurang efektif dalam pekerjaan.
2. Analisis penyebab dan alternatif solusi.
3. Terapkan strategi baru dan bandingkan hasilnya.
4. Dokumentasikan perubahan dan dampaknya.</t>
  </si>
  <si>
    <t>Laporan perubahan strategi dan hasil implementasi.</t>
  </si>
  <si>
    <t>Minimal terdapat satu perubahan strategi yang menunjukkan peningkatan hasil atau efisiensi.</t>
  </si>
  <si>
    <t>Menjadi PIC Inisiatif Perbaikan Kinerja Tim</t>
  </si>
  <si>
    <t>Mengembangkan kemampuan tetap fokus di bawah tekanan sekaligus melakukan penyesuaian pendekatan bila diperlukan.</t>
  </si>
  <si>
    <t>1. Pimpin satu inisiatif perbaikan proses atau target tim.
2. Monitor progres dan kendala secara berkala.
3. Sesuaikan pendekatan apabila hasil belum sesuai target.
4. Presentasikan hasil dan pembelajaran yang diperoleh.</t>
  </si>
  <si>
    <t>Presentasi hasil inisiatif dan rekomendasi perbaikan.</t>
  </si>
  <si>
    <t>Inisiatif selesai sesuai target dan memperoleh umpan balik positif dari atasan atau stakeholder.</t>
  </si>
  <si>
    <t>Membuat Priority &amp; Control Board Pribadi</t>
  </si>
  <si>
    <t>Melatih kemampuan menetapkan prioritas, membangun mekanisme kontrol sederhana, dan menjaga fokus penyelesaian pekerjaan di tengah perubahan.</t>
  </si>
  <si>
    <t>1. Identifikasi maksimal 5 prioritas utama setiap minggu.
2. Buat papan kontrol sederhana berisi target, status, risiko, dan tindakan mitigasi.
3. Tinjau dan perbarui status pekerjaan setiap akhir hari kerja.
4. Catat hambatan dan tindakan penyesuaian yang dilakukan.</t>
  </si>
  <si>
    <t>Priority &amp; Control Board mingguan dan catatan tindakan korektif.</t>
  </si>
  <si>
    <t>Minimal 80% target mingguan terdokumentasi dan board diperbarui secara konsisten.</t>
  </si>
  <si>
    <t>Latihan Membuat Rencana Kontinjensi</t>
  </si>
  <si>
    <t>Mengembangkan kemampuan menyusun rencana tindakan alternatif ketika menghadapi ketidakpastian atau perubahan kondisi.</t>
  </si>
  <si>
    <t>1. Pilih minimal 3 aktivitas kerja yang berisiko mengalami perubahan.
2. Identifikasi risiko yang mungkin terjadi.
3. Buat minimal dua alternatif solusi atau rencana cadangan untuk setiap risiko.
4. Dokumentasikan hasil evaluasi setelah risiko terjadi atau simulasi dilakukan.</t>
  </si>
  <si>
    <t>Dokumen contingency plan dan hasil evaluasi penerapannya.</t>
  </si>
  <si>
    <t>Minimal 3 contingency plan dibuat dan 70% tindakan alternatif dapat diterapkan dengan baik.</t>
  </si>
  <si>
    <t>Jurnal Refleksi Penyesuaian Strategi di Bawah Tekanan</t>
  </si>
  <si>
    <t>Melatih kemampuan mengevaluasi efektivitas tindakan dan melakukan penyesuaian strategi secara adaptif.</t>
  </si>
  <si>
    <t>1. Catat minimal satu situasi yang menimbulkan tekanan setiap minggu.
2. Tuliskan prioritas yang ditetapkan, keputusan yang diambil, dan alasan perubahan strategi.
3. Evaluasi hasil yang diperoleh dan pelajaran yang didapat.
4. Identifikasi perbaikan untuk menghadapi situasi serupa di masa depan.</t>
  </si>
  <si>
    <t>Jurnal refleksi dan daftar lesson learned.</t>
  </si>
  <si>
    <t>Minimal 4 jurnal refleksi disusun dan 80% lesson learned dapat diterapkan pada pekerjaan berikutnya.</t>
  </si>
  <si>
    <t>Mempelajari konsep Prioritization &amp; Adaptive Action Planning</t>
  </si>
  <si>
    <t>Memahami prinsip pengendalian, prioritas, dan penyusunan rencana tindakan adaptif saat menghadapi tekanan dan ketidakpastian.</t>
  </si>
  <si>
    <t>1. Mengikuti e-learning atau membaca materi mengenai prioritization matrix, contingency planning, dan action plan adaptif.
2. Membuat ringkasan materi yang dipelajari.
3. Menuliskan contoh penerapan pada situasi kerja sehari-hari.</t>
  </si>
  <si>
    <t>Ringkasan materi dan contoh penerapan.</t>
  </si>
  <si>
    <t>Menyelesaikan materi pembelajaran dan menghasilkan ringkasan dengan minimal 80% topik utama tercakup.</t>
  </si>
  <si>
    <t>Mengikuti studi kasus pengambilan keputusan di bawah tekanan</t>
  </si>
  <si>
    <t>Melatih kemampuan menetapkan prioritas dan memilih tindakan yang efektif dalam kondisi penuh tekanan.</t>
  </si>
  <si>
    <t>1. Mengikuti pelatihan/webinar atau mempelajari studi kasus terkait problem solving under pressure.
2. Menganalisis akar masalah dan alternatif tindakan.
3. Menyusun prioritas dan rencana tindakan yang adaptif.</t>
  </si>
  <si>
    <t>Dokumen analisis studi kasus dan action plan.</t>
  </si>
  <si>
    <t>Menyusun action plan yang memuat prioritas, mitigasi risiko, dan alternatif tindakan secara lengkap.</t>
  </si>
  <si>
    <t>Belajar teknik monitoring dan control system sederhana</t>
  </si>
  <si>
    <t>Meningkatkan kemampuan membangun sistem pengendalian untuk menjaga efektivitas penyelesaian masalah.</t>
  </si>
  <si>
    <t>1. Mempelajari materi mengenai dashboard sederhana, checklist monitoring, dan indikator keberhasilan.
2. Membuat template monitoring sederhana.
3. Menguji penggunaannya pada satu aktivitas kerja.</t>
  </si>
  <si>
    <t>Template monitoring dan hasil uji coba.</t>
  </si>
  <si>
    <t>Template monitoring dapat digunakan dan memuat indikator, target, serta tindak lanjut yang jelas.</t>
  </si>
  <si>
    <t>Shadowing dan Coaching Pengelolaan Prioritas dalam Situasi Bertekanan</t>
  </si>
  <si>
    <t>Mempelajari cara membangun sistem pengendalian, menentukan prioritas, dan menjaga efektivitas penyelesaian masalah melalui pembelajaran dari atasan atau mentor.</t>
  </si>
  <si>
    <t>1. Menentukan mentor yang memiliki pengalaman menangani situasi bertekanan.
2. Melakukan shadowing minimal pada tiga kasus atau aktivitas prioritas tinggi.
3. Melakukan sesi coaching untuk membahas cara menentukan prioritas dan langkah adaptif.
4. Mendokumentasikan pembelajaran dan rencana penerapan.</t>
  </si>
  <si>
    <t>Catatan hasil shadowing dan action plan perbaikan.</t>
  </si>
  <si>
    <t>Mengikuti minimal 3 sesi shadowing dan menyusun action plan yang disetujui mentor.</t>
  </si>
  <si>
    <t>Peer Discussion dan Studi Kasus Penanganan Masalah di Bawah Tekanan</t>
  </si>
  <si>
    <t>Mengembangkan kemampuan menyusun alternatif solusi dan rencana tindakan adaptif melalui diskusi dengan rekan kerja.</t>
  </si>
  <si>
    <t>1. Membentuk kelompok diskusi dengan rekan lintas fungsi.
2. Membahas minimal dua studi kasus terkait masalah dengan tekanan tinggi.
3. Mengidentifikasi prioritas, risiko, dan alternatif solusi.
4. Menyusun ringkasan pembelajaran dan rekomendasi.</t>
  </si>
  <si>
    <t>Ringkasan studi kasus dan rekomendasi solusi.</t>
  </si>
  <si>
    <t>Menyelesaikan minimal 2 studi kasus dan menghasilkan rekomendasi yang dapat diterapkan.</t>
  </si>
  <si>
    <t>Mentoring dan Umpan Balik terhadap Penerapan Sistem Pengendalian</t>
  </si>
  <si>
    <t>Memperoleh masukan untuk meningkatkan efektivitas pengendalian dan pengambilan tindakan adaptif saat menghadapi tekanan.</t>
  </si>
  <si>
    <t>1. Meminta umpan balik dari mentor atau stakeholder terkait.
2. Mendiskusikan efektivitas prioritas dan langkah yang telah dilakukan.
3. Mengidentifikasi area perbaikan.
4. Menyusun rencana tindak lanjut.</t>
  </si>
  <si>
    <t>Dokumen feedback dan rencana perbaikan.</t>
  </si>
  <si>
    <t>Memperoleh feedback dari minimal 2 pihak dan menyusun tindak lanjut yang dapat diimplementasikan.</t>
  </si>
  <si>
    <t>Menjadi PIC Penanganan Permasalahan Operasional Bertekanan Tinggi</t>
  </si>
  <si>
    <t>Melatih kemampuan membangun sistem pengendalian, menetapkan prioritas, dan menyusun rencana tindakan adaptif dalam situasi yang penuh tekanan dan ketidakpastian.</t>
  </si>
  <si>
    <t>1. Identifikasi permasalahan utama dan dampaknya.
2. Susun prioritas penanganan berdasarkan urgensi dan risiko.
3. Buat action plan beserta kontrol progresnya.
4. Lakukan evaluasi dan penyesuaian strategi apabila terdapat perubahan kondisi.</t>
  </si>
  <si>
    <t>Laporan penanganan masalah dan action plan yang telah dijalankan.</t>
  </si>
  <si>
    <t>Minimal 90% action plan terlaksana dan permasalahan utama dapat diselesaikan sesuai target.</t>
  </si>
  <si>
    <t>Memimpin Simulasi Crisis Response Project</t>
  </si>
  <si>
    <t>Meningkatkan kemampuan mengambil keputusan dan menjaga efektivitas penyelesaian masalah dalam kondisi tekanan tinggi.</t>
  </si>
  <si>
    <t>1. Pimpin simulasi penanganan isu kritis.
2. Tentukan prioritas tindakan dan pembagian peran.
3. Lakukan monitoring terhadap perkembangan situasi.
4. Dokumentasikan lesson learned dan perbaikan yang diperlukan.</t>
  </si>
  <si>
    <t>Dokumen simulasi, evaluasi, dan lesson learned.</t>
  </si>
  <si>
    <t>Seluruh tahapan simulasi terlaksana dan minimal 80% area perbaikan telah ditindaklanjuti.</t>
  </si>
  <si>
    <t>Memimpin Inisiatif Perbaikan Proses pada Area dengan Target Ketat</t>
  </si>
  <si>
    <t>Mengembangkan kemampuan menyusun rencana tindakan yang adaptif untuk menjaga pencapaian hasil di tengah tekanan target.</t>
  </si>
  <si>
    <t>1. Identifikasi hambatan proses dan risiko pencapaian target.
2. Susun rencana perbaikan dan indikator kontrol.
3. Implementasikan perbaikan secara bertahap.
4. Lakukan review berkala dan sesuaikan strategi apabila diperlukan.</t>
  </si>
  <si>
    <t>Laporan implementasi perbaikan proses beserta hasilnya.</t>
  </si>
  <si>
    <t>Minimal satu inisiatif perbaikan berhasil diimplementasikan dan menunjukkan peningkatan kinerja yang terukur.</t>
  </si>
  <si>
    <t>Menyusun Personal Performance Planning Journal</t>
  </si>
  <si>
    <t>Membangun kebiasaan menyusun perencanaan dan target kinerja secara terarah.</t>
  </si>
  <si>
    <t>1. Menentukan 3 target prioritas bulanan.
2. Menjabarkan target menjadi aktivitas mingguan.
3. Menentukan indikator keberhasilan setiap target.
4. Melakukan evaluasi pencapaian setiap akhir minggu.</t>
  </si>
  <si>
    <t>Personal Performance Planning Journal</t>
  </si>
  <si>
    <t>Menyusun jurnal secara konsisten selama minimal 8 minggu dan mencapai ≥80% target aktivitas mingguan.</t>
  </si>
  <si>
    <t>Melakukan Weekly Performance Review</t>
  </si>
  <si>
    <t>Meningkatkan disiplin dalam memonitor pencapaian dan melakukan perbaikan kinerja secara berkelanjutan.</t>
  </si>
  <si>
    <t>1. Membuat daftar target mingguan.
2. Mencatat realisasi dan kendala setiap minggu.
3. Mengidentifikasi akar penyebab target yang belum tercapai.
4. Menentukan rencana perbaikan untuk minggu berikutnya.</t>
  </si>
  <si>
    <t>Lembar Weekly Performance Review</t>
  </si>
  <si>
    <t>Melaksanakan review minimal 8 kali dan memiliki rencana perbaikan yang terdokumentasi pada setiap periode.</t>
  </si>
  <si>
    <t>Membuat Dashboard Pemantauan Kinerja Pribadi</t>
  </si>
  <si>
    <t>Membiasakan pengelolaan kinerja berbasis data dan pencapaian hasil yang optimal secara konsisten.</t>
  </si>
  <si>
    <t>1. Menentukan indikator kinerja utama yang akan dipantau.
2. Membuat dashboard sederhana menggunakan Excel atau aplikasi sejenis.
3. Memperbarui data capaian secara berkala.
4. Melakukan refleksi atas tren pencapaian yang diperoleh.</t>
  </si>
  <si>
    <t>Dashboard Pemantauan Kinerja Pribadi</t>
  </si>
  <si>
    <t>Dashboard diperbarui secara konsisten dan menunjukkan pemantauan minimal terhadap 3 indikator kinerja utama.</t>
  </si>
  <si>
    <t>Mempelajari Konsep Performance Management dan Goal Cascading</t>
  </si>
  <si>
    <t>Memahami prinsip penyusunan sistem perencanaan dan pengelolaan kinerja yang terarah.</t>
  </si>
  <si>
    <t>1. Mengikuti pelatihan atau e-learning terkait Performance Management.
2. Mempelajari konsep KPI, goal cascading, dan target setting.
3. Membuat ringkasan materi yang dipelajari.</t>
  </si>
  <si>
    <t>Ringkasan materi dan insight pembelajaran.</t>
  </si>
  <si>
    <t>Ringkasan materi selesai dan minimal 80% materi pembelajaran telah diselesaikan.</t>
  </si>
  <si>
    <t>Mempelajari Best Practice Penyusunan KPI dan Balanced Scorecard</t>
  </si>
  <si>
    <t>Meningkatkan kemampuan merancang pengelolaan kinerja yang mendukung pencapaian hasil secara konsisten.</t>
  </si>
  <si>
    <t>1. Membaca minimal 3 referensi atau mengikuti webinar terkait KPI dan Balanced Scorecard.
2. Membandingkan praktik yang diterapkan pada beberapa organisasi.
3. Menyusun catatan pembelajaran dan rekomendasi penerapan.</t>
  </si>
  <si>
    <t>Dokumen benchmarking dan catatan pembelajaran.</t>
  </si>
  <si>
    <t>Minimal 3 referensi dipelajari dan rekomendasi penerapan terdokumentasi dengan baik.</t>
  </si>
  <si>
    <t>Mengikuti Pelatihan Analisis Kinerja dan Continuous Improvement</t>
  </si>
  <si>
    <t>Memahami cara memonitor, mengevaluasi, dan menjaga pencapaian hasil yang optimal secara berkelanjutan.</t>
  </si>
  <si>
    <t>1. Mengikuti pelatihan terkait performance review atau continuous improvement.
2. Mempelajari metode evaluasi pencapaian target.
3. Menyusun action plan perbaikan berdasarkan hasil pembelajaran.</t>
  </si>
  <si>
    <t>Action plan peningkatan kinerja.</t>
  </si>
  <si>
    <t>Action plan tersusun dan memperoleh hasil evaluasi pelatihan minimal 80%.</t>
  </si>
  <si>
    <t>Benchmarking dan Diskusi dengan Pemilik Proses Kinerja</t>
  </si>
  <si>
    <t>Memahami praktik pengelolaan kinerja yang efektif dan konsisten.</t>
  </si>
  <si>
    <t>1. Menentukan minimal 2 rekan kerja atau atasan yang memiliki pengalaman dalam pengelolaan kinerja.
2. Melakukan sesi diskusi untuk mempelajari proses perencanaan dan monitoring kinerja.
3. Mendokumentasikan praktik baik yang dapat diterapkan pada area kerja sendiri.</t>
  </si>
  <si>
    <t>Dokumen lesson learned dan daftar praktik baik.</t>
  </si>
  <si>
    <t>Minimal 2 sesi diskusi dilakukan dan terdapat minimal 5 praktik baik yang terdokumentasi.</t>
  </si>
  <si>
    <t>Coaching Berkala dengan Atasan atau Mentor</t>
  </si>
  <si>
    <t>Meningkatkan kemampuan membangun dan menjaga sistem pengelolaan kinerja yang terarah.</t>
  </si>
  <si>
    <t>1. Menetapkan mentor atau atasan sebagai coach.
2. Melakukan coaching untuk membahas target, monitoring, dan tindak lanjut pencapaian kinerja.
3. Menyusun action plan perbaikan berdasarkan hasil coaching.</t>
  </si>
  <si>
    <t>Catatan coaching dan action plan.</t>
  </si>
  <si>
    <t>Minimal 4 sesi coaching terlaksana dan ≥80% action plan dijalankan.</t>
  </si>
  <si>
    <t>Peer Review terhadap Sistem Monitoring Kinerja</t>
  </si>
  <si>
    <t>Memperoleh masukan untuk meningkatkan efektivitas pengelolaan kinerja.</t>
  </si>
  <si>
    <t>1. Meminta rekan kerja melakukan review terhadap metode monitoring yang digunakan.
2. Mendiskusikan area perbaikan dan peluang peningkatan efektivitas.
3. Mengimplementasikan rekomendasi yang disepakati bersama.</t>
  </si>
  <si>
    <t>Form peer review dan daftar tindak lanjut.</t>
  </si>
  <si>
    <t>Minimal 1 peer review selesai dan ≥75% rekomendasi telah ditindaklanjuti.</t>
  </si>
  <si>
    <t>Memimpin proyek perbaikan sistem perencanaan dan pengelolaan kinerja unit kerja</t>
  </si>
  <si>
    <t>Meningkatkan kemampuan membangun dan menerapkan sistem perencanaan kinerja yang terarah untuk mencapai hasil optimal secara konsisten.</t>
  </si>
  <si>
    <t>1. Identifikasi area perencanaan dan pengelolaan kinerja yang perlu ditingkatkan.
2. Susun target, indikator, dan rencana aksi perbaikan.
3. Implementasikan perbaikan dalam pekerjaan nyata.
4. Evaluasi hasil dan lakukan penyesuaian apabila diperlukan.
5. Dokumentasikan hasil implementasi.</t>
  </si>
  <si>
    <t>Dokumen proyek perbaikan dan laporan hasil implementasi.</t>
  </si>
  <si>
    <t>Minimal 80% target proyek tercapai dan terdapat bukti implementasi yang terdokumentasi.</t>
  </si>
  <si>
    <t>Menjadi penanggung jawab pemantauan pencapaian target kinerja secara berkala</t>
  </si>
  <si>
    <t>Melatih kemampuan menjaga konsistensi pencapaian target melalui pengelolaan kinerja yang sistematis.</t>
  </si>
  <si>
    <t>1. Menyusun jadwal pemantauan kinerja.
2. Mengumpulkan data pencapaian secara berkala.
3. Mengidentifikasi deviasi terhadap target.
4. Menyusun dan menjalankan tindak lanjut perbaikan.
5. Melaporkan perkembangan pencapaian.</t>
  </si>
  <si>
    <t>Laporan monitoring kinerja dan tindak lanjut perbaikan.</t>
  </si>
  <si>
    <t>Minimal 90% kegiatan monitoring terlaksana sesuai jadwal dan tindak lanjut dilakukan atas deviasi yang ditemukan.</t>
  </si>
  <si>
    <t>Memimpin penyelesaian permasalahan yang menghambat pencapaian target</t>
  </si>
  <si>
    <t>Meningkatkan kemampuan mempertahankan hasil optimal melalui tindakan korektif yang tepat.</t>
  </si>
  <si>
    <t>1. Identifikasi akar penyebab hambatan pencapaian target.
2. Susun alternatif solusi dan prioritas tindakan.
3. Implementasikan solusi yang disepakati.
4. Pantau efektivitas perbaikan.
5. Dokumentasikan pembelajaran yang diperoleh.</t>
  </si>
  <si>
    <t>Laporan penyelesaian masalah dan lesson learned.</t>
  </si>
  <si>
    <t>Permasalahan utama terselesaikan dan terjadi peningkatan pencapaian kinerja dibanding sebelum perbaikan.</t>
  </si>
  <si>
    <t>Public Mistake Acknowledgement Journal</t>
  </si>
  <si>
    <t>Membangun keberanian mengakui kesalahan secara terbuka; mengurangi kecenderungan defensif; meningkatkan akuntabilitas pribadi.</t>
  </si>
  <si>
    <t>Setiap kali melakukan kesalahan kerja (misalnya salah data, miskomunikasi, atau keterlambatan), buat catatan singkat maksimal 24 jam setelah kejadian berisi: (1) Kesalahan yang terjadi, (2) Dampak terhadap pekerjaan/tim, (3) Tanggung jawab pribadi tanpa menyalahkan pihak lain, (4) Langkah perbaikan yang dilakukan, (5) Pencegahan agar tidak terulang. Minimal 1 kasus dibagikan secara terbuka kepada atasan/rekan terkait sebagai bentuk akuntabilitas.</t>
  </si>
  <si>
    <t>Jurnal pengakuan kesalahan minimal 4 entri/bulan; dokumentasi langkah perbaikan; evidence komunikasi pengakuan kesalahan.</t>
  </si>
  <si>
    <t xml:space="preserve">bulan ke 1- 2 </t>
  </si>
  <si>
    <t>per bulan</t>
  </si>
  <si>
    <t>Minimal 70% jurnal lengkap dan terdapat implementasi tindakan perbaikan nyata.</t>
  </si>
  <si>
    <t>Mistake Log &amp; Reflection Review</t>
  </si>
  <si>
    <t>Meningkatkan kesadaran pola kesalahan pribadi; membangun kebiasaan refleksi objektif; mempercepat proses pembelajaran dari kegagalan.</t>
  </si>
  <si>
    <t>Buat 'Mistake Log' mingguan menggunakan tabel sederhana dengan kolom: tanggal, jenis kesalahan, penyebab utama, emosi yang muncul, dampak, lesson learned, dan tindakan pencegahan. Setiap akhir minggu lakukan review selama 15–20 menit untuk mencari pola kesalahan yang berulang dan menentukan 1 fokus perbaikan minggu berikutnya.</t>
  </si>
  <si>
    <t>Mistake Log mingguan; ringkasan pola kesalahan; daftar lesson learned; target perbaikan mingguan.</t>
  </si>
  <si>
    <t>Minimal terdapat 4 review mingguan dan adanya pola perbaikan yang teridentifikasi.</t>
  </si>
  <si>
    <t>Structured Apology Statement Practice</t>
  </si>
  <si>
    <t>Melatih kemampuan meminta maaf secara profesional; meningkatkan ownership terhadap kesalahan; menjaga hubungan kerja setelah terjadi kesalahan.</t>
  </si>
  <si>
    <t>Setiap menghadapi kesalahan yang berdampak pada orang lain, gunakan format apology statement berikut: (1) Mengakui kesalahan secara spesifik, (2) Menjelaskan dampak tanpa defensif, (3) Menyampaikan tanggung jawab pribadi, (4) Menjelaskan langkah koreksi yang sedang dilakukan, (5) Menyampaikan komitmen pencegahan ke depan. Lakukan minimal 2 praktik nyata atau simulasi role-play per bulan.</t>
  </si>
  <si>
    <t>Draft apology statement; dokumentasi praktik/simulasi; feedback dari atasan atau peer terkait kualitas komunikasi.</t>
  </si>
  <si>
    <t>Minimal 2 praktik dilakukan dan mendapatkan feedback positif terkait akuntabilitas serta komunikasi.</t>
  </si>
  <si>
    <t>Workshop Psychological Safety &amp; Learning from Failure</t>
  </si>
  <si>
    <t>Meningkatkan keberanian dan keterbukaan dalam mengakui kesalahan sebagai bagian dari proses pembelajaran kerja.</t>
  </si>
  <si>
    <t>Mengikuti workshop mengenai psychological safety dan pembelajaran dari kegagalan yang membahas pentingnya mengakui kesalahan secara terbuka, dampak perilaku defensif terhadap tim, serta cara membangun budaya belajar dari kesalahan. Peserta diminta melakukan refleksi dan diskusi atas pengalaman pribadi terkait kesalahan kerja.</t>
  </si>
  <si>
    <t>Sertifikat atau evidence keikutsertaan workshop; ringkasan pembelajaran; hasil refleksi pribadi terkait pengalaman mengakui kesalahan.</t>
  </si>
  <si>
    <t>setelah pelatihan selesai</t>
  </si>
  <si>
    <t>Peserta mampu mengidentifikasi minimal 2 pembelajaran terkait pentingnya mengakui kesalahan.</t>
  </si>
  <si>
    <t>Pelatihan Accountability &amp; Integrity in the Workplace</t>
  </si>
  <si>
    <t>Membangun perilaku bertanggung jawab dan kesediaan mengakui kesalahan dalam konteks profesional.</t>
  </si>
  <si>
    <t>Mengikuti pelatihan mengenai accountability dan integrity yang membahas perilaku ownership, pengambilan tanggung jawab atas kesalahan, komunikasi pengakuan kesalahan secara profesional, serta konsekuensi dari perilaku defensif atau menyalahkan pihak lain. Peserta mengikuti simulasi kasus dan role-play pengakuan kesalahan.</t>
  </si>
  <si>
    <t>Sertifikat pelatihan; hasil simulasi/role-play; catatan lesson learned mengenai accountability dalam pekerjaan.</t>
  </si>
  <si>
    <t>Peserta menunjukkan kemampuan mengakui kesalahan secara terbuka dalam simulasi atau diskusi kasus.</t>
  </si>
  <si>
    <t>Case Study: Learning from Organizational Mistakes</t>
  </si>
  <si>
    <t>Meningkatkan pemahaman mengenai pentingnya budaya mengakui kesalahan dalam meningkatkan pembelajaran dan perbaikan organisasi.</t>
  </si>
  <si>
    <t>Mempelajari studi kasus perusahaan atau organisasi yang berhasil berkembang karena budaya terbuka dalam mengakui kesalahan. Peserta diminta menganalisis faktor yang mendukung keterbukaan terhadap kesalahan, dampak positif terhadap organisasi, serta penerapan yang relevan pada lingkungan kerja sendiri.</t>
  </si>
  <si>
    <t>Ringkasan studi kasus; hasil analisis pembelajaran; rencana penerapan perilaku mengakui kesalahan di lingkungan kerja.</t>
  </si>
  <si>
    <t>setelah penugasan selesai</t>
  </si>
  <si>
    <t>Peserta mampu menjelaskan manfaat budaya mengakui kesalahan dan menyusun minimal 1 rencana penerapan.</t>
  </si>
  <si>
    <t>Peer Feedback Discussion on Mistake Ownership</t>
  </si>
  <si>
    <t>Meningkatkan keterbukaan dalam mengakui kesalahan melalui diskusi dan umpan balik dari rekan kerja.</t>
  </si>
  <si>
    <t>Melakukan sesi diskusi dengan peer atau rekan kerja minimal 2 kali per bulan untuk membahas pengalaman terkait kesalahan kerja, cara mengakui kesalahan, serta respons yang diberikan setelah kesalahan terjadi. Peserta diminta menerima feedback terkait sikap defensif, keterbukaan, dan tanggung jawab pribadi.</t>
  </si>
  <si>
    <t>Catatan hasil diskusi peer feedback; ringkasan insight terkait perilaku mengakui kesalahan; rencana perbaikan perilaku.</t>
  </si>
  <si>
    <t>bulan ke 3 - 6</t>
  </si>
  <si>
    <t>Minimal 2 sesi diskusi dilakukan dan terdapat feedback yang dapat ditindaklanjuti.</t>
  </si>
  <si>
    <t>Coaching Session: Acknowledging Mistakes</t>
  </si>
  <si>
    <t>Membantu individu membangun keberanian dan konsistensi dalam mengakui kesalahan secara profesional.</t>
  </si>
  <si>
    <t>Mengikuti sesi coaching bersama atasan atau coach internal untuk membahas hambatan dalam mengakui kesalahan, situasi yang memicu perilaku defensif, serta strategi membangun ownership terhadap kesalahan. Peserta diminta membawa minimal 1 contoh kasus nyata untuk didiskusikan.</t>
  </si>
  <si>
    <t>Catatan hasil coaching; identifikasi hambatan pribadi; action plan pengembangan perilaku mengakui kesalahan.</t>
  </si>
  <si>
    <t>per sesi coaching</t>
  </si>
  <si>
    <t>Peserta mampu mengidentifikasi area perbaikan dan menyusun action plan yang relevan.</t>
  </si>
  <si>
    <t>Buddy Reflection &amp; Accountability Partner</t>
  </si>
  <si>
    <t>Membangun kebiasaan saling mengingatkan dan mendukung perilaku mengakui kesalahan secara konsisten.</t>
  </si>
  <si>
    <t>Menentukan satu accountability partner atau buddy kerja untuk melakukan refleksi mingguan terkait situasi kesalahan yang terjadi selama bekerja. Buddy memberikan observasi mengenai keterbukaan peserta dalam mengakui kesalahan dan membantu mengingatkan apabila terdapat kecenderungan defensif.</t>
  </si>
  <si>
    <t>Log refleksi mingguan; feedback dari buddy; catatan perkembangan perilaku.</t>
  </si>
  <si>
    <t>Minimal terdapat 4 sesi refleksi dan adanya peningkatan keterbukaan dalam mengakui kesalahan.</t>
  </si>
  <si>
    <t>Leading Post-Mistake Recovery Action</t>
  </si>
  <si>
    <t>Melatih keberanian mengakui kesalahan secara langsung serta mengambil tanggung jawab dalam proses perbaikan.</t>
  </si>
  <si>
    <t>Peserta diberikan tanggung jawab untuk menangani situasi kerja yang mengalami kesalahan atau hambatan operasional. Peserta diminta mengakui kesalahan yang terjadi kepada pihak terkait, menjelaskan dampaknya secara terbuka, serta memimpin langkah perbaikan dan tindak lanjut penyelesaiannya.</t>
  </si>
  <si>
    <t>Dokumentasi kasus kesalahan; evidence komunikasi pengakuan kesalahan; laporan tindakan perbaikan dan hasil tindak lanjut.</t>
  </si>
  <si>
    <t>bulan ke 6 - 12</t>
  </si>
  <si>
    <t>per kasus</t>
  </si>
  <si>
    <t>Peserta menunjukkan keterbukaan dalam mengakui kesalahan dan mampu menjalankan tindakan perbaikan secara bertanggung jawab.</t>
  </si>
  <si>
    <t>Project Review &amp; Failure Reflection Session</t>
  </si>
  <si>
    <t>Meningkatkan kemampuan mengakui kesalahan dan melakukan evaluasi pembelajaran dari pengalaman kerja nyata.</t>
  </si>
  <si>
    <t>Setelah menyelesaikan proyek atau penugasan tertentu, peserta melakukan sesi review bersama atasan atau tim untuk membahas kesalahan yang terjadi selama proses kerja, kontribusi pribadi terhadap kesalahan tersebut, serta lesson learned yang diperoleh. Peserta wajib menyampaikan minimal 1 kesalahan pribadi secara terbuka.</t>
  </si>
  <si>
    <t>Catatan hasil review proyek; daftar lesson learned; identifikasi kesalahan dan area perbaikan.</t>
  </si>
  <si>
    <t>setelah proyek selesai</t>
  </si>
  <si>
    <t>Peserta mampu mengidentifikasi dan mengakui minimal 1 kesalahan pribadi selama proyek berlangsung.</t>
  </si>
  <si>
    <t>Handling Customer/Internal Complaint Case</t>
  </si>
  <si>
    <t>Membangun kemampuan menghadapi konsekuensi kesalahan secara profesional dan bertanggung jawab.</t>
  </si>
  <si>
    <t>Peserta diberikan kesempatan menangani langsung kasus komplain dari customer/internal user yang disebabkan oleh kesalahan kerja. Peserta diminta mengakui kesalahan secara profesional, menjelaskan langkah perbaikan yang dilakukan, serta memastikan tindak lanjut penyelesaian kasus hingga selesai.</t>
  </si>
  <si>
    <t>Dokumentasi penanganan komplain; evidence komunikasi kepada pihak terkait; ringkasan hasil penyelesaian kasus.</t>
  </si>
  <si>
    <t>Peserta mampu menangani komplain dengan komunikasi yang terbuka dan menunjukkan tanggung jawab atas kesalahan.</t>
  </si>
  <si>
    <t>Tugas1</t>
  </si>
  <si>
    <t>Tujuan1</t>
  </si>
  <si>
    <t>Instruksi1</t>
  </si>
  <si>
    <t>Output1</t>
  </si>
  <si>
    <t>Waktu1</t>
  </si>
  <si>
    <t>Monitoring1</t>
  </si>
  <si>
    <t>Standar kelulusan1</t>
  </si>
  <si>
    <t>Tugas2</t>
  </si>
  <si>
    <t>Tujuan2</t>
  </si>
  <si>
    <t>Instruksi2</t>
  </si>
  <si>
    <t>Output2</t>
  </si>
  <si>
    <t>Waktu2</t>
  </si>
  <si>
    <t>Monitoring2</t>
  </si>
  <si>
    <t>Standar kelulusan2</t>
  </si>
  <si>
    <t>Tugas3</t>
  </si>
  <si>
    <t>Tujuan3</t>
  </si>
  <si>
    <t>Instruksi3</t>
  </si>
  <si>
    <t>Output3</t>
  </si>
  <si>
    <t>Waktu3</t>
  </si>
  <si>
    <t>Monitoring3</t>
  </si>
  <si>
    <t>Standar kelulusan3</t>
  </si>
  <si>
    <t>Tugas4</t>
  </si>
  <si>
    <t>Tujuan4</t>
  </si>
  <si>
    <t>Instruksi4</t>
  </si>
  <si>
    <t>Output4</t>
  </si>
  <si>
    <t>Waktu4</t>
  </si>
  <si>
    <t>Monitoring4</t>
  </si>
  <si>
    <t>Standar kelulusan4</t>
  </si>
  <si>
    <t>Tugas5</t>
  </si>
  <si>
    <t>Tujuan5</t>
  </si>
  <si>
    <t>Instruksi5</t>
  </si>
  <si>
    <t>Output5</t>
  </si>
  <si>
    <t>Waktu5</t>
  </si>
  <si>
    <t>Monitoring5</t>
  </si>
  <si>
    <t>Standar kelulusan5</t>
  </si>
  <si>
    <t>Tugas6</t>
  </si>
  <si>
    <t>Tujuan6</t>
  </si>
  <si>
    <t>Instruksi6</t>
  </si>
  <si>
    <t>Output6</t>
  </si>
  <si>
    <t>Waktu6</t>
  </si>
  <si>
    <t>Monitoring6</t>
  </si>
  <si>
    <t>Standar kelulusan6</t>
  </si>
  <si>
    <t>Tugas7</t>
  </si>
  <si>
    <t>Tujuan7</t>
  </si>
  <si>
    <t>Instruksi7</t>
  </si>
  <si>
    <t>Output7</t>
  </si>
  <si>
    <t>Waktu7</t>
  </si>
  <si>
    <t>Monitoring7</t>
  </si>
  <si>
    <t>Standar kelulusan7</t>
  </si>
  <si>
    <t>Tugas8</t>
  </si>
  <si>
    <t>Tujuan8</t>
  </si>
  <si>
    <t>Instruksi8</t>
  </si>
  <si>
    <t>Output8</t>
  </si>
  <si>
    <t>Waktu8</t>
  </si>
  <si>
    <t>Monitoring8</t>
  </si>
  <si>
    <t>Standar kelulusan8</t>
  </si>
  <si>
    <t>Tugas9</t>
  </si>
  <si>
    <t>Tujuan9</t>
  </si>
  <si>
    <t>Instruksi9</t>
  </si>
  <si>
    <t>Output9</t>
  </si>
  <si>
    <t>Waktu9</t>
  </si>
  <si>
    <t>Monitoring9</t>
  </si>
  <si>
    <t>Standar kelulusan9</t>
  </si>
  <si>
    <t>Tugas10</t>
  </si>
  <si>
    <t>Tujuan10</t>
  </si>
  <si>
    <t>Instruksi10</t>
  </si>
  <si>
    <t>Output10</t>
  </si>
  <si>
    <t>Waktu10</t>
  </si>
  <si>
    <t>Monitoring10</t>
  </si>
  <si>
    <t>Standar kelulusan10</t>
  </si>
  <si>
    <t>Tugas11</t>
  </si>
  <si>
    <t>Tujuan11</t>
  </si>
  <si>
    <t>Instruksi11</t>
  </si>
  <si>
    <t>Output11</t>
  </si>
  <si>
    <t>Waktu11</t>
  </si>
  <si>
    <t>Monitoring11</t>
  </si>
  <si>
    <t>Standar kelulusan11</t>
  </si>
  <si>
    <t>Tugas12</t>
  </si>
  <si>
    <t>Tujuan12</t>
  </si>
  <si>
    <t>Instruksi12</t>
  </si>
  <si>
    <t>Output12</t>
  </si>
  <si>
    <t>Waktu12</t>
  </si>
  <si>
    <t>Monitoring12</t>
  </si>
  <si>
    <t>Standar kelulusan12</t>
  </si>
  <si>
    <t>Tugas13</t>
  </si>
  <si>
    <t>Tujuan13</t>
  </si>
  <si>
    <t>Instruksi13</t>
  </si>
  <si>
    <t>Output13</t>
  </si>
  <si>
    <t>Waktu13</t>
  </si>
  <si>
    <t>Monitoring13</t>
  </si>
  <si>
    <t>Standar kelulusan13</t>
  </si>
  <si>
    <t>Tugas14</t>
  </si>
  <si>
    <t>Tujuan14</t>
  </si>
  <si>
    <t>Instruksi14</t>
  </si>
  <si>
    <t>Output14</t>
  </si>
  <si>
    <t>Waktu14</t>
  </si>
  <si>
    <t>Monitoring14</t>
  </si>
  <si>
    <t>Standar kelulusan14</t>
  </si>
  <si>
    <t>Tugas15</t>
  </si>
  <si>
    <t>Tujuan15</t>
  </si>
  <si>
    <t>Instruksi15</t>
  </si>
  <si>
    <t>Output15</t>
  </si>
  <si>
    <t>Waktu15</t>
  </si>
  <si>
    <t>Monitoring15</t>
  </si>
  <si>
    <t>Standar kelulusan15</t>
  </si>
  <si>
    <t>Tugas16</t>
  </si>
  <si>
    <t>Tujuan16</t>
  </si>
  <si>
    <t>Instruksi16</t>
  </si>
  <si>
    <t>Output16</t>
  </si>
  <si>
    <t>Waktu16</t>
  </si>
  <si>
    <t>Monitoring16</t>
  </si>
  <si>
    <t>Standar kelulusan16</t>
  </si>
  <si>
    <t>Tugas17</t>
  </si>
  <si>
    <t>Tujuan17</t>
  </si>
  <si>
    <t>Instruksi17</t>
  </si>
  <si>
    <t>Output17</t>
  </si>
  <si>
    <t>Waktu17</t>
  </si>
  <si>
    <t>Monitoring17</t>
  </si>
  <si>
    <t>Standar kelulusan17</t>
  </si>
  <si>
    <t>Tugas18</t>
  </si>
  <si>
    <t>Tujuan18</t>
  </si>
  <si>
    <t>Instruksi18</t>
  </si>
  <si>
    <t>Output18</t>
  </si>
  <si>
    <t>Waktu18</t>
  </si>
  <si>
    <t>Monitoring18</t>
  </si>
  <si>
    <t>Standar kelulusan18</t>
  </si>
  <si>
    <t>Tugas19</t>
  </si>
  <si>
    <t>Tujuan19</t>
  </si>
  <si>
    <t>Instruksi19</t>
  </si>
  <si>
    <t>Output19</t>
  </si>
  <si>
    <t>Waktu19</t>
  </si>
  <si>
    <t>Monitoring19</t>
  </si>
  <si>
    <t>Standar kelulusan19</t>
  </si>
  <si>
    <t>Tugas20</t>
  </si>
  <si>
    <t>Tujuan20</t>
  </si>
  <si>
    <t>Instruksi20</t>
  </si>
  <si>
    <t>Output20</t>
  </si>
  <si>
    <t>Waktu20</t>
  </si>
  <si>
    <t>Monitoring20</t>
  </si>
  <si>
    <t>Standar kelulusan20</t>
  </si>
  <si>
    <t>Tugas21</t>
  </si>
  <si>
    <t>Tujuan21</t>
  </si>
  <si>
    <t>Instruksi21</t>
  </si>
  <si>
    <t>Output21</t>
  </si>
  <si>
    <t>Waktu21</t>
  </si>
  <si>
    <t>Monitoring21</t>
  </si>
  <si>
    <t>Standar kelulusan21</t>
  </si>
  <si>
    <t>Tugas22</t>
  </si>
  <si>
    <t>Tujuan22</t>
  </si>
  <si>
    <t>Instruksi22</t>
  </si>
  <si>
    <t>Output22</t>
  </si>
  <si>
    <t>Waktu22</t>
  </si>
  <si>
    <t>Monitoring22</t>
  </si>
  <si>
    <t>Standar kelulusan22</t>
  </si>
  <si>
    <t>Tugas23</t>
  </si>
  <si>
    <t>Tujuan23</t>
  </si>
  <si>
    <t>Instruksi23</t>
  </si>
  <si>
    <t>Output23</t>
  </si>
  <si>
    <t>Waktu23</t>
  </si>
  <si>
    <t>Monitoring23</t>
  </si>
  <si>
    <t>Standar kelulusan23</t>
  </si>
  <si>
    <t>Tugas24</t>
  </si>
  <si>
    <t>Tujuan24</t>
  </si>
  <si>
    <t>Instruksi24</t>
  </si>
  <si>
    <t>Output24</t>
  </si>
  <si>
    <t>Waktu24</t>
  </si>
  <si>
    <t>Monitoring24</t>
  </si>
  <si>
    <t>Standar kelulusan24</t>
  </si>
  <si>
    <t>Tugas25</t>
  </si>
  <si>
    <t>Tujuan25</t>
  </si>
  <si>
    <t>Instruksi25</t>
  </si>
  <si>
    <t>Output25</t>
  </si>
  <si>
    <t>Waktu25</t>
  </si>
  <si>
    <t>Monitoring25</t>
  </si>
  <si>
    <t>Standar kelulusan25</t>
  </si>
  <si>
    <t>Tugas26</t>
  </si>
  <si>
    <t>Tujuan26</t>
  </si>
  <si>
    <t>Instruksi26</t>
  </si>
  <si>
    <t>Output26</t>
  </si>
  <si>
    <t>Waktu26</t>
  </si>
  <si>
    <t>Monitoring26</t>
  </si>
  <si>
    <t>Standar kelulusan26</t>
  </si>
  <si>
    <t>Tugas27</t>
  </si>
  <si>
    <t>Tujuan27</t>
  </si>
  <si>
    <t>Instruksi27</t>
  </si>
  <si>
    <t>Output27</t>
  </si>
  <si>
    <t>Waktu27</t>
  </si>
  <si>
    <t>Monitoring27</t>
  </si>
  <si>
    <t>Standar kelulusan27</t>
  </si>
  <si>
    <t>Tugas28</t>
  </si>
  <si>
    <t>Tujuan28</t>
  </si>
  <si>
    <t>Instruksi28</t>
  </si>
  <si>
    <t>Output28</t>
  </si>
  <si>
    <t>Waktu28</t>
  </si>
  <si>
    <t>Monitoring28</t>
  </si>
  <si>
    <t>Standar kelulusan28</t>
  </si>
  <si>
    <t>Tugas29</t>
  </si>
  <si>
    <t>Tujuan29</t>
  </si>
  <si>
    <t>Instruksi29</t>
  </si>
  <si>
    <t>Output29</t>
  </si>
  <si>
    <t>Waktu29</t>
  </si>
  <si>
    <t>Monitoring29</t>
  </si>
  <si>
    <t>Standar kelulusan29</t>
  </si>
  <si>
    <t>Tugas30</t>
  </si>
  <si>
    <t>Tujuan30</t>
  </si>
  <si>
    <t>Instruksi30</t>
  </si>
  <si>
    <t>Output30</t>
  </si>
  <si>
    <t>Waktu30</t>
  </si>
  <si>
    <t>Monitoring30</t>
  </si>
  <si>
    <t>Standar kelulusan30</t>
  </si>
  <si>
    <t>Tugas31</t>
  </si>
  <si>
    <t>Tujuan31</t>
  </si>
  <si>
    <t>Instruksi31</t>
  </si>
  <si>
    <t>Output31</t>
  </si>
  <si>
    <t>Waktu31</t>
  </si>
  <si>
    <t>Monitoring31</t>
  </si>
  <si>
    <t>Standar kelulusan31</t>
  </si>
  <si>
    <t>Tugas32</t>
  </si>
  <si>
    <t>Tujuan32</t>
  </si>
  <si>
    <t>Instruksi32</t>
  </si>
  <si>
    <t>Output32</t>
  </si>
  <si>
    <t>Waktu32</t>
  </si>
  <si>
    <t>Monitoring32</t>
  </si>
  <si>
    <t>Standar kelulusan32</t>
  </si>
  <si>
    <t>Tugas33</t>
  </si>
  <si>
    <t>Tujuan33</t>
  </si>
  <si>
    <t>Instruksi33</t>
  </si>
  <si>
    <t>Output33</t>
  </si>
  <si>
    <t>Waktu33</t>
  </si>
  <si>
    <t>Monitoring33</t>
  </si>
  <si>
    <t>Standar kelulusan33</t>
  </si>
  <si>
    <t>Tugas34</t>
  </si>
  <si>
    <t>Tujuan34</t>
  </si>
  <si>
    <t>Instruksi34</t>
  </si>
  <si>
    <t>Output34</t>
  </si>
  <si>
    <t>Waktu34</t>
  </si>
  <si>
    <t>Monitoring34</t>
  </si>
  <si>
    <t>Standar kelulusan34</t>
  </si>
  <si>
    <t>Tugas35</t>
  </si>
  <si>
    <t>Tujuan35</t>
  </si>
  <si>
    <t>Instruksi35</t>
  </si>
  <si>
    <t>Output35</t>
  </si>
  <si>
    <t>Waktu35</t>
  </si>
  <si>
    <t>Monitoring35</t>
  </si>
  <si>
    <t>Standar kelulusan35</t>
  </si>
  <si>
    <t>Tugas36</t>
  </si>
  <si>
    <t>Tujuan36</t>
  </si>
  <si>
    <t>Instruksi36</t>
  </si>
  <si>
    <t>Output36</t>
  </si>
  <si>
    <t>Waktu36</t>
  </si>
  <si>
    <t>Monitoring36</t>
  </si>
  <si>
    <t>Standar kelulusan36</t>
  </si>
  <si>
    <t>Tugas37</t>
  </si>
  <si>
    <t>Tujuan37</t>
  </si>
  <si>
    <t>Instruksi37</t>
  </si>
  <si>
    <t>Output37</t>
  </si>
  <si>
    <t>Waktu37</t>
  </si>
  <si>
    <t>Monitoring37</t>
  </si>
  <si>
    <t>Standar kelulusan37</t>
  </si>
  <si>
    <t>Tugas38</t>
  </si>
  <si>
    <t>Tujuan38</t>
  </si>
  <si>
    <t>Instruksi38</t>
  </si>
  <si>
    <t>Output38</t>
  </si>
  <si>
    <t>Waktu38</t>
  </si>
  <si>
    <t>Monitoring38</t>
  </si>
  <si>
    <t>Standar kelulusan38</t>
  </si>
  <si>
    <t>Tugas39</t>
  </si>
  <si>
    <t>Tujuan39</t>
  </si>
  <si>
    <t>Instruksi39</t>
  </si>
  <si>
    <t>Output39</t>
  </si>
  <si>
    <t>Waktu39</t>
  </si>
  <si>
    <t>Monitoring39</t>
  </si>
  <si>
    <t>Standar kelulusan39</t>
  </si>
  <si>
    <t>Tugas40</t>
  </si>
  <si>
    <t>Tujuan40</t>
  </si>
  <si>
    <t>Instruksi40</t>
  </si>
  <si>
    <t>Output40</t>
  </si>
  <si>
    <t>Waktu40</t>
  </si>
  <si>
    <t>Monitoring40</t>
  </si>
  <si>
    <t>Standar kelulusan40</t>
  </si>
  <si>
    <t>Tugas41</t>
  </si>
  <si>
    <t>Tujuan41</t>
  </si>
  <si>
    <t>Instruksi41</t>
  </si>
  <si>
    <t>Output41</t>
  </si>
  <si>
    <t>Waktu41</t>
  </si>
  <si>
    <t>Monitoring41</t>
  </si>
  <si>
    <t>Standar kelulusan41</t>
  </si>
  <si>
    <t>Tugas42</t>
  </si>
  <si>
    <t>Tujuan42</t>
  </si>
  <si>
    <t>Instruksi42</t>
  </si>
  <si>
    <t>Output42</t>
  </si>
  <si>
    <t>Waktu42</t>
  </si>
  <si>
    <t>Monitoring42</t>
  </si>
  <si>
    <t>Standar kelulusan42</t>
  </si>
  <si>
    <t>Tugas43</t>
  </si>
  <si>
    <t>Tujuan43</t>
  </si>
  <si>
    <t>Instruksi43</t>
  </si>
  <si>
    <t>Output43</t>
  </si>
  <si>
    <t>Waktu43</t>
  </si>
  <si>
    <t>Monitoring43</t>
  </si>
  <si>
    <t>Standar kelulusan43</t>
  </si>
  <si>
    <t>Tugas44</t>
  </si>
  <si>
    <t>Tujuan44</t>
  </si>
  <si>
    <t>Instruksi44</t>
  </si>
  <si>
    <t>Output44</t>
  </si>
  <si>
    <t>Waktu44</t>
  </si>
  <si>
    <t>Monitoring44</t>
  </si>
  <si>
    <t>Standar kelulusan44</t>
  </si>
  <si>
    <t>Tugas45</t>
  </si>
  <si>
    <t>Tujuan45</t>
  </si>
  <si>
    <t>Instruksi45</t>
  </si>
  <si>
    <t>Output45</t>
  </si>
  <si>
    <t>Waktu45</t>
  </si>
  <si>
    <t>Monitoring45</t>
  </si>
  <si>
    <t>Standar kelulusan45</t>
  </si>
  <si>
    <t>Tugas46</t>
  </si>
  <si>
    <t>Tujuan46</t>
  </si>
  <si>
    <t>Instruksi46</t>
  </si>
  <si>
    <t>Output46</t>
  </si>
  <si>
    <t>Waktu46</t>
  </si>
  <si>
    <t>Monitoring46</t>
  </si>
  <si>
    <t>Standar kelulusan46</t>
  </si>
  <si>
    <t>Tugas47</t>
  </si>
  <si>
    <t>Tujuan47</t>
  </si>
  <si>
    <t>Instruksi47</t>
  </si>
  <si>
    <t>Output47</t>
  </si>
  <si>
    <t>Waktu47</t>
  </si>
  <si>
    <t>Monitoring47</t>
  </si>
  <si>
    <t>Standar kelulusan47</t>
  </si>
  <si>
    <t>Tugas48</t>
  </si>
  <si>
    <t>Tujuan48</t>
  </si>
  <si>
    <t>Instruksi48</t>
  </si>
  <si>
    <t>Output48</t>
  </si>
  <si>
    <t>Waktu48</t>
  </si>
  <si>
    <t>Monitoring48</t>
  </si>
  <si>
    <t>Standar kelulusan48</t>
  </si>
  <si>
    <t>Tugas49</t>
  </si>
  <si>
    <t>Tujuan49</t>
  </si>
  <si>
    <t>Instruksi49</t>
  </si>
  <si>
    <t>Output49</t>
  </si>
  <si>
    <t>Waktu49</t>
  </si>
  <si>
    <t>Monitoring49</t>
  </si>
  <si>
    <t>Standar kelulusan49</t>
  </si>
  <si>
    <t>Tugas50</t>
  </si>
  <si>
    <t>Tujuan50</t>
  </si>
  <si>
    <t>Instruksi50</t>
  </si>
  <si>
    <t>Output50</t>
  </si>
  <si>
    <t>Waktu50</t>
  </si>
  <si>
    <t>Monitoring50</t>
  </si>
  <si>
    <t>Standar kelulusan50</t>
  </si>
  <si>
    <t>Tugas51</t>
  </si>
  <si>
    <t>Tujuan51</t>
  </si>
  <si>
    <t>Instruksi51</t>
  </si>
  <si>
    <t>Output51</t>
  </si>
  <si>
    <t>Waktu51</t>
  </si>
  <si>
    <t>Monitoring51</t>
  </si>
  <si>
    <t>Standar kelulusan51</t>
  </si>
  <si>
    <t>Tugas52</t>
  </si>
  <si>
    <t>Tujuan52</t>
  </si>
  <si>
    <t>Instruksi52</t>
  </si>
  <si>
    <t>Output52</t>
  </si>
  <si>
    <t>Waktu52</t>
  </si>
  <si>
    <t>Monitoring52</t>
  </si>
  <si>
    <t>Standar kelulusan52</t>
  </si>
  <si>
    <t>Tugas53</t>
  </si>
  <si>
    <t>Tujuan53</t>
  </si>
  <si>
    <t>Instruksi53</t>
  </si>
  <si>
    <t>Output53</t>
  </si>
  <si>
    <t>Waktu53</t>
  </si>
  <si>
    <t>Monitoring53</t>
  </si>
  <si>
    <t>Standar kelulusan53</t>
  </si>
  <si>
    <t>Tugas54</t>
  </si>
  <si>
    <t>Tujuan54</t>
  </si>
  <si>
    <t>Instruksi54</t>
  </si>
  <si>
    <t>Output54</t>
  </si>
  <si>
    <t>Waktu54</t>
  </si>
  <si>
    <t>Monitoring54</t>
  </si>
  <si>
    <t>Standar kelulusan54</t>
  </si>
  <si>
    <t>Tugas55</t>
  </si>
  <si>
    <t>Tujuan55</t>
  </si>
  <si>
    <t>Instruksi55</t>
  </si>
  <si>
    <t>Output55</t>
  </si>
  <si>
    <t>Waktu55</t>
  </si>
  <si>
    <t>Monitoring55</t>
  </si>
  <si>
    <t>Standar kelulusan55</t>
  </si>
  <si>
    <t>Tugas56</t>
  </si>
  <si>
    <t>Tujuan56</t>
  </si>
  <si>
    <t>Instruksi56</t>
  </si>
  <si>
    <t>Output56</t>
  </si>
  <si>
    <t>Waktu56</t>
  </si>
  <si>
    <t>Monitoring56</t>
  </si>
  <si>
    <t>Standar kelulusan56</t>
  </si>
  <si>
    <t>Tugas57</t>
  </si>
  <si>
    <t>Tujuan57</t>
  </si>
  <si>
    <t>Instruksi57</t>
  </si>
  <si>
    <t>Output57</t>
  </si>
  <si>
    <t>Waktu57</t>
  </si>
  <si>
    <t>Monitoring57</t>
  </si>
  <si>
    <t>Standar kelulusan57</t>
  </si>
  <si>
    <t>Tugas58</t>
  </si>
  <si>
    <t>Tujuan58</t>
  </si>
  <si>
    <t>Instruksi58</t>
  </si>
  <si>
    <t>Output58</t>
  </si>
  <si>
    <t>Waktu58</t>
  </si>
  <si>
    <t>Monitoring58</t>
  </si>
  <si>
    <t>Standar kelulusan58</t>
  </si>
  <si>
    <t>Tugas59</t>
  </si>
  <si>
    <t>Tujuan59</t>
  </si>
  <si>
    <t>Instruksi59</t>
  </si>
  <si>
    <t>Output59</t>
  </si>
  <si>
    <t>Waktu59</t>
  </si>
  <si>
    <t>Monitoring59</t>
  </si>
  <si>
    <t>Standar kelulusan59</t>
  </si>
  <si>
    <t>Tugas60</t>
  </si>
  <si>
    <t>Tujuan60</t>
  </si>
  <si>
    <t>Instruksi60</t>
  </si>
  <si>
    <t>Output60</t>
  </si>
  <si>
    <t>Waktu60</t>
  </si>
  <si>
    <t>Monitoring60</t>
  </si>
  <si>
    <t>Standar kelulusan60</t>
  </si>
  <si>
    <t>Tugas61</t>
  </si>
  <si>
    <t>Tujuan61</t>
  </si>
  <si>
    <t>Instruksi61</t>
  </si>
  <si>
    <t>Output61</t>
  </si>
  <si>
    <t>Waktu61</t>
  </si>
  <si>
    <t>Monitoring61</t>
  </si>
  <si>
    <t>Standar kelulusan61</t>
  </si>
  <si>
    <t>Tugas62</t>
  </si>
  <si>
    <t>Tujuan62</t>
  </si>
  <si>
    <t>Instruksi62</t>
  </si>
  <si>
    <t>Output62</t>
  </si>
  <si>
    <t>Waktu62</t>
  </si>
  <si>
    <t>Monitoring62</t>
  </si>
  <si>
    <t>Standar kelulusan62</t>
  </si>
  <si>
    <t>Tugas63</t>
  </si>
  <si>
    <t>Tujuan63</t>
  </si>
  <si>
    <t>Instruksi63</t>
  </si>
  <si>
    <t>Output63</t>
  </si>
  <si>
    <t>Waktu63</t>
  </si>
  <si>
    <t>Monitoring63</t>
  </si>
  <si>
    <t>Standar kelulusan63</t>
  </si>
  <si>
    <t>Tugas64</t>
  </si>
  <si>
    <t>Tujuan64</t>
  </si>
  <si>
    <t>Instruksi64</t>
  </si>
  <si>
    <t>Output64</t>
  </si>
  <si>
    <t>Waktu64</t>
  </si>
  <si>
    <t>Monitoring64</t>
  </si>
  <si>
    <t>Standar kelulusan64</t>
  </si>
  <si>
    <t>Tugas65</t>
  </si>
  <si>
    <t>Tujuan65</t>
  </si>
  <si>
    <t>Instruksi65</t>
  </si>
  <si>
    <t>Output65</t>
  </si>
  <si>
    <t>Waktu65</t>
  </si>
  <si>
    <t>Monitoring65</t>
  </si>
  <si>
    <t>Standar kelulusan65</t>
  </si>
  <si>
    <t>Tugas66</t>
  </si>
  <si>
    <t>Tujuan66</t>
  </si>
  <si>
    <t>Instruksi66</t>
  </si>
  <si>
    <t>Output66</t>
  </si>
  <si>
    <t>Waktu66</t>
  </si>
  <si>
    <t>Monitoring66</t>
  </si>
  <si>
    <t>Standar kelulusan66</t>
  </si>
  <si>
    <t>Tugas67</t>
  </si>
  <si>
    <t>Tujuan67</t>
  </si>
  <si>
    <t>Instruksi67</t>
  </si>
  <si>
    <t>Output67</t>
  </si>
  <si>
    <t>Waktu67</t>
  </si>
  <si>
    <t>Monitoring67</t>
  </si>
  <si>
    <t>Standar kelulusan67</t>
  </si>
  <si>
    <t>Tugas68</t>
  </si>
  <si>
    <t>Tujuan68</t>
  </si>
  <si>
    <t>Instruksi68</t>
  </si>
  <si>
    <t>Output68</t>
  </si>
  <si>
    <t>Waktu68</t>
  </si>
  <si>
    <t>Monitoring68</t>
  </si>
  <si>
    <t>Standar kelulusan68</t>
  </si>
  <si>
    <t>Tugas69</t>
  </si>
  <si>
    <t>Tujuan69</t>
  </si>
  <si>
    <t>Instruksi69</t>
  </si>
  <si>
    <t>Output69</t>
  </si>
  <si>
    <t>Waktu69</t>
  </si>
  <si>
    <t>Monitoring69</t>
  </si>
  <si>
    <t>Standar kelulusan69</t>
  </si>
  <si>
    <t>Tugas70</t>
  </si>
  <si>
    <t>Tujuan70</t>
  </si>
  <si>
    <t>Instruksi70</t>
  </si>
  <si>
    <t>Output70</t>
  </si>
  <si>
    <t>Waktu70</t>
  </si>
  <si>
    <t>Monitoring70</t>
  </si>
  <si>
    <t>Standar kelulusan70</t>
  </si>
  <si>
    <t>Tugas71</t>
  </si>
  <si>
    <t>Tujuan71</t>
  </si>
  <si>
    <t>Instruksi71</t>
  </si>
  <si>
    <t>Output71</t>
  </si>
  <si>
    <t>Waktu71</t>
  </si>
  <si>
    <t>Monitoring71</t>
  </si>
  <si>
    <t>Standar kelulusan71</t>
  </si>
  <si>
    <t>Tugas72</t>
  </si>
  <si>
    <t>Tujuan72</t>
  </si>
  <si>
    <t>Instruksi72</t>
  </si>
  <si>
    <t>Output72</t>
  </si>
  <si>
    <t>Waktu72</t>
  </si>
  <si>
    <t>Monitoring72</t>
  </si>
  <si>
    <t>Standar kelulusan72</t>
  </si>
  <si>
    <t>Tugas73</t>
  </si>
  <si>
    <t>Tujuan73</t>
  </si>
  <si>
    <t>Instruksi73</t>
  </si>
  <si>
    <t>Output73</t>
  </si>
  <si>
    <t>Waktu73</t>
  </si>
  <si>
    <t>Monitoring73</t>
  </si>
  <si>
    <t>Standar kelulusan73</t>
  </si>
  <si>
    <t>Tugas74</t>
  </si>
  <si>
    <t>Tujuan74</t>
  </si>
  <si>
    <t>Instruksi74</t>
  </si>
  <si>
    <t>Output74</t>
  </si>
  <si>
    <t>Waktu74</t>
  </si>
  <si>
    <t>Monitoring74</t>
  </si>
  <si>
    <t>Standar kelulusan74</t>
  </si>
  <si>
    <t>Tugas75</t>
  </si>
  <si>
    <t>Tujuan75</t>
  </si>
  <si>
    <t>Instruksi75</t>
  </si>
  <si>
    <t>Output75</t>
  </si>
  <si>
    <t>Waktu75</t>
  </si>
  <si>
    <t>Monitoring75</t>
  </si>
  <si>
    <t>Standar kelulusan75</t>
  </si>
  <si>
    <t>Tugas76</t>
  </si>
  <si>
    <t>Tujuan76</t>
  </si>
  <si>
    <t>Instruksi76</t>
  </si>
  <si>
    <t>Output76</t>
  </si>
  <si>
    <t>Waktu76</t>
  </si>
  <si>
    <t>Monitoring76</t>
  </si>
  <si>
    <t>Standar kelulusan76</t>
  </si>
  <si>
    <t>Tugas77</t>
  </si>
  <si>
    <t>Tujuan77</t>
  </si>
  <si>
    <t>Instruksi77</t>
  </si>
  <si>
    <t>Output77</t>
  </si>
  <si>
    <t>Waktu77</t>
  </si>
  <si>
    <t>Monitoring77</t>
  </si>
  <si>
    <t>Standar kelulusan77</t>
  </si>
  <si>
    <t>Tugas78</t>
  </si>
  <si>
    <t>Tujuan78</t>
  </si>
  <si>
    <t>Instruksi78</t>
  </si>
  <si>
    <t>Output78</t>
  </si>
  <si>
    <t>Waktu78</t>
  </si>
  <si>
    <t>Monitoring78</t>
  </si>
  <si>
    <t>Standar kelulusan78</t>
  </si>
  <si>
    <t>Tugas79</t>
  </si>
  <si>
    <t>Tujuan79</t>
  </si>
  <si>
    <t>Instruksi79</t>
  </si>
  <si>
    <t>Output79</t>
  </si>
  <si>
    <t>Waktu79</t>
  </si>
  <si>
    <t>Monitoring79</t>
  </si>
  <si>
    <t>Standar kelulusan79</t>
  </si>
  <si>
    <t>Tugas80</t>
  </si>
  <si>
    <t>Tujuan80</t>
  </si>
  <si>
    <t>Instruksi80</t>
  </si>
  <si>
    <t>Output80</t>
  </si>
  <si>
    <t>Waktu80</t>
  </si>
  <si>
    <t>Monitoring80</t>
  </si>
  <si>
    <t>Standar kelulusan80</t>
  </si>
  <si>
    <t>Tugas81</t>
  </si>
  <si>
    <t>Tujuan81</t>
  </si>
  <si>
    <t>Instruksi81</t>
  </si>
  <si>
    <t>Output81</t>
  </si>
  <si>
    <t>Waktu81</t>
  </si>
  <si>
    <t>Monitoring81</t>
  </si>
  <si>
    <t>Standar kelulusan81</t>
  </si>
  <si>
    <t>Tugas82</t>
  </si>
  <si>
    <t>Tujuan82</t>
  </si>
  <si>
    <t>Instruksi82</t>
  </si>
  <si>
    <t>Output82</t>
  </si>
  <si>
    <t>Waktu82</t>
  </si>
  <si>
    <t>Monitoring82</t>
  </si>
  <si>
    <t>Standar kelulusan82</t>
  </si>
  <si>
    <t>Tugas83</t>
  </si>
  <si>
    <t>Tujuan83</t>
  </si>
  <si>
    <t>Instruksi83</t>
  </si>
  <si>
    <t>Output83</t>
  </si>
  <si>
    <t>Waktu83</t>
  </si>
  <si>
    <t>Monitoring83</t>
  </si>
  <si>
    <t>Standar kelulusan83</t>
  </si>
  <si>
    <t>Tugas84</t>
  </si>
  <si>
    <t>Tujuan84</t>
  </si>
  <si>
    <t>Instruksi84</t>
  </si>
  <si>
    <t>Output84</t>
  </si>
  <si>
    <t>Waktu84</t>
  </si>
  <si>
    <t>Monitoring84</t>
  </si>
  <si>
    <t>Standar kelulusan84</t>
  </si>
  <si>
    <t>Tugas85</t>
  </si>
  <si>
    <t>Tujuan85</t>
  </si>
  <si>
    <t>Instruksi85</t>
  </si>
  <si>
    <t>Output85</t>
  </si>
  <si>
    <t>Waktu85</t>
  </si>
  <si>
    <t>Monitoring85</t>
  </si>
  <si>
    <t>Standar kelulusan85</t>
  </si>
  <si>
    <t>Tugas86</t>
  </si>
  <si>
    <t>Tujuan86</t>
  </si>
  <si>
    <t>Instruksi86</t>
  </si>
  <si>
    <t>Output86</t>
  </si>
  <si>
    <t>Waktu86</t>
  </si>
  <si>
    <t>Monitoring86</t>
  </si>
  <si>
    <t>Standar kelulusan86</t>
  </si>
  <si>
    <t>Tugas87</t>
  </si>
  <si>
    <t>Tujuan87</t>
  </si>
  <si>
    <t>Instruksi87</t>
  </si>
  <si>
    <t>Output87</t>
  </si>
  <si>
    <t>Waktu87</t>
  </si>
  <si>
    <t>Monitoring87</t>
  </si>
  <si>
    <t>Standar kelulusan87</t>
  </si>
  <si>
    <t>Tugas88</t>
  </si>
  <si>
    <t>Tujuan88</t>
  </si>
  <si>
    <t>Instruksi88</t>
  </si>
  <si>
    <t>Output88</t>
  </si>
  <si>
    <t>Waktu88</t>
  </si>
  <si>
    <t>Monitoring88</t>
  </si>
  <si>
    <t>Standar kelulusan88</t>
  </si>
  <si>
    <t>Tugas89</t>
  </si>
  <si>
    <t>Tujuan89</t>
  </si>
  <si>
    <t>Instruksi89</t>
  </si>
  <si>
    <t>Output89</t>
  </si>
  <si>
    <t>Waktu89</t>
  </si>
  <si>
    <t>Monitoring89</t>
  </si>
  <si>
    <t>Standar kelulusan89</t>
  </si>
  <si>
    <t>Tugas90</t>
  </si>
  <si>
    <t>Tujuan90</t>
  </si>
  <si>
    <t>Instruksi90</t>
  </si>
  <si>
    <t>Output90</t>
  </si>
  <si>
    <t>Waktu90</t>
  </si>
  <si>
    <t>Monitoring90</t>
  </si>
  <si>
    <t>Standar kelulusan90</t>
  </si>
  <si>
    <t>Tugas91</t>
  </si>
  <si>
    <t>Tujuan91</t>
  </si>
  <si>
    <t>Instruksi91</t>
  </si>
  <si>
    <t>Output91</t>
  </si>
  <si>
    <t>Waktu91</t>
  </si>
  <si>
    <t>Monitoring91</t>
  </si>
  <si>
    <t>Standar kelulusan91</t>
  </si>
  <si>
    <t>Tugas92</t>
  </si>
  <si>
    <t>Tujuan92</t>
  </si>
  <si>
    <t>Instruksi92</t>
  </si>
  <si>
    <t>Output92</t>
  </si>
  <si>
    <t>Waktu92</t>
  </si>
  <si>
    <t>Monitoring92</t>
  </si>
  <si>
    <t>Standar kelulusan92</t>
  </si>
  <si>
    <t>Tugas93</t>
  </si>
  <si>
    <t>Tujuan93</t>
  </si>
  <si>
    <t>Instruksi93</t>
  </si>
  <si>
    <t>Output93</t>
  </si>
  <si>
    <t>Waktu93</t>
  </si>
  <si>
    <t>Monitoring93</t>
  </si>
  <si>
    <t>Standar kelulusan93</t>
  </si>
  <si>
    <t>Tugas94</t>
  </si>
  <si>
    <t>Tujuan94</t>
  </si>
  <si>
    <t>Instruksi94</t>
  </si>
  <si>
    <t>Output94</t>
  </si>
  <si>
    <t>Waktu94</t>
  </si>
  <si>
    <t>Monitoring94</t>
  </si>
  <si>
    <t>Standar kelulusan94</t>
  </si>
  <si>
    <t>Tugas95</t>
  </si>
  <si>
    <t>Tujuan95</t>
  </si>
  <si>
    <t>Instruksi95</t>
  </si>
  <si>
    <t>Output95</t>
  </si>
  <si>
    <t>Waktu95</t>
  </si>
  <si>
    <t>Monitoring95</t>
  </si>
  <si>
    <t>Standar kelulusan95</t>
  </si>
  <si>
    <t>Tugas96</t>
  </si>
  <si>
    <t>Tujuan96</t>
  </si>
  <si>
    <t>Instruksi96</t>
  </si>
  <si>
    <t>Output96</t>
  </si>
  <si>
    <t>Waktu96</t>
  </si>
  <si>
    <t>Monitoring96</t>
  </si>
  <si>
    <t>Standar kelulusan96</t>
  </si>
  <si>
    <t>Tugas97</t>
  </si>
  <si>
    <t>Tujuan97</t>
  </si>
  <si>
    <t>Instruksi97</t>
  </si>
  <si>
    <t>Output97</t>
  </si>
  <si>
    <t>Waktu97</t>
  </si>
  <si>
    <t>Monitoring97</t>
  </si>
  <si>
    <t>Standar kelulusan97</t>
  </si>
  <si>
    <t>Tugas98</t>
  </si>
  <si>
    <t>Tujuan98</t>
  </si>
  <si>
    <t>Instruksi98</t>
  </si>
  <si>
    <t>Output98</t>
  </si>
  <si>
    <t>Waktu98</t>
  </si>
  <si>
    <t>Monitoring98</t>
  </si>
  <si>
    <t>Standar kelulusan98</t>
  </si>
  <si>
    <t>Tugas99</t>
  </si>
  <si>
    <t>Tujuan99</t>
  </si>
  <si>
    <t>Instruksi99</t>
  </si>
  <si>
    <t>Output99</t>
  </si>
  <si>
    <t>Waktu99</t>
  </si>
  <si>
    <t>Monitoring99</t>
  </si>
  <si>
    <t>Standar kelulusan99</t>
  </si>
  <si>
    <t>Tugas100</t>
  </si>
  <si>
    <t>Tujuan100</t>
  </si>
  <si>
    <t>Instruksi100</t>
  </si>
  <si>
    <t>Output100</t>
  </si>
  <si>
    <t>Waktu100</t>
  </si>
  <si>
    <t>Monitoring100</t>
  </si>
  <si>
    <t>Standar kelulusan100</t>
  </si>
  <si>
    <t>Tugas101</t>
  </si>
  <si>
    <t>Tujuan101</t>
  </si>
  <si>
    <t>Instruksi101</t>
  </si>
  <si>
    <t>Output101</t>
  </si>
  <si>
    <t>Waktu101</t>
  </si>
  <si>
    <t>Monitoring101</t>
  </si>
  <si>
    <t>Standar kelulusan101</t>
  </si>
  <si>
    <t>Tugas102</t>
  </si>
  <si>
    <t>Tujuan102</t>
  </si>
  <si>
    <t>Instruksi102</t>
  </si>
  <si>
    <t>Output102</t>
  </si>
  <si>
    <t>Waktu102</t>
  </si>
  <si>
    <t>Monitoring102</t>
  </si>
  <si>
    <t>Standar kelulusan102</t>
  </si>
  <si>
    <t>Tugas103</t>
  </si>
  <si>
    <t>Tujuan103</t>
  </si>
  <si>
    <t>Instruksi103</t>
  </si>
  <si>
    <t>Output103</t>
  </si>
  <si>
    <t>Waktu103</t>
  </si>
  <si>
    <t>Monitoring103</t>
  </si>
  <si>
    <t>Standar kelulusan103</t>
  </si>
  <si>
    <t>Tugas104</t>
  </si>
  <si>
    <t>Tujuan104</t>
  </si>
  <si>
    <t>Instruksi104</t>
  </si>
  <si>
    <t>Output104</t>
  </si>
  <si>
    <t>Waktu104</t>
  </si>
  <si>
    <t>Monitoring104</t>
  </si>
  <si>
    <t>Standar kelulusan104</t>
  </si>
  <si>
    <t>Tugas105</t>
  </si>
  <si>
    <t>Tujuan105</t>
  </si>
  <si>
    <t>Instruksi105</t>
  </si>
  <si>
    <t>Output105</t>
  </si>
  <si>
    <t>Waktu105</t>
  </si>
  <si>
    <t>Monitoring105</t>
  </si>
  <si>
    <t>Standar kelulusan105</t>
  </si>
  <si>
    <t>Tugas106</t>
  </si>
  <si>
    <t>Tujuan106</t>
  </si>
  <si>
    <t>Instruksi106</t>
  </si>
  <si>
    <t>Output106</t>
  </si>
  <si>
    <t>Waktu106</t>
  </si>
  <si>
    <t>Monitoring106</t>
  </si>
  <si>
    <t>Standar kelulusan106</t>
  </si>
  <si>
    <t>Tugas107</t>
  </si>
  <si>
    <t>Tujuan107</t>
  </si>
  <si>
    <t>Instruksi107</t>
  </si>
  <si>
    <t>Output107</t>
  </si>
  <si>
    <t>Waktu107</t>
  </si>
  <si>
    <t>Monitoring107</t>
  </si>
  <si>
    <t>Standar kelulusan107</t>
  </si>
  <si>
    <t>Tugas108</t>
  </si>
  <si>
    <t>Tujuan108</t>
  </si>
  <si>
    <t>Instruksi108</t>
  </si>
  <si>
    <t>Output108</t>
  </si>
  <si>
    <t>Waktu108</t>
  </si>
  <si>
    <t>Monitoring108</t>
  </si>
  <si>
    <t>Standar kelulusan108</t>
  </si>
  <si>
    <t>Tugas109</t>
  </si>
  <si>
    <t>Tujuan109</t>
  </si>
  <si>
    <t>Instruksi109</t>
  </si>
  <si>
    <t>Output109</t>
  </si>
  <si>
    <t>Waktu109</t>
  </si>
  <si>
    <t>Monitoring109</t>
  </si>
  <si>
    <t>Standar kelulusan109</t>
  </si>
  <si>
    <t>Tugas110</t>
  </si>
  <si>
    <t>Tujuan110</t>
  </si>
  <si>
    <t>Instruksi110</t>
  </si>
  <si>
    <t>Output110</t>
  </si>
  <si>
    <t>Waktu110</t>
  </si>
  <si>
    <t>Monitoring110</t>
  </si>
  <si>
    <t>Standar kelulusan110</t>
  </si>
  <si>
    <t>Tugas111</t>
  </si>
  <si>
    <t>Tujuan111</t>
  </si>
  <si>
    <t>Instruksi111</t>
  </si>
  <si>
    <t>Output111</t>
  </si>
  <si>
    <t>Waktu111</t>
  </si>
  <si>
    <t>Monitoring111</t>
  </si>
  <si>
    <t>Standar kelulusan111</t>
  </si>
  <si>
    <t>Tugas112</t>
  </si>
  <si>
    <t>Tujuan112</t>
  </si>
  <si>
    <t>Instruksi112</t>
  </si>
  <si>
    <t>Output112</t>
  </si>
  <si>
    <t>Waktu112</t>
  </si>
  <si>
    <t>Monitoring112</t>
  </si>
  <si>
    <t>Standar kelulusan112</t>
  </si>
  <si>
    <t>Tugas113</t>
  </si>
  <si>
    <t>Tujuan113</t>
  </si>
  <si>
    <t>Instruksi113</t>
  </si>
  <si>
    <t>Output113</t>
  </si>
  <si>
    <t>Waktu113</t>
  </si>
  <si>
    <t>Monitoring113</t>
  </si>
  <si>
    <t>Standar kelulusan113</t>
  </si>
  <si>
    <t>Tugas114</t>
  </si>
  <si>
    <t>Tujuan114</t>
  </si>
  <si>
    <t>Instruksi114</t>
  </si>
  <si>
    <t>Output114</t>
  </si>
  <si>
    <t>Waktu114</t>
  </si>
  <si>
    <t>Monitoring114</t>
  </si>
  <si>
    <t>Standar kelulusan114</t>
  </si>
  <si>
    <t>Tugas115</t>
  </si>
  <si>
    <t>Tujuan115</t>
  </si>
  <si>
    <t>Instruksi115</t>
  </si>
  <si>
    <t>Output115</t>
  </si>
  <si>
    <t>Waktu115</t>
  </si>
  <si>
    <t>Monitoring115</t>
  </si>
  <si>
    <t>Standar kelulusan115</t>
  </si>
  <si>
    <t>Tugas116</t>
  </si>
  <si>
    <t>Tujuan116</t>
  </si>
  <si>
    <t>Instruksi116</t>
  </si>
  <si>
    <t>Output116</t>
  </si>
  <si>
    <t>Waktu116</t>
  </si>
  <si>
    <t>Monitoring116</t>
  </si>
  <si>
    <t>Standar kelulusan116</t>
  </si>
  <si>
    <t>Tugas117</t>
  </si>
  <si>
    <t>Tujuan117</t>
  </si>
  <si>
    <t>Instruksi117</t>
  </si>
  <si>
    <t>Output117</t>
  </si>
  <si>
    <t>Waktu117</t>
  </si>
  <si>
    <t>Monitoring117</t>
  </si>
  <si>
    <t>Standar kelulusan117</t>
  </si>
  <si>
    <t>Tugas118</t>
  </si>
  <si>
    <t>Tujuan118</t>
  </si>
  <si>
    <t>Instruksi118</t>
  </si>
  <si>
    <t>Output118</t>
  </si>
  <si>
    <t>Waktu118</t>
  </si>
  <si>
    <t>Monitoring118</t>
  </si>
  <si>
    <t>Standar kelulusan118</t>
  </si>
  <si>
    <t>Tugas119</t>
  </si>
  <si>
    <t>Tujuan119</t>
  </si>
  <si>
    <t>Instruksi119</t>
  </si>
  <si>
    <t>Output119</t>
  </si>
  <si>
    <t>Waktu119</t>
  </si>
  <si>
    <t>Monitoring119</t>
  </si>
  <si>
    <t>Standar kelulusan119</t>
  </si>
  <si>
    <t>Tugas120</t>
  </si>
  <si>
    <t>Tujuan120</t>
  </si>
  <si>
    <t>Instruksi120</t>
  </si>
  <si>
    <t>Output120</t>
  </si>
  <si>
    <t>Waktu120</t>
  </si>
  <si>
    <t>Monitoring120</t>
  </si>
  <si>
    <t>Standar kelulusan120</t>
  </si>
  <si>
    <t>Tugas121</t>
  </si>
  <si>
    <t>Tujuan121</t>
  </si>
  <si>
    <t>Instruksi121</t>
  </si>
  <si>
    <t>Output121</t>
  </si>
  <si>
    <t>Waktu121</t>
  </si>
  <si>
    <t>Monitoring121</t>
  </si>
  <si>
    <t>Standar kelulusan121</t>
  </si>
  <si>
    <t>Tugas122</t>
  </si>
  <si>
    <t>Tujuan122</t>
  </si>
  <si>
    <t>Instruksi122</t>
  </si>
  <si>
    <t>Output122</t>
  </si>
  <si>
    <t>Waktu122</t>
  </si>
  <si>
    <t>Monitoring122</t>
  </si>
  <si>
    <t>Standar kelulusan122</t>
  </si>
  <si>
    <t>Tugas123</t>
  </si>
  <si>
    <t>Tujuan123</t>
  </si>
  <si>
    <t>Instruksi123</t>
  </si>
  <si>
    <t>Output123</t>
  </si>
  <si>
    <t>Waktu123</t>
  </si>
  <si>
    <t>Monitoring123</t>
  </si>
  <si>
    <t>Standar kelulusan123</t>
  </si>
  <si>
    <t>Tugas124</t>
  </si>
  <si>
    <t>Tujuan124</t>
  </si>
  <si>
    <t>Instruksi124</t>
  </si>
  <si>
    <t>Output124</t>
  </si>
  <si>
    <t>Waktu124</t>
  </si>
  <si>
    <t>Monitoring124</t>
  </si>
  <si>
    <t>Standar kelulusan124</t>
  </si>
  <si>
    <t>Tugas125</t>
  </si>
  <si>
    <t>Tujuan125</t>
  </si>
  <si>
    <t>Instruksi125</t>
  </si>
  <si>
    <t>Output125</t>
  </si>
  <si>
    <t>Waktu125</t>
  </si>
  <si>
    <t>Monitoring125</t>
  </si>
  <si>
    <t>Standar kelulusan125</t>
  </si>
  <si>
    <t>Tugas126</t>
  </si>
  <si>
    <t>Tujuan126</t>
  </si>
  <si>
    <t>Instruksi126</t>
  </si>
  <si>
    <t>Output126</t>
  </si>
  <si>
    <t>Waktu126</t>
  </si>
  <si>
    <t>Monitoring126</t>
  </si>
  <si>
    <t>Standar kelulusan126</t>
  </si>
  <si>
    <t>Tugas127</t>
  </si>
  <si>
    <t>Tujuan127</t>
  </si>
  <si>
    <t>Instruksi127</t>
  </si>
  <si>
    <t>Output127</t>
  </si>
  <si>
    <t>Waktu127</t>
  </si>
  <si>
    <t>Monitoring127</t>
  </si>
  <si>
    <t>Standar kelulusan127</t>
  </si>
  <si>
    <t>Tugas128</t>
  </si>
  <si>
    <t>Tujuan128</t>
  </si>
  <si>
    <t>Instruksi128</t>
  </si>
  <si>
    <t>Output128</t>
  </si>
  <si>
    <t>Waktu128</t>
  </si>
  <si>
    <t>Monitoring128</t>
  </si>
  <si>
    <t>Standar kelulusan128</t>
  </si>
  <si>
    <t>Tugas129</t>
  </si>
  <si>
    <t>Tujuan129</t>
  </si>
  <si>
    <t>Instruksi129</t>
  </si>
  <si>
    <t>Output129</t>
  </si>
  <si>
    <t>Waktu129</t>
  </si>
  <si>
    <t>Monitoring129</t>
  </si>
  <si>
    <t>Standar kelulusan129</t>
  </si>
  <si>
    <t>Tugas130</t>
  </si>
  <si>
    <t>Tujuan130</t>
  </si>
  <si>
    <t>Instruksi130</t>
  </si>
  <si>
    <t>Output130</t>
  </si>
  <si>
    <t>Waktu130</t>
  </si>
  <si>
    <t>Monitoring130</t>
  </si>
  <si>
    <t>Standar kelulusan130</t>
  </si>
  <si>
    <t>Tugas131</t>
  </si>
  <si>
    <t>Tujuan131</t>
  </si>
  <si>
    <t>Instruksi131</t>
  </si>
  <si>
    <t>Output131</t>
  </si>
  <si>
    <t>Waktu131</t>
  </si>
  <si>
    <t>Monitoring131</t>
  </si>
  <si>
    <t>Standar kelulusan131</t>
  </si>
  <si>
    <t>Tugas132</t>
  </si>
  <si>
    <t>Tujuan132</t>
  </si>
  <si>
    <t>Instruksi132</t>
  </si>
  <si>
    <t>Output132</t>
  </si>
  <si>
    <t>Waktu132</t>
  </si>
  <si>
    <t>Monitoring132</t>
  </si>
  <si>
    <t>Standar kelulusan132</t>
  </si>
  <si>
    <t>Tugas133</t>
  </si>
  <si>
    <t>Tujuan133</t>
  </si>
  <si>
    <t>Instruksi133</t>
  </si>
  <si>
    <t>Output133</t>
  </si>
  <si>
    <t>Waktu133</t>
  </si>
  <si>
    <t>Monitoring133</t>
  </si>
  <si>
    <t>Standar kelulusan133</t>
  </si>
  <si>
    <t>Tugas134</t>
  </si>
  <si>
    <t>Tujuan134</t>
  </si>
  <si>
    <t>Instruksi134</t>
  </si>
  <si>
    <t>Output134</t>
  </si>
  <si>
    <t>Waktu134</t>
  </si>
  <si>
    <t>Monitoring134</t>
  </si>
  <si>
    <t>Standar kelulusan134</t>
  </si>
  <si>
    <t>Tugas135</t>
  </si>
  <si>
    <t>Tujuan135</t>
  </si>
  <si>
    <t>Instruksi135</t>
  </si>
  <si>
    <t>Output135</t>
  </si>
  <si>
    <t>Waktu135</t>
  </si>
  <si>
    <t>Monitoring135</t>
  </si>
  <si>
    <t>Standar kelulusan135</t>
  </si>
  <si>
    <t>Tugas136</t>
  </si>
  <si>
    <t>Tujuan136</t>
  </si>
  <si>
    <t>Instruksi136</t>
  </si>
  <si>
    <t>Output136</t>
  </si>
  <si>
    <t>Waktu136</t>
  </si>
  <si>
    <t>Monitoring136</t>
  </si>
  <si>
    <t>Standar kelulusan136</t>
  </si>
  <si>
    <t>Tugas137</t>
  </si>
  <si>
    <t>Tujuan137</t>
  </si>
  <si>
    <t>Instruksi137</t>
  </si>
  <si>
    <t>Output137</t>
  </si>
  <si>
    <t>Waktu137</t>
  </si>
  <si>
    <t>Monitoring137</t>
  </si>
  <si>
    <t>Standar kelulusan137</t>
  </si>
  <si>
    <t>Tugas138</t>
  </si>
  <si>
    <t>Tujuan138</t>
  </si>
  <si>
    <t>Instruksi138</t>
  </si>
  <si>
    <t>Output138</t>
  </si>
  <si>
    <t>Waktu138</t>
  </si>
  <si>
    <t>Monitoring138</t>
  </si>
  <si>
    <t>Standar kelulusan138</t>
  </si>
  <si>
    <t>Tugas139</t>
  </si>
  <si>
    <t>Tujuan139</t>
  </si>
  <si>
    <t>Instruksi139</t>
  </si>
  <si>
    <t>Output139</t>
  </si>
  <si>
    <t>Waktu139</t>
  </si>
  <si>
    <t>Monitoring139</t>
  </si>
  <si>
    <t>Standar kelulusan139</t>
  </si>
  <si>
    <t>Tugas140</t>
  </si>
  <si>
    <t>Tujuan140</t>
  </si>
  <si>
    <t>Instruksi140</t>
  </si>
  <si>
    <t>Output140</t>
  </si>
  <si>
    <t>Waktu140</t>
  </si>
  <si>
    <t>Monitoring140</t>
  </si>
  <si>
    <t>Standar kelulusan140</t>
  </si>
  <si>
    <t>Tugas141</t>
  </si>
  <si>
    <t>Tujuan141</t>
  </si>
  <si>
    <t>Instruksi141</t>
  </si>
  <si>
    <t>Output141</t>
  </si>
  <si>
    <t>Waktu141</t>
  </si>
  <si>
    <t>Monitoring141</t>
  </si>
  <si>
    <t>Standar kelulusan141</t>
  </si>
  <si>
    <t>Tugas142</t>
  </si>
  <si>
    <t>Tujuan142</t>
  </si>
  <si>
    <t>Instruksi142</t>
  </si>
  <si>
    <t>Output142</t>
  </si>
  <si>
    <t>Waktu142</t>
  </si>
  <si>
    <t>Monitoring142</t>
  </si>
  <si>
    <t>Standar kelulusan142</t>
  </si>
  <si>
    <t>Tugas143</t>
  </si>
  <si>
    <t>Tujuan143</t>
  </si>
  <si>
    <t>Instruksi143</t>
  </si>
  <si>
    <t>Output143</t>
  </si>
  <si>
    <t>Waktu143</t>
  </si>
  <si>
    <t>Monitoring143</t>
  </si>
  <si>
    <t>Standar kelulusan143</t>
  </si>
  <si>
    <t>Tugas144</t>
  </si>
  <si>
    <t>Tujuan144</t>
  </si>
  <si>
    <t>Instruksi144</t>
  </si>
  <si>
    <t>Output144</t>
  </si>
  <si>
    <t>Waktu144</t>
  </si>
  <si>
    <t>Monitoring144</t>
  </si>
  <si>
    <t>Standar kelulusan144</t>
  </si>
  <si>
    <t>Tugas145</t>
  </si>
  <si>
    <t>Tujuan145</t>
  </si>
  <si>
    <t>Instruksi145</t>
  </si>
  <si>
    <t>Output145</t>
  </si>
  <si>
    <t>Waktu145</t>
  </si>
  <si>
    <t>Monitoring145</t>
  </si>
  <si>
    <t>Standar kelulusan145</t>
  </si>
  <si>
    <t>Tugas146</t>
  </si>
  <si>
    <t>Tujuan146</t>
  </si>
  <si>
    <t>Instruksi146</t>
  </si>
  <si>
    <t>Output146</t>
  </si>
  <si>
    <t>Waktu146</t>
  </si>
  <si>
    <t>Monitoring146</t>
  </si>
  <si>
    <t>Standar kelulusan146</t>
  </si>
  <si>
    <t>Tugas147</t>
  </si>
  <si>
    <t>Tujuan147</t>
  </si>
  <si>
    <t>Instruksi147</t>
  </si>
  <si>
    <t>Output147</t>
  </si>
  <si>
    <t>Waktu147</t>
  </si>
  <si>
    <t>Monitoring147</t>
  </si>
  <si>
    <t>Standar kelulusan147</t>
  </si>
  <si>
    <t>Tugas148</t>
  </si>
  <si>
    <t>Tujuan148</t>
  </si>
  <si>
    <t>Instruksi148</t>
  </si>
  <si>
    <t>Output148</t>
  </si>
  <si>
    <t>Waktu148</t>
  </si>
  <si>
    <t>Monitoring148</t>
  </si>
  <si>
    <t>Standar kelulusan148</t>
  </si>
  <si>
    <t>Tugas149</t>
  </si>
  <si>
    <t>Tujuan149</t>
  </si>
  <si>
    <t>Instruksi149</t>
  </si>
  <si>
    <t>Output149</t>
  </si>
  <si>
    <t>Waktu149</t>
  </si>
  <si>
    <t>Monitoring149</t>
  </si>
  <si>
    <t>Standar kelulusan149</t>
  </si>
  <si>
    <t>Tugas150</t>
  </si>
  <si>
    <t>Tujuan150</t>
  </si>
  <si>
    <t>Instruksi150</t>
  </si>
  <si>
    <t>Output150</t>
  </si>
  <si>
    <t>Waktu150</t>
  </si>
  <si>
    <t>Monitoring150</t>
  </si>
  <si>
    <t>Standar kelulusan150</t>
  </si>
  <si>
    <t>Tugas151</t>
  </si>
  <si>
    <t>Tujuan151</t>
  </si>
  <si>
    <t>Instruksi151</t>
  </si>
  <si>
    <t>Output151</t>
  </si>
  <si>
    <t>Waktu151</t>
  </si>
  <si>
    <t>Monitoring151</t>
  </si>
  <si>
    <t>Standar kelulusan151</t>
  </si>
  <si>
    <t>Tugas152</t>
  </si>
  <si>
    <t>Tujuan152</t>
  </si>
  <si>
    <t>Instruksi152</t>
  </si>
  <si>
    <t>Output152</t>
  </si>
  <si>
    <t>Waktu152</t>
  </si>
  <si>
    <t>Monitoring152</t>
  </si>
  <si>
    <t>Standar kelulusan152</t>
  </si>
  <si>
    <t>Tugas153</t>
  </si>
  <si>
    <t>Tujuan153</t>
  </si>
  <si>
    <t>Instruksi153</t>
  </si>
  <si>
    <t>Output153</t>
  </si>
  <si>
    <t>Waktu153</t>
  </si>
  <si>
    <t>Monitoring153</t>
  </si>
  <si>
    <t>Standar kelulusan153</t>
  </si>
  <si>
    <t>Tugas154</t>
  </si>
  <si>
    <t>Tujuan154</t>
  </si>
  <si>
    <t>Instruksi154</t>
  </si>
  <si>
    <t>Output154</t>
  </si>
  <si>
    <t>Waktu154</t>
  </si>
  <si>
    <t>Monitoring154</t>
  </si>
  <si>
    <t>Standar kelulusan154</t>
  </si>
  <si>
    <t>Tugas155</t>
  </si>
  <si>
    <t>Tujuan155</t>
  </si>
  <si>
    <t>Instruksi155</t>
  </si>
  <si>
    <t>Output155</t>
  </si>
  <si>
    <t>Waktu155</t>
  </si>
  <si>
    <t>Monitoring155</t>
  </si>
  <si>
    <t>Standar kelulusan155</t>
  </si>
  <si>
    <t>Tugas156</t>
  </si>
  <si>
    <t>Tujuan156</t>
  </si>
  <si>
    <t>Instruksi156</t>
  </si>
  <si>
    <t>Output156</t>
  </si>
  <si>
    <t>Waktu156</t>
  </si>
  <si>
    <t>Monitoring156</t>
  </si>
  <si>
    <t>Standar kelulusan156</t>
  </si>
  <si>
    <t>Tugas157</t>
  </si>
  <si>
    <t>Tujuan157</t>
  </si>
  <si>
    <t>Instruksi157</t>
  </si>
  <si>
    <t>Output157</t>
  </si>
  <si>
    <t>Waktu157</t>
  </si>
  <si>
    <t>Monitoring157</t>
  </si>
  <si>
    <t>Standar kelulusan157</t>
  </si>
  <si>
    <t>Tugas158</t>
  </si>
  <si>
    <t>Tujuan158</t>
  </si>
  <si>
    <t>Instruksi158</t>
  </si>
  <si>
    <t>Output158</t>
  </si>
  <si>
    <t>Waktu158</t>
  </si>
  <si>
    <t>Monitoring158</t>
  </si>
  <si>
    <t>Standar kelulusan158</t>
  </si>
  <si>
    <t>Tugas159</t>
  </si>
  <si>
    <t>Tujuan159</t>
  </si>
  <si>
    <t>Instruksi159</t>
  </si>
  <si>
    <t>Output159</t>
  </si>
  <si>
    <t>Waktu159</t>
  </si>
  <si>
    <t>Monitoring159</t>
  </si>
  <si>
    <t>Standar kelulusan159</t>
  </si>
  <si>
    <t>Tugas160</t>
  </si>
  <si>
    <t>Tujuan160</t>
  </si>
  <si>
    <t>Instruksi160</t>
  </si>
  <si>
    <t>Output160</t>
  </si>
  <si>
    <t>Waktu160</t>
  </si>
  <si>
    <t>Monitoring160</t>
  </si>
  <si>
    <t>Standar kelulusan160</t>
  </si>
  <si>
    <t>Tugas161</t>
  </si>
  <si>
    <t>Tujuan161</t>
  </si>
  <si>
    <t>Instruksi161</t>
  </si>
  <si>
    <t>Output161</t>
  </si>
  <si>
    <t>Waktu161</t>
  </si>
  <si>
    <t>Monitoring161</t>
  </si>
  <si>
    <t>Standar kelulusan161</t>
  </si>
  <si>
    <t>Tugas162</t>
  </si>
  <si>
    <t>Tujuan162</t>
  </si>
  <si>
    <t>Instruksi162</t>
  </si>
  <si>
    <t>Output162</t>
  </si>
  <si>
    <t>Waktu162</t>
  </si>
  <si>
    <t>Monitoring162</t>
  </si>
  <si>
    <t>Standar kelulusan162</t>
  </si>
  <si>
    <t>Tugas163</t>
  </si>
  <si>
    <t>Tujuan163</t>
  </si>
  <si>
    <t>Instruksi163</t>
  </si>
  <si>
    <t>Output163</t>
  </si>
  <si>
    <t>Waktu163</t>
  </si>
  <si>
    <t>Monitoring163</t>
  </si>
  <si>
    <t>Standar kelulusan163</t>
  </si>
  <si>
    <t>Tugas164</t>
  </si>
  <si>
    <t>Tujuan164</t>
  </si>
  <si>
    <t>Instruksi164</t>
  </si>
  <si>
    <t>Output164</t>
  </si>
  <si>
    <t>Waktu164</t>
  </si>
  <si>
    <t>Monitoring164</t>
  </si>
  <si>
    <t>Standar kelulusan164</t>
  </si>
  <si>
    <t>Tugas165</t>
  </si>
  <si>
    <t>Tujuan165</t>
  </si>
  <si>
    <t>Instruksi165</t>
  </si>
  <si>
    <t>Output165</t>
  </si>
  <si>
    <t>Waktu165</t>
  </si>
  <si>
    <t>Monitoring165</t>
  </si>
  <si>
    <t>Standar kelulusan165</t>
  </si>
  <si>
    <t>Tugas166</t>
  </si>
  <si>
    <t>Tujuan166</t>
  </si>
  <si>
    <t>Instruksi166</t>
  </si>
  <si>
    <t>Output166</t>
  </si>
  <si>
    <t>Waktu166</t>
  </si>
  <si>
    <t>Monitoring166</t>
  </si>
  <si>
    <t>Standar kelulusan166</t>
  </si>
  <si>
    <t>Tugas167</t>
  </si>
  <si>
    <t>Tujuan167</t>
  </si>
  <si>
    <t>Instruksi167</t>
  </si>
  <si>
    <t>Output167</t>
  </si>
  <si>
    <t>Waktu167</t>
  </si>
  <si>
    <t>Monitoring167</t>
  </si>
  <si>
    <t>Standar kelulusan167</t>
  </si>
  <si>
    <t>Tugas168</t>
  </si>
  <si>
    <t>Tujuan168</t>
  </si>
  <si>
    <t>Instruksi168</t>
  </si>
  <si>
    <t>Output168</t>
  </si>
  <si>
    <t>Waktu168</t>
  </si>
  <si>
    <t>Monitoring168</t>
  </si>
  <si>
    <t>Standar kelulusan168</t>
  </si>
  <si>
    <t>Tugas169</t>
  </si>
  <si>
    <t>Tujuan169</t>
  </si>
  <si>
    <t>Instruksi169</t>
  </si>
  <si>
    <t>Output169</t>
  </si>
  <si>
    <t>Waktu169</t>
  </si>
  <si>
    <t>Monitoring169</t>
  </si>
  <si>
    <t>Standar kelulusan169</t>
  </si>
  <si>
    <t>Tugas170</t>
  </si>
  <si>
    <t>Tujuan170</t>
  </si>
  <si>
    <t>Instruksi170</t>
  </si>
  <si>
    <t>Output170</t>
  </si>
  <si>
    <t>Waktu170</t>
  </si>
  <si>
    <t>Monitoring170</t>
  </si>
  <si>
    <t>Standar kelulusan170</t>
  </si>
  <si>
    <t>Tugas171</t>
  </si>
  <si>
    <t>Tujuan171</t>
  </si>
  <si>
    <t>Instruksi171</t>
  </si>
  <si>
    <t>Output171</t>
  </si>
  <si>
    <t>Waktu171</t>
  </si>
  <si>
    <t>Monitoring171</t>
  </si>
  <si>
    <t>Standar kelulusan171</t>
  </si>
  <si>
    <t>Tugas172</t>
  </si>
  <si>
    <t>Tujuan172</t>
  </si>
  <si>
    <t>Instruksi172</t>
  </si>
  <si>
    <t>Output172</t>
  </si>
  <si>
    <t>Waktu172</t>
  </si>
  <si>
    <t>Monitoring172</t>
  </si>
  <si>
    <t>Standar kelulusan172</t>
  </si>
  <si>
    <t>Tugas173</t>
  </si>
  <si>
    <t>Tujuan173</t>
  </si>
  <si>
    <t>Instruksi173</t>
  </si>
  <si>
    <t>Output173</t>
  </si>
  <si>
    <t>Waktu173</t>
  </si>
  <si>
    <t>Monitoring173</t>
  </si>
  <si>
    <t>Standar kelulusan173</t>
  </si>
  <si>
    <t>Tugas174</t>
  </si>
  <si>
    <t>Tujuan174</t>
  </si>
  <si>
    <t>Instruksi174</t>
  </si>
  <si>
    <t>Output174</t>
  </si>
  <si>
    <t>Waktu174</t>
  </si>
  <si>
    <t>Monitoring174</t>
  </si>
  <si>
    <t>Standar kelulusan174</t>
  </si>
  <si>
    <t>Tugas175</t>
  </si>
  <si>
    <t>Tujuan175</t>
  </si>
  <si>
    <t>Instruksi175</t>
  </si>
  <si>
    <t>Output175</t>
  </si>
  <si>
    <t>Waktu175</t>
  </si>
  <si>
    <t>Monitoring175</t>
  </si>
  <si>
    <t>Standar kelulusan175</t>
  </si>
  <si>
    <t>Tugas176</t>
  </si>
  <si>
    <t>Tujuan176</t>
  </si>
  <si>
    <t>Instruksi176</t>
  </si>
  <si>
    <t>Output176</t>
  </si>
  <si>
    <t>Waktu176</t>
  </si>
  <si>
    <t>Monitoring176</t>
  </si>
  <si>
    <t>Standar kelulusan176</t>
  </si>
  <si>
    <t>Tugas177</t>
  </si>
  <si>
    <t>Tujuan177</t>
  </si>
  <si>
    <t>Instruksi177</t>
  </si>
  <si>
    <t>Output177</t>
  </si>
  <si>
    <t>Waktu177</t>
  </si>
  <si>
    <t>Monitoring177</t>
  </si>
  <si>
    <t>Standar kelulusan177</t>
  </si>
  <si>
    <t>Tugas178</t>
  </si>
  <si>
    <t>Tujuan178</t>
  </si>
  <si>
    <t>Instruksi178</t>
  </si>
  <si>
    <t>Output178</t>
  </si>
  <si>
    <t>Waktu178</t>
  </si>
  <si>
    <t>Monitoring178</t>
  </si>
  <si>
    <t>Standar kelulusan178</t>
  </si>
  <si>
    <t>Tugas179</t>
  </si>
  <si>
    <t>Tujuan179</t>
  </si>
  <si>
    <t>Instruksi179</t>
  </si>
  <si>
    <t>Output179</t>
  </si>
  <si>
    <t>Waktu179</t>
  </si>
  <si>
    <t>Monitoring179</t>
  </si>
  <si>
    <t>Standar kelulusan179</t>
  </si>
  <si>
    <t>Tugas180</t>
  </si>
  <si>
    <t>Tujuan180</t>
  </si>
  <si>
    <t>Instruksi180</t>
  </si>
  <si>
    <t>Output180</t>
  </si>
  <si>
    <t>Waktu180</t>
  </si>
  <si>
    <t>Monitoring180</t>
  </si>
  <si>
    <t>Standar kelulusan180</t>
  </si>
  <si>
    <t>Tugas181</t>
  </si>
  <si>
    <t>Tujuan181</t>
  </si>
  <si>
    <t>Instruksi181</t>
  </si>
  <si>
    <t>Output181</t>
  </si>
  <si>
    <t>Waktu181</t>
  </si>
  <si>
    <t>Monitoring181</t>
  </si>
  <si>
    <t>Standar kelulusan181</t>
  </si>
  <si>
    <t>Tugas182</t>
  </si>
  <si>
    <t>Tujuan182</t>
  </si>
  <si>
    <t>Instruksi182</t>
  </si>
  <si>
    <t>Output182</t>
  </si>
  <si>
    <t>Waktu182</t>
  </si>
  <si>
    <t>Monitoring182</t>
  </si>
  <si>
    <t>Standar kelulusan182</t>
  </si>
  <si>
    <t>Tugas183</t>
  </si>
  <si>
    <t>Tujuan183</t>
  </si>
  <si>
    <t>Instruksi183</t>
  </si>
  <si>
    <t>Output183</t>
  </si>
  <si>
    <t>Waktu183</t>
  </si>
  <si>
    <t>Monitoring183</t>
  </si>
  <si>
    <t>Standar kelulusan183</t>
  </si>
  <si>
    <t>Tugas184</t>
  </si>
  <si>
    <t>Tujuan184</t>
  </si>
  <si>
    <t>Instruksi184</t>
  </si>
  <si>
    <t>Output184</t>
  </si>
  <si>
    <t>Waktu184</t>
  </si>
  <si>
    <t>Monitoring184</t>
  </si>
  <si>
    <t>Standar kelulusan184</t>
  </si>
  <si>
    <t>Tugas185</t>
  </si>
  <si>
    <t>Tujuan185</t>
  </si>
  <si>
    <t>Instruksi185</t>
  </si>
  <si>
    <t>Output185</t>
  </si>
  <si>
    <t>Waktu185</t>
  </si>
  <si>
    <t>Monitoring185</t>
  </si>
  <si>
    <t>Standar kelulusan185</t>
  </si>
  <si>
    <t>Tugas186</t>
  </si>
  <si>
    <t>Tujuan186</t>
  </si>
  <si>
    <t>Instruksi186</t>
  </si>
  <si>
    <t>Output186</t>
  </si>
  <si>
    <t>Waktu186</t>
  </si>
  <si>
    <t>Monitoring186</t>
  </si>
  <si>
    <t>Standar kelulusan186</t>
  </si>
  <si>
    <t>Tugas187</t>
  </si>
  <si>
    <t>Tujuan187</t>
  </si>
  <si>
    <t>Instruksi187</t>
  </si>
  <si>
    <t>Output187</t>
  </si>
  <si>
    <t>Waktu187</t>
  </si>
  <si>
    <t>Monitoring187</t>
  </si>
  <si>
    <t>Standar kelulusan187</t>
  </si>
  <si>
    <t>Tugas188</t>
  </si>
  <si>
    <t>Tujuan188</t>
  </si>
  <si>
    <t>Instruksi188</t>
  </si>
  <si>
    <t>Output188</t>
  </si>
  <si>
    <t>Waktu188</t>
  </si>
  <si>
    <t>Monitoring188</t>
  </si>
  <si>
    <t>Standar kelulusan188</t>
  </si>
  <si>
    <t>Tugas189</t>
  </si>
  <si>
    <t>Tujuan189</t>
  </si>
  <si>
    <t>Instruksi189</t>
  </si>
  <si>
    <t>Output189</t>
  </si>
  <si>
    <t>Waktu189</t>
  </si>
  <si>
    <t>Monitoring189</t>
  </si>
  <si>
    <t>Standar kelulusan189</t>
  </si>
  <si>
    <t>Tugas190</t>
  </si>
  <si>
    <t>Tujuan190</t>
  </si>
  <si>
    <t>Instruksi190</t>
  </si>
  <si>
    <t>Output190</t>
  </si>
  <si>
    <t>Waktu190</t>
  </si>
  <si>
    <t>Monitoring190</t>
  </si>
  <si>
    <t>Standar kelulusan190</t>
  </si>
  <si>
    <t>Tugas191</t>
  </si>
  <si>
    <t>Tujuan191</t>
  </si>
  <si>
    <t>Instruksi191</t>
  </si>
  <si>
    <t>Output191</t>
  </si>
  <si>
    <t>Waktu191</t>
  </si>
  <si>
    <t>Monitoring191</t>
  </si>
  <si>
    <t>Standar kelulusan191</t>
  </si>
  <si>
    <t>Tugas192</t>
  </si>
  <si>
    <t>Tujuan192</t>
  </si>
  <si>
    <t>Instruksi192</t>
  </si>
  <si>
    <t>Output192</t>
  </si>
  <si>
    <t>Waktu192</t>
  </si>
  <si>
    <t>Monitoring192</t>
  </si>
  <si>
    <t>Standar kelulusan192</t>
  </si>
  <si>
    <t>Tugas193</t>
  </si>
  <si>
    <t>Tujuan193</t>
  </si>
  <si>
    <t>Instruksi193</t>
  </si>
  <si>
    <t>Output193</t>
  </si>
  <si>
    <t>Waktu193</t>
  </si>
  <si>
    <t>Monitoring193</t>
  </si>
  <si>
    <t>Standar kelulusan193</t>
  </si>
  <si>
    <t>Tugas194</t>
  </si>
  <si>
    <t>Tujuan194</t>
  </si>
  <si>
    <t>Instruksi194</t>
  </si>
  <si>
    <t>Output194</t>
  </si>
  <si>
    <t>Waktu194</t>
  </si>
  <si>
    <t>Monitoring194</t>
  </si>
  <si>
    <t>Standar kelulusan194</t>
  </si>
  <si>
    <t>Tugas195</t>
  </si>
  <si>
    <t>Tujuan195</t>
  </si>
  <si>
    <t>Instruksi195</t>
  </si>
  <si>
    <t>Output195</t>
  </si>
  <si>
    <t>Waktu195</t>
  </si>
  <si>
    <t>Monitoring195</t>
  </si>
  <si>
    <t>Standar kelulusan195</t>
  </si>
  <si>
    <t>Tugas196</t>
  </si>
  <si>
    <t>Tujuan196</t>
  </si>
  <si>
    <t>Instruksi196</t>
  </si>
  <si>
    <t>Output196</t>
  </si>
  <si>
    <t>Waktu196</t>
  </si>
  <si>
    <t>Monitoring196</t>
  </si>
  <si>
    <t>Standar kelulusan196</t>
  </si>
  <si>
    <t>Tugas197</t>
  </si>
  <si>
    <t>Tujuan197</t>
  </si>
  <si>
    <t>Instruksi197</t>
  </si>
  <si>
    <t>Output197</t>
  </si>
  <si>
    <t>Waktu197</t>
  </si>
  <si>
    <t>Monitoring197</t>
  </si>
  <si>
    <t>Standar kelulusan197</t>
  </si>
  <si>
    <t>Tugas198</t>
  </si>
  <si>
    <t>Tujuan198</t>
  </si>
  <si>
    <t>Instruksi198</t>
  </si>
  <si>
    <t>Output198</t>
  </si>
  <si>
    <t>Waktu198</t>
  </si>
  <si>
    <t>Monitoring198</t>
  </si>
  <si>
    <t>Standar kelulusan198</t>
  </si>
  <si>
    <t>Tugas199</t>
  </si>
  <si>
    <t>Tujuan199</t>
  </si>
  <si>
    <t>Instruksi199</t>
  </si>
  <si>
    <t>Output199</t>
  </si>
  <si>
    <t>Waktu199</t>
  </si>
  <si>
    <t>Monitoring199</t>
  </si>
  <si>
    <t>Standar kelulusan199</t>
  </si>
  <si>
    <t>Tugas200</t>
  </si>
  <si>
    <t>Tujuan200</t>
  </si>
  <si>
    <t>Instruksi200</t>
  </si>
  <si>
    <t>Output200</t>
  </si>
  <si>
    <t>Waktu200</t>
  </si>
  <si>
    <t>Monitoring200</t>
  </si>
  <si>
    <t>Standar kelulusan200</t>
  </si>
  <si>
    <t>Tugas201</t>
  </si>
  <si>
    <t>Tujuan201</t>
  </si>
  <si>
    <t>Instruksi201</t>
  </si>
  <si>
    <t>Output201</t>
  </si>
  <si>
    <t>Waktu201</t>
  </si>
  <si>
    <t>Monitoring201</t>
  </si>
  <si>
    <t>Standar kelulusan201</t>
  </si>
  <si>
    <t>Tugas202</t>
  </si>
  <si>
    <t>Tujuan202</t>
  </si>
  <si>
    <t>Instruksi202</t>
  </si>
  <si>
    <t>Output202</t>
  </si>
  <si>
    <t>Waktu202</t>
  </si>
  <si>
    <t>Monitoring202</t>
  </si>
  <si>
    <t>Standar kelulusan202</t>
  </si>
  <si>
    <t>Tugas203</t>
  </si>
  <si>
    <t>Tujuan203</t>
  </si>
  <si>
    <t>Instruksi203</t>
  </si>
  <si>
    <t>Output203</t>
  </si>
  <si>
    <t>Waktu203</t>
  </si>
  <si>
    <t>Monitoring203</t>
  </si>
  <si>
    <t>Standar kelulusan203</t>
  </si>
  <si>
    <t>Tugas204</t>
  </si>
  <si>
    <t>Tujuan204</t>
  </si>
  <si>
    <t>Instruksi204</t>
  </si>
  <si>
    <t>Output204</t>
  </si>
  <si>
    <t>Waktu204</t>
  </si>
  <si>
    <t>Monitoring204</t>
  </si>
  <si>
    <t>Standar kelulusan204</t>
  </si>
  <si>
    <t>Tugas205</t>
  </si>
  <si>
    <t>Tujuan205</t>
  </si>
  <si>
    <t>Instruksi205</t>
  </si>
  <si>
    <t>Output205</t>
  </si>
  <si>
    <t>Waktu205</t>
  </si>
  <si>
    <t>Monitoring205</t>
  </si>
  <si>
    <t>Standar kelulusan205</t>
  </si>
  <si>
    <t>Tugas206</t>
  </si>
  <si>
    <t>Tujuan206</t>
  </si>
  <si>
    <t>Instruksi206</t>
  </si>
  <si>
    <t>Output206</t>
  </si>
  <si>
    <t>Waktu206</t>
  </si>
  <si>
    <t>Monitoring206</t>
  </si>
  <si>
    <t>Standar kelulusan206</t>
  </si>
  <si>
    <t>Tugas207</t>
  </si>
  <si>
    <t>Tujuan207</t>
  </si>
  <si>
    <t>Instruksi207</t>
  </si>
  <si>
    <t>Output207</t>
  </si>
  <si>
    <t>Waktu207</t>
  </si>
  <si>
    <t>Monitoring207</t>
  </si>
  <si>
    <t>Standar kelulusan207</t>
  </si>
  <si>
    <t>Tugas208</t>
  </si>
  <si>
    <t>Tujuan208</t>
  </si>
  <si>
    <t>Instruksi208</t>
  </si>
  <si>
    <t>Output208</t>
  </si>
  <si>
    <t>Waktu208</t>
  </si>
  <si>
    <t>Monitoring208</t>
  </si>
  <si>
    <t>Standar kelulusan208</t>
  </si>
  <si>
    <t>Tugas209</t>
  </si>
  <si>
    <t>Tujuan209</t>
  </si>
  <si>
    <t>Instruksi209</t>
  </si>
  <si>
    <t>Output209</t>
  </si>
  <si>
    <t>Waktu209</t>
  </si>
  <si>
    <t>Monitoring209</t>
  </si>
  <si>
    <t>Standar kelulusan209</t>
  </si>
  <si>
    <t>Tugas210</t>
  </si>
  <si>
    <t>Tujuan210</t>
  </si>
  <si>
    <t>Instruksi210</t>
  </si>
  <si>
    <t>Output210</t>
  </si>
  <si>
    <t>Waktu210</t>
  </si>
  <si>
    <t>Monitoring210</t>
  </si>
  <si>
    <t>Standar kelulusan210</t>
  </si>
  <si>
    <t>Tugas211</t>
  </si>
  <si>
    <t>Tujuan211</t>
  </si>
  <si>
    <t>Instruksi211</t>
  </si>
  <si>
    <t>Output211</t>
  </si>
  <si>
    <t>Waktu211</t>
  </si>
  <si>
    <t>Monitoring211</t>
  </si>
  <si>
    <t>Standar kelulusan211</t>
  </si>
  <si>
    <t>Tugas212</t>
  </si>
  <si>
    <t>Tujuan212</t>
  </si>
  <si>
    <t>Instruksi212</t>
  </si>
  <si>
    <t>Output212</t>
  </si>
  <si>
    <t>Waktu212</t>
  </si>
  <si>
    <t>Monitoring212</t>
  </si>
  <si>
    <t>Standar kelulusan212</t>
  </si>
  <si>
    <t>Tugas213</t>
  </si>
  <si>
    <t>Tujuan213</t>
  </si>
  <si>
    <t>Instruksi213</t>
  </si>
  <si>
    <t>Output213</t>
  </si>
  <si>
    <t>Waktu213</t>
  </si>
  <si>
    <t>Monitoring213</t>
  </si>
  <si>
    <t>Standar kelulusan213</t>
  </si>
  <si>
    <t>Tugas214</t>
  </si>
  <si>
    <t>Tujuan214</t>
  </si>
  <si>
    <t>Instruksi214</t>
  </si>
  <si>
    <t>Output214</t>
  </si>
  <si>
    <t>Waktu214</t>
  </si>
  <si>
    <t>Monitoring214</t>
  </si>
  <si>
    <t>Standar kelulusan214</t>
  </si>
  <si>
    <t>Tugas215</t>
  </si>
  <si>
    <t>Tujuan215</t>
  </si>
  <si>
    <t>Instruksi215</t>
  </si>
  <si>
    <t>Output215</t>
  </si>
  <si>
    <t>Waktu215</t>
  </si>
  <si>
    <t>Monitoring215</t>
  </si>
  <si>
    <t>Standar kelulusan215</t>
  </si>
  <si>
    <t>Tugas216</t>
  </si>
  <si>
    <t>Tujuan216</t>
  </si>
  <si>
    <t>Instruksi216</t>
  </si>
  <si>
    <t>Output216</t>
  </si>
  <si>
    <t>Waktu216</t>
  </si>
  <si>
    <t>Monitoring216</t>
  </si>
  <si>
    <t>Standar kelulusan216</t>
  </si>
  <si>
    <t>Tugas217</t>
  </si>
  <si>
    <t>Tujuan217</t>
  </si>
  <si>
    <t>Instruksi217</t>
  </si>
  <si>
    <t>Output217</t>
  </si>
  <si>
    <t>Waktu217</t>
  </si>
  <si>
    <t>Monitoring217</t>
  </si>
  <si>
    <t>Standar kelulusan217</t>
  </si>
  <si>
    <t>Tugas218</t>
  </si>
  <si>
    <t>Tujuan218</t>
  </si>
  <si>
    <t>Instruksi218</t>
  </si>
  <si>
    <t>Output218</t>
  </si>
  <si>
    <t>Waktu218</t>
  </si>
  <si>
    <t>Monitoring218</t>
  </si>
  <si>
    <t>Standar kelulusan218</t>
  </si>
  <si>
    <t>Tugas219</t>
  </si>
  <si>
    <t>Tujuan219</t>
  </si>
  <si>
    <t>Instruksi219</t>
  </si>
  <si>
    <t>Output219</t>
  </si>
  <si>
    <t>Waktu219</t>
  </si>
  <si>
    <t>Monitoring219</t>
  </si>
  <si>
    <t>Standar kelulusan219</t>
  </si>
  <si>
    <t>Tugas220</t>
  </si>
  <si>
    <t>Tujuan220</t>
  </si>
  <si>
    <t>Instruksi220</t>
  </si>
  <si>
    <t>Output220</t>
  </si>
  <si>
    <t>Waktu220</t>
  </si>
  <si>
    <t>Monitoring220</t>
  </si>
  <si>
    <t>Standar kelulusan220</t>
  </si>
  <si>
    <t>Tugas221</t>
  </si>
  <si>
    <t>Tujuan221</t>
  </si>
  <si>
    <t>Instruksi221</t>
  </si>
  <si>
    <t>Output221</t>
  </si>
  <si>
    <t>Waktu221</t>
  </si>
  <si>
    <t>Monitoring221</t>
  </si>
  <si>
    <t>Standar kelulusan221</t>
  </si>
  <si>
    <t>Tugas222</t>
  </si>
  <si>
    <t>Tujuan222</t>
  </si>
  <si>
    <t>Instruksi222</t>
  </si>
  <si>
    <t>Output222</t>
  </si>
  <si>
    <t>Waktu222</t>
  </si>
  <si>
    <t>Monitoring222</t>
  </si>
  <si>
    <t>Standar kelulusan222</t>
  </si>
  <si>
    <t>Tugas223</t>
  </si>
  <si>
    <t>Tujuan223</t>
  </si>
  <si>
    <t>Instruksi223</t>
  </si>
  <si>
    <t>Output223</t>
  </si>
  <si>
    <t>Waktu223</t>
  </si>
  <si>
    <t>Monitoring223</t>
  </si>
  <si>
    <t>Standar kelulusan223</t>
  </si>
  <si>
    <t>Tugas224</t>
  </si>
  <si>
    <t>Tujuan224</t>
  </si>
  <si>
    <t>Instruksi224</t>
  </si>
  <si>
    <t>Output224</t>
  </si>
  <si>
    <t>Waktu224</t>
  </si>
  <si>
    <t>Monitoring224</t>
  </si>
  <si>
    <t>Standar kelulusan224</t>
  </si>
  <si>
    <t>Tugas225</t>
  </si>
  <si>
    <t>Tujuan225</t>
  </si>
  <si>
    <t>Instruksi225</t>
  </si>
  <si>
    <t>Output225</t>
  </si>
  <si>
    <t>Waktu225</t>
  </si>
  <si>
    <t>Monitoring225</t>
  </si>
  <si>
    <t>Standar kelulusan225</t>
  </si>
  <si>
    <t>Tugas226</t>
  </si>
  <si>
    <t>Tujuan226</t>
  </si>
  <si>
    <t>Instruksi226</t>
  </si>
  <si>
    <t>Output226</t>
  </si>
  <si>
    <t>Waktu226</t>
  </si>
  <si>
    <t>Monitoring226</t>
  </si>
  <si>
    <t>Standar kelulusan226</t>
  </si>
  <si>
    <t>Tugas227</t>
  </si>
  <si>
    <t>Tujuan227</t>
  </si>
  <si>
    <t>Instruksi227</t>
  </si>
  <si>
    <t>Output227</t>
  </si>
  <si>
    <t>Waktu227</t>
  </si>
  <si>
    <t>Monitoring227</t>
  </si>
  <si>
    <t>Standar kelulusan227</t>
  </si>
  <si>
    <t>Tugas228</t>
  </si>
  <si>
    <t>Tujuan228</t>
  </si>
  <si>
    <t>Instruksi228</t>
  </si>
  <si>
    <t>Output228</t>
  </si>
  <si>
    <t>Waktu228</t>
  </si>
  <si>
    <t>Monitoring228</t>
  </si>
  <si>
    <t>Standar kelulusan228</t>
  </si>
  <si>
    <t>Tugas229</t>
  </si>
  <si>
    <t>Tujuan229</t>
  </si>
  <si>
    <t>Instruksi229</t>
  </si>
  <si>
    <t>Output229</t>
  </si>
  <si>
    <t>Waktu229</t>
  </si>
  <si>
    <t>Monitoring229</t>
  </si>
  <si>
    <t>Standar kelulusan229</t>
  </si>
  <si>
    <t>Tugas230</t>
  </si>
  <si>
    <t>Tujuan230</t>
  </si>
  <si>
    <t>Instruksi230</t>
  </si>
  <si>
    <t>Output230</t>
  </si>
  <si>
    <t>Waktu230</t>
  </si>
  <si>
    <t>Monitoring230</t>
  </si>
  <si>
    <t>Standar kelulusan230</t>
  </si>
  <si>
    <t>Tugas231</t>
  </si>
  <si>
    <t>Tujuan231</t>
  </si>
  <si>
    <t>Instruksi231</t>
  </si>
  <si>
    <t>Output231</t>
  </si>
  <si>
    <t>Waktu231</t>
  </si>
  <si>
    <t>Monitoring231</t>
  </si>
  <si>
    <t>Standar kelulusan231</t>
  </si>
  <si>
    <t>Tugas232</t>
  </si>
  <si>
    <t>Tujuan232</t>
  </si>
  <si>
    <t>Instruksi232</t>
  </si>
  <si>
    <t>Output232</t>
  </si>
  <si>
    <t>Waktu232</t>
  </si>
  <si>
    <t>Monitoring232</t>
  </si>
  <si>
    <t>Standar kelulusan232</t>
  </si>
  <si>
    <t>Tugas233</t>
  </si>
  <si>
    <t>Tujuan233</t>
  </si>
  <si>
    <t>Instruksi233</t>
  </si>
  <si>
    <t>Output233</t>
  </si>
  <si>
    <t>Waktu233</t>
  </si>
  <si>
    <t>Monitoring233</t>
  </si>
  <si>
    <t>Standar kelulusan233</t>
  </si>
  <si>
    <t>Tugas234</t>
  </si>
  <si>
    <t>Tujuan234</t>
  </si>
  <si>
    <t>Instruksi234</t>
  </si>
  <si>
    <t>Output234</t>
  </si>
  <si>
    <t>Waktu234</t>
  </si>
  <si>
    <t>Monitoring234</t>
  </si>
  <si>
    <t>Standar kelulusan234</t>
  </si>
  <si>
    <t>Tugas235</t>
  </si>
  <si>
    <t>Tujuan235</t>
  </si>
  <si>
    <t>Instruksi235</t>
  </si>
  <si>
    <t>Output235</t>
  </si>
  <si>
    <t>Waktu235</t>
  </si>
  <si>
    <t>Monitoring235</t>
  </si>
  <si>
    <t>Standar kelulusan235</t>
  </si>
  <si>
    <t>Tugas236</t>
  </si>
  <si>
    <t>Tujuan236</t>
  </si>
  <si>
    <t>Instruksi236</t>
  </si>
  <si>
    <t>Output236</t>
  </si>
  <si>
    <t>Waktu236</t>
  </si>
  <si>
    <t>Monitoring236</t>
  </si>
  <si>
    <t>Standar kelulusan236</t>
  </si>
  <si>
    <t>Tugas237</t>
  </si>
  <si>
    <t>Tujuan237</t>
  </si>
  <si>
    <t>Instruksi237</t>
  </si>
  <si>
    <t>Output237</t>
  </si>
  <si>
    <t>Waktu237</t>
  </si>
  <si>
    <t>Monitoring237</t>
  </si>
  <si>
    <t>Standar kelulusan237</t>
  </si>
  <si>
    <t>Tugas238</t>
  </si>
  <si>
    <t>Tujuan238</t>
  </si>
  <si>
    <t>Instruksi238</t>
  </si>
  <si>
    <t>Output238</t>
  </si>
  <si>
    <t>Waktu238</t>
  </si>
  <si>
    <t>Monitoring238</t>
  </si>
  <si>
    <t>Standar kelulusan238</t>
  </si>
  <si>
    <t>Tugas239</t>
  </si>
  <si>
    <t>Tujuan239</t>
  </si>
  <si>
    <t>Instruksi239</t>
  </si>
  <si>
    <t>Output239</t>
  </si>
  <si>
    <t>Waktu239</t>
  </si>
  <si>
    <t>Monitoring239</t>
  </si>
  <si>
    <t>Standar kelulusan239</t>
  </si>
  <si>
    <t>Tugas240</t>
  </si>
  <si>
    <t>Tujuan240</t>
  </si>
  <si>
    <t>Instruksi240</t>
  </si>
  <si>
    <t>Output240</t>
  </si>
  <si>
    <t>Waktu240</t>
  </si>
  <si>
    <t>Monitoring240</t>
  </si>
  <si>
    <t>Standar kelulusan240</t>
  </si>
  <si>
    <t>Tugas241</t>
  </si>
  <si>
    <t>Tujuan241</t>
  </si>
  <si>
    <t>Instruksi241</t>
  </si>
  <si>
    <t>Output241</t>
  </si>
  <si>
    <t>Waktu241</t>
  </si>
  <si>
    <t>Monitoring241</t>
  </si>
  <si>
    <t>Standar kelulusan241</t>
  </si>
  <si>
    <t>Tugas242</t>
  </si>
  <si>
    <t>Tujuan242</t>
  </si>
  <si>
    <t>Instruksi242</t>
  </si>
  <si>
    <t>Output242</t>
  </si>
  <si>
    <t>Waktu242</t>
  </si>
  <si>
    <t>Monitoring242</t>
  </si>
  <si>
    <t>Standar kelulusan242</t>
  </si>
  <si>
    <t>Tugas243</t>
  </si>
  <si>
    <t>Tujuan243</t>
  </si>
  <si>
    <t>Instruksi243</t>
  </si>
  <si>
    <t>Output243</t>
  </si>
  <si>
    <t>Waktu243</t>
  </si>
  <si>
    <t>Monitoring243</t>
  </si>
  <si>
    <t>Standar kelulusan243</t>
  </si>
  <si>
    <t>Tugas244</t>
  </si>
  <si>
    <t>Tujuan244</t>
  </si>
  <si>
    <t>Instruksi244</t>
  </si>
  <si>
    <t>Output244</t>
  </si>
  <si>
    <t>Waktu244</t>
  </si>
  <si>
    <t>Monitoring244</t>
  </si>
  <si>
    <t>Standar kelulusan244</t>
  </si>
  <si>
    <t>Tugas245</t>
  </si>
  <si>
    <t>Tujuan245</t>
  </si>
  <si>
    <t>Instruksi245</t>
  </si>
  <si>
    <t>Output245</t>
  </si>
  <si>
    <t>Waktu245</t>
  </si>
  <si>
    <t>Monitoring245</t>
  </si>
  <si>
    <t>Standar kelulusan245</t>
  </si>
  <si>
    <t>Tugas246</t>
  </si>
  <si>
    <t>Tujuan246</t>
  </si>
  <si>
    <t>Instruksi246</t>
  </si>
  <si>
    <t>Output246</t>
  </si>
  <si>
    <t>Waktu246</t>
  </si>
  <si>
    <t>Monitoring246</t>
  </si>
  <si>
    <t>Standar kelulusan246</t>
  </si>
  <si>
    <t>Tugas247</t>
  </si>
  <si>
    <t>Tujuan247</t>
  </si>
  <si>
    <t>Instruksi247</t>
  </si>
  <si>
    <t>Output247</t>
  </si>
  <si>
    <t>Waktu247</t>
  </si>
  <si>
    <t>Monitoring247</t>
  </si>
  <si>
    <t>Standar kelulusan247</t>
  </si>
  <si>
    <t>Tugas248</t>
  </si>
  <si>
    <t>Tujuan248</t>
  </si>
  <si>
    <t>Instruksi248</t>
  </si>
  <si>
    <t>Output248</t>
  </si>
  <si>
    <t>Waktu248</t>
  </si>
  <si>
    <t>Monitoring248</t>
  </si>
  <si>
    <t>Standar kelulusan248</t>
  </si>
  <si>
    <t>Tugas249</t>
  </si>
  <si>
    <t>Tujuan249</t>
  </si>
  <si>
    <t>Instruksi249</t>
  </si>
  <si>
    <t>Output249</t>
  </si>
  <si>
    <t>Waktu249</t>
  </si>
  <si>
    <t>Monitoring249</t>
  </si>
  <si>
    <t>Standar kelulusan249</t>
  </si>
  <si>
    <t>Tugas250</t>
  </si>
  <si>
    <t>Tujuan250</t>
  </si>
  <si>
    <t>Instruksi250</t>
  </si>
  <si>
    <t>Output250</t>
  </si>
  <si>
    <t>Waktu250</t>
  </si>
  <si>
    <t>Monitoring250</t>
  </si>
  <si>
    <t>Standar kelulusan250</t>
  </si>
  <si>
    <t>Tugas251</t>
  </si>
  <si>
    <t>Tujuan251</t>
  </si>
  <si>
    <t>Instruksi251</t>
  </si>
  <si>
    <t>Output251</t>
  </si>
  <si>
    <t>Waktu251</t>
  </si>
  <si>
    <t>Monitoring251</t>
  </si>
  <si>
    <t>Standar kelulusan251</t>
  </si>
  <si>
    <t>Tugas252</t>
  </si>
  <si>
    <t>Tujuan252</t>
  </si>
  <si>
    <t>Instruksi252</t>
  </si>
  <si>
    <t>Output252</t>
  </si>
  <si>
    <t>Waktu252</t>
  </si>
  <si>
    <t>Monitoring252</t>
  </si>
  <si>
    <t>Standar kelulusan252</t>
  </si>
  <si>
    <t>Tugas253</t>
  </si>
  <si>
    <t>Tujuan253</t>
  </si>
  <si>
    <t>Instruksi253</t>
  </si>
  <si>
    <t>Output253</t>
  </si>
  <si>
    <t>Waktu253</t>
  </si>
  <si>
    <t>Monitoring253</t>
  </si>
  <si>
    <t>Standar kelulusan253</t>
  </si>
  <si>
    <t>Tugas254</t>
  </si>
  <si>
    <t>Tujuan254</t>
  </si>
  <si>
    <t>Instruksi254</t>
  </si>
  <si>
    <t>Output254</t>
  </si>
  <si>
    <t>Waktu254</t>
  </si>
  <si>
    <t>Monitoring254</t>
  </si>
  <si>
    <t>Standar kelulusan254</t>
  </si>
  <si>
    <t>Tugas255</t>
  </si>
  <si>
    <t>Tujuan255</t>
  </si>
  <si>
    <t>Instruksi255</t>
  </si>
  <si>
    <t>Output255</t>
  </si>
  <si>
    <t>Waktu255</t>
  </si>
  <si>
    <t>Monitoring255</t>
  </si>
  <si>
    <t>Standar kelulusan255</t>
  </si>
  <si>
    <t>Tugas256</t>
  </si>
  <si>
    <t>Tujuan256</t>
  </si>
  <si>
    <t>Instruksi256</t>
  </si>
  <si>
    <t>Output256</t>
  </si>
  <si>
    <t>Waktu256</t>
  </si>
  <si>
    <t>Monitoring256</t>
  </si>
  <si>
    <t>Standar kelulusan256</t>
  </si>
  <si>
    <t>Tugas257</t>
  </si>
  <si>
    <t>Tujuan257</t>
  </si>
  <si>
    <t>Instruksi257</t>
  </si>
  <si>
    <t>Output257</t>
  </si>
  <si>
    <t>Waktu257</t>
  </si>
  <si>
    <t>Monitoring257</t>
  </si>
  <si>
    <t>Standar kelulusan257</t>
  </si>
  <si>
    <t>Tugas258</t>
  </si>
  <si>
    <t>Tujuan258</t>
  </si>
  <si>
    <t>Instruksi258</t>
  </si>
  <si>
    <t>Output258</t>
  </si>
  <si>
    <t>Waktu258</t>
  </si>
  <si>
    <t>Monitoring258</t>
  </si>
  <si>
    <t>Standar kelulusan258</t>
  </si>
  <si>
    <t>Tugas259</t>
  </si>
  <si>
    <t>Tujuan259</t>
  </si>
  <si>
    <t>Instruksi259</t>
  </si>
  <si>
    <t>Output259</t>
  </si>
  <si>
    <t>Waktu259</t>
  </si>
  <si>
    <t>Monitoring259</t>
  </si>
  <si>
    <t>Standar kelulusan259</t>
  </si>
  <si>
    <t>Tugas260</t>
  </si>
  <si>
    <t>Tujuan260</t>
  </si>
  <si>
    <t>Instruksi260</t>
  </si>
  <si>
    <t>Output260</t>
  </si>
  <si>
    <t>Waktu260</t>
  </si>
  <si>
    <t>Monitoring260</t>
  </si>
  <si>
    <t>Standar kelulusan260</t>
  </si>
  <si>
    <t>Tugas261</t>
  </si>
  <si>
    <t>Tujuan261</t>
  </si>
  <si>
    <t>Instruksi261</t>
  </si>
  <si>
    <t>Output261</t>
  </si>
  <si>
    <t>Waktu261</t>
  </si>
  <si>
    <t>Monitoring261</t>
  </si>
  <si>
    <t>Standar kelulusan261</t>
  </si>
  <si>
    <t>Tugas262</t>
  </si>
  <si>
    <t>Tujuan262</t>
  </si>
  <si>
    <t>Instruksi262</t>
  </si>
  <si>
    <t>Output262</t>
  </si>
  <si>
    <t>Waktu262</t>
  </si>
  <si>
    <t>Monitoring262</t>
  </si>
  <si>
    <t>Standar kelulusan262</t>
  </si>
  <si>
    <t>Tugas263</t>
  </si>
  <si>
    <t>Tujuan263</t>
  </si>
  <si>
    <t>Instruksi263</t>
  </si>
  <si>
    <t>Output263</t>
  </si>
  <si>
    <t>Waktu263</t>
  </si>
  <si>
    <t>Monitoring263</t>
  </si>
  <si>
    <t>Standar kelulusan263</t>
  </si>
  <si>
    <t>Tugas264</t>
  </si>
  <si>
    <t>Tujuan264</t>
  </si>
  <si>
    <t>Instruksi264</t>
  </si>
  <si>
    <t>Output264</t>
  </si>
  <si>
    <t>Waktu264</t>
  </si>
  <si>
    <t>Monitoring264</t>
  </si>
  <si>
    <t>Standar kelulusan264</t>
  </si>
  <si>
    <t>Tugas265</t>
  </si>
  <si>
    <t>Tujuan265</t>
  </si>
  <si>
    <t>Instruksi265</t>
  </si>
  <si>
    <t>Output265</t>
  </si>
  <si>
    <t>Waktu265</t>
  </si>
  <si>
    <t>Monitoring265</t>
  </si>
  <si>
    <t>Standar kelulusan265</t>
  </si>
  <si>
    <t>Tugas266</t>
  </si>
  <si>
    <t>Tujuan266</t>
  </si>
  <si>
    <t>Instruksi266</t>
  </si>
  <si>
    <t>Output266</t>
  </si>
  <si>
    <t>Waktu266</t>
  </si>
  <si>
    <t>Monitoring266</t>
  </si>
  <si>
    <t>Standar kelulusan266</t>
  </si>
  <si>
    <t>Tugas267</t>
  </si>
  <si>
    <t>Tujuan267</t>
  </si>
  <si>
    <t>Instruksi267</t>
  </si>
  <si>
    <t>Output267</t>
  </si>
  <si>
    <t>Waktu267</t>
  </si>
  <si>
    <t>Monitoring267</t>
  </si>
  <si>
    <t>Standar kelulusan267</t>
  </si>
  <si>
    <t>Tugas268</t>
  </si>
  <si>
    <t>Tujuan268</t>
  </si>
  <si>
    <t>Instruksi268</t>
  </si>
  <si>
    <t>Output268</t>
  </si>
  <si>
    <t>Waktu268</t>
  </si>
  <si>
    <t>Monitoring268</t>
  </si>
  <si>
    <t>Standar kelulusan268</t>
  </si>
  <si>
    <t>Tugas269</t>
  </si>
  <si>
    <t>Tujuan269</t>
  </si>
  <si>
    <t>Instruksi269</t>
  </si>
  <si>
    <t>Output269</t>
  </si>
  <si>
    <t>Waktu269</t>
  </si>
  <si>
    <t>Monitoring269</t>
  </si>
  <si>
    <t>Standar kelulusan269</t>
  </si>
  <si>
    <t>Tugas270</t>
  </si>
  <si>
    <t>Tujuan270</t>
  </si>
  <si>
    <t>Instruksi270</t>
  </si>
  <si>
    <t>Output270</t>
  </si>
  <si>
    <t>Waktu270</t>
  </si>
  <si>
    <t>Monitoring270</t>
  </si>
  <si>
    <t>Standar kelulusan270</t>
  </si>
  <si>
    <t>Tugas271</t>
  </si>
  <si>
    <t>Tujuan271</t>
  </si>
  <si>
    <t>Instruksi271</t>
  </si>
  <si>
    <t>Output271</t>
  </si>
  <si>
    <t>Waktu271</t>
  </si>
  <si>
    <t>Monitoring271</t>
  </si>
  <si>
    <t>Standar kelulusan271</t>
  </si>
  <si>
    <t>Tugas272</t>
  </si>
  <si>
    <t>Tujuan272</t>
  </si>
  <si>
    <t>Instruksi272</t>
  </si>
  <si>
    <t>Output272</t>
  </si>
  <si>
    <t>Waktu272</t>
  </si>
  <si>
    <t>Monitoring272</t>
  </si>
  <si>
    <t>Standar kelulusan272</t>
  </si>
  <si>
    <t>Tugas273</t>
  </si>
  <si>
    <t>Tujuan273</t>
  </si>
  <si>
    <t>Instruksi273</t>
  </si>
  <si>
    <t>Output273</t>
  </si>
  <si>
    <t>Waktu273</t>
  </si>
  <si>
    <t>Monitoring273</t>
  </si>
  <si>
    <t>Standar kelulusan273</t>
  </si>
  <si>
    <t>Tugas274</t>
  </si>
  <si>
    <t>Tujuan274</t>
  </si>
  <si>
    <t>Instruksi274</t>
  </si>
  <si>
    <t>Output274</t>
  </si>
  <si>
    <t>Waktu274</t>
  </si>
  <si>
    <t>Monitoring274</t>
  </si>
  <si>
    <t>Standar kelulusan274</t>
  </si>
  <si>
    <t>Tugas275</t>
  </si>
  <si>
    <t>Tujuan275</t>
  </si>
  <si>
    <t>Instruksi275</t>
  </si>
  <si>
    <t>Output275</t>
  </si>
  <si>
    <t>Waktu275</t>
  </si>
  <si>
    <t>Monitoring275</t>
  </si>
  <si>
    <t>Standar kelulusan275</t>
  </si>
  <si>
    <t>Tugas276</t>
  </si>
  <si>
    <t>Tujuan276</t>
  </si>
  <si>
    <t>Instruksi276</t>
  </si>
  <si>
    <t>Output276</t>
  </si>
  <si>
    <t>Waktu276</t>
  </si>
  <si>
    <t>Monitoring276</t>
  </si>
  <si>
    <t>Standar kelulusan276</t>
  </si>
  <si>
    <t>Tugas277</t>
  </si>
  <si>
    <t>Tujuan277</t>
  </si>
  <si>
    <t>Instruksi277</t>
  </si>
  <si>
    <t>Output277</t>
  </si>
  <si>
    <t>Waktu277</t>
  </si>
  <si>
    <t>Monitoring277</t>
  </si>
  <si>
    <t>Standar kelulusan277</t>
  </si>
  <si>
    <t>Tugas278</t>
  </si>
  <si>
    <t>Tujuan278</t>
  </si>
  <si>
    <t>Instruksi278</t>
  </si>
  <si>
    <t>Output278</t>
  </si>
  <si>
    <t>Waktu278</t>
  </si>
  <si>
    <t>Monitoring278</t>
  </si>
  <si>
    <t>Standar kelulusan278</t>
  </si>
  <si>
    <t>Tugas279</t>
  </si>
  <si>
    <t>Tujuan279</t>
  </si>
  <si>
    <t>Instruksi279</t>
  </si>
  <si>
    <t>Output279</t>
  </si>
  <si>
    <t>Waktu279</t>
  </si>
  <si>
    <t>Monitoring279</t>
  </si>
  <si>
    <t>Standar kelulusan279</t>
  </si>
  <si>
    <t>Tugas280</t>
  </si>
  <si>
    <t>Tujuan280</t>
  </si>
  <si>
    <t>Instruksi280</t>
  </si>
  <si>
    <t>Output280</t>
  </si>
  <si>
    <t>Waktu280</t>
  </si>
  <si>
    <t>Monitoring280</t>
  </si>
  <si>
    <t>Standar kelulusan280</t>
  </si>
  <si>
    <t>Tugas281</t>
  </si>
  <si>
    <t>Tujuan281</t>
  </si>
  <si>
    <t>Instruksi281</t>
  </si>
  <si>
    <t>Output281</t>
  </si>
  <si>
    <t>Waktu281</t>
  </si>
  <si>
    <t>Monitoring281</t>
  </si>
  <si>
    <t>Standar kelulusan281</t>
  </si>
  <si>
    <t>Tugas282</t>
  </si>
  <si>
    <t>Tujuan282</t>
  </si>
  <si>
    <t>Instruksi282</t>
  </si>
  <si>
    <t>Output282</t>
  </si>
  <si>
    <t>Waktu282</t>
  </si>
  <si>
    <t>Monitoring282</t>
  </si>
  <si>
    <t>Standar kelulusan282</t>
  </si>
  <si>
    <t>Tugas283</t>
  </si>
  <si>
    <t>Tujuan283</t>
  </si>
  <si>
    <t>Instruksi283</t>
  </si>
  <si>
    <t>Output283</t>
  </si>
  <si>
    <t>Waktu283</t>
  </si>
  <si>
    <t>Monitoring283</t>
  </si>
  <si>
    <t>Standar kelulusan283</t>
  </si>
  <si>
    <t>Tugas284</t>
  </si>
  <si>
    <t>Tujuan284</t>
  </si>
  <si>
    <t>Instruksi284</t>
  </si>
  <si>
    <t>Output284</t>
  </si>
  <si>
    <t>Waktu284</t>
  </si>
  <si>
    <t>Monitoring284</t>
  </si>
  <si>
    <t>Standar kelulusan284</t>
  </si>
  <si>
    <t>Tugas285</t>
  </si>
  <si>
    <t>Tujuan285</t>
  </si>
  <si>
    <t>Instruksi285</t>
  </si>
  <si>
    <t>Output285</t>
  </si>
  <si>
    <t>Waktu285</t>
  </si>
  <si>
    <t>Monitoring285</t>
  </si>
  <si>
    <t>Standar kelulusan285</t>
  </si>
  <si>
    <t>Tugas286</t>
  </si>
  <si>
    <t>Tujuan286</t>
  </si>
  <si>
    <t>Instruksi286</t>
  </si>
  <si>
    <t>Output286</t>
  </si>
  <si>
    <t>Waktu286</t>
  </si>
  <si>
    <t>Monitoring286</t>
  </si>
  <si>
    <t>Standar kelulusan286</t>
  </si>
  <si>
    <t>Tugas287</t>
  </si>
  <si>
    <t>Tujuan287</t>
  </si>
  <si>
    <t>Instruksi287</t>
  </si>
  <si>
    <t>Output287</t>
  </si>
  <si>
    <t>Waktu287</t>
  </si>
  <si>
    <t>Monitoring287</t>
  </si>
  <si>
    <t>Standar kelulusan287</t>
  </si>
  <si>
    <t>Tugas288</t>
  </si>
  <si>
    <t>Tujuan288</t>
  </si>
  <si>
    <t>Instruksi288</t>
  </si>
  <si>
    <t>Output288</t>
  </si>
  <si>
    <t>Waktu288</t>
  </si>
  <si>
    <t>Monitoring288</t>
  </si>
  <si>
    <t>Standar kelulusan288</t>
  </si>
  <si>
    <t>Tugas289</t>
  </si>
  <si>
    <t>Tujuan289</t>
  </si>
  <si>
    <t>Instruksi289</t>
  </si>
  <si>
    <t>Output289</t>
  </si>
  <si>
    <t>Waktu289</t>
  </si>
  <si>
    <t>Monitoring289</t>
  </si>
  <si>
    <t>Standar kelulusan289</t>
  </si>
  <si>
    <t>Tugas290</t>
  </si>
  <si>
    <t>Tujuan290</t>
  </si>
  <si>
    <t>Instruksi290</t>
  </si>
  <si>
    <t>Output290</t>
  </si>
  <si>
    <t>Waktu290</t>
  </si>
  <si>
    <t>Monitoring290</t>
  </si>
  <si>
    <t>Standar kelulusan290</t>
  </si>
  <si>
    <t>Tugas291</t>
  </si>
  <si>
    <t>Tujuan291</t>
  </si>
  <si>
    <t>Instruksi291</t>
  </si>
  <si>
    <t>Output291</t>
  </si>
  <si>
    <t>Waktu291</t>
  </si>
  <si>
    <t>Monitoring291</t>
  </si>
  <si>
    <t>Standar kelulusan291</t>
  </si>
  <si>
    <t>Tugas292</t>
  </si>
  <si>
    <t>Tujuan292</t>
  </si>
  <si>
    <t>Instruksi292</t>
  </si>
  <si>
    <t>Output292</t>
  </si>
  <si>
    <t>Waktu292</t>
  </si>
  <si>
    <t>Monitoring292</t>
  </si>
  <si>
    <t>Standar kelulusan292</t>
  </si>
  <si>
    <t>Tugas293</t>
  </si>
  <si>
    <t>Tujuan293</t>
  </si>
  <si>
    <t>Instruksi293</t>
  </si>
  <si>
    <t>Output293</t>
  </si>
  <si>
    <t>Waktu293</t>
  </si>
  <si>
    <t>Monitoring293</t>
  </si>
  <si>
    <t>Standar kelulusan293</t>
  </si>
  <si>
    <t>Tugas294</t>
  </si>
  <si>
    <t>Tujuan294</t>
  </si>
  <si>
    <t>Instruksi294</t>
  </si>
  <si>
    <t>Output294</t>
  </si>
  <si>
    <t>Waktu294</t>
  </si>
  <si>
    <t>Monitoring294</t>
  </si>
  <si>
    <t>Standar kelulusan294</t>
  </si>
  <si>
    <t>Tugas295</t>
  </si>
  <si>
    <t>Tujuan295</t>
  </si>
  <si>
    <t>Instruksi295</t>
  </si>
  <si>
    <t>Output295</t>
  </si>
  <si>
    <t>Waktu295</t>
  </si>
  <si>
    <t>Monitoring295</t>
  </si>
  <si>
    <t>Standar kelulusan295</t>
  </si>
  <si>
    <t>Tugas296</t>
  </si>
  <si>
    <t>Tujuan296</t>
  </si>
  <si>
    <t>Instruksi296</t>
  </si>
  <si>
    <t>Output296</t>
  </si>
  <si>
    <t>Waktu296</t>
  </si>
  <si>
    <t>Monitoring296</t>
  </si>
  <si>
    <t>Standar kelulusan296</t>
  </si>
  <si>
    <t>Tugas297</t>
  </si>
  <si>
    <t>Tujuan297</t>
  </si>
  <si>
    <t>Instruksi297</t>
  </si>
  <si>
    <t>Output297</t>
  </si>
  <si>
    <t>Waktu297</t>
  </si>
  <si>
    <t>Monitoring297</t>
  </si>
  <si>
    <t>Standar kelulusan297</t>
  </si>
  <si>
    <t>Tugas298</t>
  </si>
  <si>
    <t>Tujuan298</t>
  </si>
  <si>
    <t>Instruksi298</t>
  </si>
  <si>
    <t>Output298</t>
  </si>
  <si>
    <t>Waktu298</t>
  </si>
  <si>
    <t>Monitoring298</t>
  </si>
  <si>
    <t>Standar kelulusan298</t>
  </si>
  <si>
    <t>Tugas299</t>
  </si>
  <si>
    <t>Tujuan299</t>
  </si>
  <si>
    <t>Instruksi299</t>
  </si>
  <si>
    <t>Output299</t>
  </si>
  <si>
    <t>Waktu299</t>
  </si>
  <si>
    <t>Monitoring299</t>
  </si>
  <si>
    <t>Standar kelulusan299</t>
  </si>
  <si>
    <t>Tugas300</t>
  </si>
  <si>
    <t>Tujuan300</t>
  </si>
  <si>
    <t>Instruksi300</t>
  </si>
  <si>
    <t>Output300</t>
  </si>
  <si>
    <t>Waktu300</t>
  </si>
  <si>
    <t>Monitoring300</t>
  </si>
  <si>
    <t>Standar kelulusan300</t>
  </si>
  <si>
    <t>Tugas301</t>
  </si>
  <si>
    <t>Tujuan301</t>
  </si>
  <si>
    <t>Instruksi301</t>
  </si>
  <si>
    <t>Output301</t>
  </si>
  <si>
    <t>Waktu301</t>
  </si>
  <si>
    <t>Monitoring301</t>
  </si>
  <si>
    <t>Standar kelulusan301</t>
  </si>
  <si>
    <t>Tugas302</t>
  </si>
  <si>
    <t>Tujuan302</t>
  </si>
  <si>
    <t>Instruksi302</t>
  </si>
  <si>
    <t>Output302</t>
  </si>
  <si>
    <t>Waktu302</t>
  </si>
  <si>
    <t>Monitoring302</t>
  </si>
  <si>
    <t>Standar kelulusan302</t>
  </si>
  <si>
    <t>Tugas303</t>
  </si>
  <si>
    <t>Tujuan303</t>
  </si>
  <si>
    <t>Instruksi303</t>
  </si>
  <si>
    <t>Output303</t>
  </si>
  <si>
    <t>Waktu303</t>
  </si>
  <si>
    <t>Monitoring303</t>
  </si>
  <si>
    <t>Standar kelulusan303</t>
  </si>
  <si>
    <t>Tugas304</t>
  </si>
  <si>
    <t>Tujuan304</t>
  </si>
  <si>
    <t>Instruksi304</t>
  </si>
  <si>
    <t>Output304</t>
  </si>
  <si>
    <t>Waktu304</t>
  </si>
  <si>
    <t>Monitoring304</t>
  </si>
  <si>
    <t>Standar kelulusan304</t>
  </si>
  <si>
    <t>Tugas305</t>
  </si>
  <si>
    <t>Tujuan305</t>
  </si>
  <si>
    <t>Instruksi305</t>
  </si>
  <si>
    <t>Output305</t>
  </si>
  <si>
    <t>Waktu305</t>
  </si>
  <si>
    <t>Monitoring305</t>
  </si>
  <si>
    <t>Standar kelulusan305</t>
  </si>
  <si>
    <t>Tugas306</t>
  </si>
  <si>
    <t>Tujuan306</t>
  </si>
  <si>
    <t>Instruksi306</t>
  </si>
  <si>
    <t>Output306</t>
  </si>
  <si>
    <t>Waktu306</t>
  </si>
  <si>
    <t>Monitoring306</t>
  </si>
  <si>
    <t>Standar kelulusan306</t>
  </si>
  <si>
    <t>Tugas307</t>
  </si>
  <si>
    <t>Tujuan307</t>
  </si>
  <si>
    <t>Instruksi307</t>
  </si>
  <si>
    <t>Output307</t>
  </si>
  <si>
    <t>Waktu307</t>
  </si>
  <si>
    <t>Monitoring307</t>
  </si>
  <si>
    <t>Standar kelulusan307</t>
  </si>
  <si>
    <t>Tugas308</t>
  </si>
  <si>
    <t>Tujuan308</t>
  </si>
  <si>
    <t>Instruksi308</t>
  </si>
  <si>
    <t>Output308</t>
  </si>
  <si>
    <t>Waktu308</t>
  </si>
  <si>
    <t>Monitoring308</t>
  </si>
  <si>
    <t>Standar kelulusan308</t>
  </si>
  <si>
    <t>Tugas309</t>
  </si>
  <si>
    <t>Tujuan309</t>
  </si>
  <si>
    <t>Instruksi309</t>
  </si>
  <si>
    <t>Output309</t>
  </si>
  <si>
    <t>Waktu309</t>
  </si>
  <si>
    <t>Monitoring309</t>
  </si>
  <si>
    <t>Standar kelulusan309</t>
  </si>
  <si>
    <t>Tugas310</t>
  </si>
  <si>
    <t>Tujuan310</t>
  </si>
  <si>
    <t>Instruksi310</t>
  </si>
  <si>
    <t>Output310</t>
  </si>
  <si>
    <t>Waktu310</t>
  </si>
  <si>
    <t>Monitoring310</t>
  </si>
  <si>
    <t>Standar kelulusan310</t>
  </si>
  <si>
    <t>Tugas311</t>
  </si>
  <si>
    <t>Tujuan311</t>
  </si>
  <si>
    <t>Instruksi311</t>
  </si>
  <si>
    <t>Output311</t>
  </si>
  <si>
    <t>Waktu311</t>
  </si>
  <si>
    <t>Monitoring311</t>
  </si>
  <si>
    <t>Standar kelulusan311</t>
  </si>
  <si>
    <t>Tugas312</t>
  </si>
  <si>
    <t>Tujuan312</t>
  </si>
  <si>
    <t>Instruksi312</t>
  </si>
  <si>
    <t>Output312</t>
  </si>
  <si>
    <t>Waktu312</t>
  </si>
  <si>
    <t>Monitoring312</t>
  </si>
  <si>
    <t>Standar kelulusan312</t>
  </si>
  <si>
    <t>Tugas313</t>
  </si>
  <si>
    <t>Tujuan313</t>
  </si>
  <si>
    <t>Instruksi313</t>
  </si>
  <si>
    <t>Output313</t>
  </si>
  <si>
    <t>Waktu313</t>
  </si>
  <si>
    <t>Monitoring313</t>
  </si>
  <si>
    <t>Standar kelulusan313</t>
  </si>
  <si>
    <t>Tugas314</t>
  </si>
  <si>
    <t>Tujuan314</t>
  </si>
  <si>
    <t>Instruksi314</t>
  </si>
  <si>
    <t>Output314</t>
  </si>
  <si>
    <t>Waktu314</t>
  </si>
  <si>
    <t>Monitoring314</t>
  </si>
  <si>
    <t>Standar kelulusan314</t>
  </si>
  <si>
    <t>Tugas315</t>
  </si>
  <si>
    <t>Tujuan315</t>
  </si>
  <si>
    <t>Instruksi315</t>
  </si>
  <si>
    <t>Output315</t>
  </si>
  <si>
    <t>Waktu315</t>
  </si>
  <si>
    <t>Monitoring315</t>
  </si>
  <si>
    <t>Standar kelulusan315</t>
  </si>
  <si>
    <t>Tugas316</t>
  </si>
  <si>
    <t>Tujuan316</t>
  </si>
  <si>
    <t>Instruksi316</t>
  </si>
  <si>
    <t>Output316</t>
  </si>
  <si>
    <t>Waktu316</t>
  </si>
  <si>
    <t>Monitoring316</t>
  </si>
  <si>
    <t>Standar kelulusan316</t>
  </si>
  <si>
    <t>Tugas317</t>
  </si>
  <si>
    <t>Tujuan317</t>
  </si>
  <si>
    <t>Instruksi317</t>
  </si>
  <si>
    <t>Output317</t>
  </si>
  <si>
    <t>Waktu317</t>
  </si>
  <si>
    <t>Monitoring317</t>
  </si>
  <si>
    <t>Standar kelulusan317</t>
  </si>
  <si>
    <t>Tugas318</t>
  </si>
  <si>
    <t>Tujuan318</t>
  </si>
  <si>
    <t>Instruksi318</t>
  </si>
  <si>
    <t>Output318</t>
  </si>
  <si>
    <t>Waktu318</t>
  </si>
  <si>
    <t>Monitoring318</t>
  </si>
  <si>
    <t>Standar kelulusan318</t>
  </si>
  <si>
    <t>Tugas319</t>
  </si>
  <si>
    <t>Tujuan319</t>
  </si>
  <si>
    <t>Instruksi319</t>
  </si>
  <si>
    <t>Output319</t>
  </si>
  <si>
    <t>Waktu319</t>
  </si>
  <si>
    <t>Monitoring319</t>
  </si>
  <si>
    <t>Standar kelulusan319</t>
  </si>
  <si>
    <t>Tugas320</t>
  </si>
  <si>
    <t>Tujuan320</t>
  </si>
  <si>
    <t>Instruksi320</t>
  </si>
  <si>
    <t>Output320</t>
  </si>
  <si>
    <t>Waktu320</t>
  </si>
  <si>
    <t>Monitoring320</t>
  </si>
  <si>
    <t>Standar kelulusan320</t>
  </si>
  <si>
    <t>Tugas321</t>
  </si>
  <si>
    <t>Tujuan321</t>
  </si>
  <si>
    <t>Instruksi321</t>
  </si>
  <si>
    <t>Output321</t>
  </si>
  <si>
    <t>Waktu321</t>
  </si>
  <si>
    <t>Monitoring321</t>
  </si>
  <si>
    <t>Standar kelulusan321</t>
  </si>
  <si>
    <t>Tugas322</t>
  </si>
  <si>
    <t>Tujuan322</t>
  </si>
  <si>
    <t>Instruksi322</t>
  </si>
  <si>
    <t>Output322</t>
  </si>
  <si>
    <t>Waktu322</t>
  </si>
  <si>
    <t>Monitoring322</t>
  </si>
  <si>
    <t>Standar kelulusan322</t>
  </si>
  <si>
    <t>Tugas323</t>
  </si>
  <si>
    <t>Tujuan323</t>
  </si>
  <si>
    <t>Instruksi323</t>
  </si>
  <si>
    <t>Output323</t>
  </si>
  <si>
    <t>Waktu323</t>
  </si>
  <si>
    <t>Monitoring323</t>
  </si>
  <si>
    <t>Standar kelulusan323</t>
  </si>
  <si>
    <t>Tugas324</t>
  </si>
  <si>
    <t>Tujuan324</t>
  </si>
  <si>
    <t>Instruksi324</t>
  </si>
  <si>
    <t>Output324</t>
  </si>
  <si>
    <t>Waktu324</t>
  </si>
  <si>
    <t>Monitoring324</t>
  </si>
  <si>
    <t>Standar kelulusan324</t>
  </si>
  <si>
    <t>Tugas325</t>
  </si>
  <si>
    <t>Tujuan325</t>
  </si>
  <si>
    <t>Instruksi325</t>
  </si>
  <si>
    <t>Output325</t>
  </si>
  <si>
    <t>Waktu325</t>
  </si>
  <si>
    <t>Monitoring325</t>
  </si>
  <si>
    <t>Standar kelulusan325</t>
  </si>
  <si>
    <t>Tugas326</t>
  </si>
  <si>
    <t>Tujuan326</t>
  </si>
  <si>
    <t>Instruksi326</t>
  </si>
  <si>
    <t>Output326</t>
  </si>
  <si>
    <t>Waktu326</t>
  </si>
  <si>
    <t>Monitoring326</t>
  </si>
  <si>
    <t>Standar kelulusan326</t>
  </si>
  <si>
    <t>Tugas327</t>
  </si>
  <si>
    <t>Tujuan327</t>
  </si>
  <si>
    <t>Instruksi327</t>
  </si>
  <si>
    <t>Output327</t>
  </si>
  <si>
    <t>Waktu327</t>
  </si>
  <si>
    <t>Monitoring327</t>
  </si>
  <si>
    <t>Standar kelulusan327</t>
  </si>
  <si>
    <t>Tugas328</t>
  </si>
  <si>
    <t>Tujuan328</t>
  </si>
  <si>
    <t>Instruksi328</t>
  </si>
  <si>
    <t>Output328</t>
  </si>
  <si>
    <t>Waktu328</t>
  </si>
  <si>
    <t>Monitoring328</t>
  </si>
  <si>
    <t>Standar kelulusan328</t>
  </si>
  <si>
    <t>Tugas329</t>
  </si>
  <si>
    <t>Tujuan329</t>
  </si>
  <si>
    <t>Instruksi329</t>
  </si>
  <si>
    <t>Output329</t>
  </si>
  <si>
    <t>Waktu329</t>
  </si>
  <si>
    <t>Monitoring329</t>
  </si>
  <si>
    <t>Standar kelulusan329</t>
  </si>
  <si>
    <t>Tugas330</t>
  </si>
  <si>
    <t>Tujuan330</t>
  </si>
  <si>
    <t>Instruksi330</t>
  </si>
  <si>
    <t>Output330</t>
  </si>
  <si>
    <t>Waktu330</t>
  </si>
  <si>
    <t>Monitoring330</t>
  </si>
  <si>
    <t>Standar kelulusan330</t>
  </si>
  <si>
    <t>Tugas331</t>
  </si>
  <si>
    <t>Tujuan331</t>
  </si>
  <si>
    <t>Instruksi331</t>
  </si>
  <si>
    <t>Output331</t>
  </si>
  <si>
    <t>Waktu331</t>
  </si>
  <si>
    <t>Monitoring331</t>
  </si>
  <si>
    <t>Standar kelulusan331</t>
  </si>
  <si>
    <t>Tugas332</t>
  </si>
  <si>
    <t>Tujuan332</t>
  </si>
  <si>
    <t>Instruksi332</t>
  </si>
  <si>
    <t>Output332</t>
  </si>
  <si>
    <t>Waktu332</t>
  </si>
  <si>
    <t>Monitoring332</t>
  </si>
  <si>
    <t>Standar kelulusan332</t>
  </si>
  <si>
    <t>Tugas333</t>
  </si>
  <si>
    <t>Tujuan333</t>
  </si>
  <si>
    <t>Instruksi333</t>
  </si>
  <si>
    <t>Output333</t>
  </si>
  <si>
    <t>Waktu333</t>
  </si>
  <si>
    <t>Monitoring333</t>
  </si>
  <si>
    <t>Standar kelulusan333</t>
  </si>
  <si>
    <t>Tugas334</t>
  </si>
  <si>
    <t>Tujuan334</t>
  </si>
  <si>
    <t>Instruksi334</t>
  </si>
  <si>
    <t>Output334</t>
  </si>
  <si>
    <t>Waktu334</t>
  </si>
  <si>
    <t>Monitoring334</t>
  </si>
  <si>
    <t>Standar kelulusan334</t>
  </si>
  <si>
    <t>Tugas335</t>
  </si>
  <si>
    <t>Tujuan335</t>
  </si>
  <si>
    <t>Instruksi335</t>
  </si>
  <si>
    <t>Output335</t>
  </si>
  <si>
    <t>Waktu335</t>
  </si>
  <si>
    <t>Monitoring335</t>
  </si>
  <si>
    <t>Standar kelulusan335</t>
  </si>
  <si>
    <t>Tugas336</t>
  </si>
  <si>
    <t>Tujuan336</t>
  </si>
  <si>
    <t>Instruksi336</t>
  </si>
  <si>
    <t>Output336</t>
  </si>
  <si>
    <t>Waktu336</t>
  </si>
  <si>
    <t>Monitoring336</t>
  </si>
  <si>
    <t>Standar kelulusan336</t>
  </si>
  <si>
    <t>Tugas337</t>
  </si>
  <si>
    <t>Tujuan337</t>
  </si>
  <si>
    <t>Instruksi337</t>
  </si>
  <si>
    <t>Output337</t>
  </si>
  <si>
    <t>Waktu337</t>
  </si>
  <si>
    <t>Monitoring337</t>
  </si>
  <si>
    <t>Standar kelulusan337</t>
  </si>
  <si>
    <t>Tugas338</t>
  </si>
  <si>
    <t>Tujuan338</t>
  </si>
  <si>
    <t>Instruksi338</t>
  </si>
  <si>
    <t>Output338</t>
  </si>
  <si>
    <t>Waktu338</t>
  </si>
  <si>
    <t>Monitoring338</t>
  </si>
  <si>
    <t>Standar kelulusan338</t>
  </si>
  <si>
    <t>Tugas339</t>
  </si>
  <si>
    <t>Tujuan339</t>
  </si>
  <si>
    <t>Instruksi339</t>
  </si>
  <si>
    <t>Output339</t>
  </si>
  <si>
    <t>Waktu339</t>
  </si>
  <si>
    <t>Monitoring339</t>
  </si>
  <si>
    <t>Standar kelulusan339</t>
  </si>
  <si>
    <t>Tugas340</t>
  </si>
  <si>
    <t>Tujuan340</t>
  </si>
  <si>
    <t>Instruksi340</t>
  </si>
  <si>
    <t>Output340</t>
  </si>
  <si>
    <t>Waktu340</t>
  </si>
  <si>
    <t>Monitoring340</t>
  </si>
  <si>
    <t>Standar kelulusan340</t>
  </si>
  <si>
    <t>Tugas341</t>
  </si>
  <si>
    <t>Tujuan341</t>
  </si>
  <si>
    <t>Instruksi341</t>
  </si>
  <si>
    <t>Output341</t>
  </si>
  <si>
    <t>Waktu341</t>
  </si>
  <si>
    <t>Monitoring341</t>
  </si>
  <si>
    <t>Standar kelulusan341</t>
  </si>
  <si>
    <t>Tugas342</t>
  </si>
  <si>
    <t>Tujuan342</t>
  </si>
  <si>
    <t>Instruksi342</t>
  </si>
  <si>
    <t>Output342</t>
  </si>
  <si>
    <t>Waktu342</t>
  </si>
  <si>
    <t>Monitoring342</t>
  </si>
  <si>
    <t>Standar kelulusan342</t>
  </si>
  <si>
    <t>Tugas343</t>
  </si>
  <si>
    <t>Tujuan343</t>
  </si>
  <si>
    <t>Instruksi343</t>
  </si>
  <si>
    <t>Output343</t>
  </si>
  <si>
    <t>Waktu343</t>
  </si>
  <si>
    <t>Monitoring343</t>
  </si>
  <si>
    <t>Standar kelulusan343</t>
  </si>
  <si>
    <t>Tugas344</t>
  </si>
  <si>
    <t>Tujuan344</t>
  </si>
  <si>
    <t>Instruksi344</t>
  </si>
  <si>
    <t>Output344</t>
  </si>
  <si>
    <t>Waktu344</t>
  </si>
  <si>
    <t>Monitoring344</t>
  </si>
  <si>
    <t>Standar kelulusan344</t>
  </si>
  <si>
    <t>Tugas345</t>
  </si>
  <si>
    <t>Tujuan345</t>
  </si>
  <si>
    <t>Instruksi345</t>
  </si>
  <si>
    <t>Output345</t>
  </si>
  <si>
    <t>Waktu345</t>
  </si>
  <si>
    <t>Monitoring345</t>
  </si>
  <si>
    <t>Standar kelulusan345</t>
  </si>
  <si>
    <t>Tugas346</t>
  </si>
  <si>
    <t>Tujuan346</t>
  </si>
  <si>
    <t>Instruksi346</t>
  </si>
  <si>
    <t>Output346</t>
  </si>
  <si>
    <t>Waktu346</t>
  </si>
  <si>
    <t>Monitoring346</t>
  </si>
  <si>
    <t>Standar kelulusan346</t>
  </si>
  <si>
    <t>Tugas347</t>
  </si>
  <si>
    <t>Tujuan347</t>
  </si>
  <si>
    <t>Instruksi347</t>
  </si>
  <si>
    <t>Output347</t>
  </si>
  <si>
    <t>Waktu347</t>
  </si>
  <si>
    <t>Monitoring347</t>
  </si>
  <si>
    <t>Standar kelulusan347</t>
  </si>
  <si>
    <t>Tugas348</t>
  </si>
  <si>
    <t>Tujuan348</t>
  </si>
  <si>
    <t>Instruksi348</t>
  </si>
  <si>
    <t>Output348</t>
  </si>
  <si>
    <t>Waktu348</t>
  </si>
  <si>
    <t>Monitoring348</t>
  </si>
  <si>
    <t>Standar kelulusan348</t>
  </si>
  <si>
    <t>Tugas349</t>
  </si>
  <si>
    <t>Tujuan349</t>
  </si>
  <si>
    <t>Instruksi349</t>
  </si>
  <si>
    <t>Output349</t>
  </si>
  <si>
    <t>Waktu349</t>
  </si>
  <si>
    <t>Monitoring349</t>
  </si>
  <si>
    <t>Standar kelulusan349</t>
  </si>
  <si>
    <t>Tugas350</t>
  </si>
  <si>
    <t>Tujuan350</t>
  </si>
  <si>
    <t>Instruksi350</t>
  </si>
  <si>
    <t>Output350</t>
  </si>
  <si>
    <t>Waktu350</t>
  </si>
  <si>
    <t>Monitoring350</t>
  </si>
  <si>
    <t>Standar kelulusan350</t>
  </si>
  <si>
    <t>Tugas351</t>
  </si>
  <si>
    <t>Tujuan351</t>
  </si>
  <si>
    <t>Instruksi351</t>
  </si>
  <si>
    <t>Output351</t>
  </si>
  <si>
    <t>Waktu351</t>
  </si>
  <si>
    <t>Monitoring351</t>
  </si>
  <si>
    <t>Standar kelulusan351</t>
  </si>
  <si>
    <t>Tugas352</t>
  </si>
  <si>
    <t>Tujuan352</t>
  </si>
  <si>
    <t>Instruksi352</t>
  </si>
  <si>
    <t>Output352</t>
  </si>
  <si>
    <t>Waktu352</t>
  </si>
  <si>
    <t>Monitoring352</t>
  </si>
  <si>
    <t>Standar kelulusan352</t>
  </si>
  <si>
    <t>Tugas353</t>
  </si>
  <si>
    <t>Tujuan353</t>
  </si>
  <si>
    <t>Instruksi353</t>
  </si>
  <si>
    <t>Output353</t>
  </si>
  <si>
    <t>Waktu353</t>
  </si>
  <si>
    <t>Monitoring353</t>
  </si>
  <si>
    <t>Standar kelulusan353</t>
  </si>
  <si>
    <t>Tugas354</t>
  </si>
  <si>
    <t>Tujuan354</t>
  </si>
  <si>
    <t>Instruksi354</t>
  </si>
  <si>
    <t>Output354</t>
  </si>
  <si>
    <t>Waktu354</t>
  </si>
  <si>
    <t>Monitoring354</t>
  </si>
  <si>
    <t>Standar kelulusan354</t>
  </si>
  <si>
    <t>Tugas355</t>
  </si>
  <si>
    <t>Tujuan355</t>
  </si>
  <si>
    <t>Instruksi355</t>
  </si>
  <si>
    <t>Output355</t>
  </si>
  <si>
    <t>Waktu355</t>
  </si>
  <si>
    <t>Monitoring355</t>
  </si>
  <si>
    <t>Standar kelulusan355</t>
  </si>
  <si>
    <t>Tugas356</t>
  </si>
  <si>
    <t>Tujuan356</t>
  </si>
  <si>
    <t>Instruksi356</t>
  </si>
  <si>
    <t>Output356</t>
  </si>
  <si>
    <t>Waktu356</t>
  </si>
  <si>
    <t>Monitoring356</t>
  </si>
  <si>
    <t>Standar kelulusan356</t>
  </si>
  <si>
    <t>Tugas357</t>
  </si>
  <si>
    <t>Tujuan357</t>
  </si>
  <si>
    <t>Instruksi357</t>
  </si>
  <si>
    <t>Output357</t>
  </si>
  <si>
    <t>Waktu357</t>
  </si>
  <si>
    <t>Monitoring357</t>
  </si>
  <si>
    <t>Standar kelulusan357</t>
  </si>
  <si>
    <t>Tugas358</t>
  </si>
  <si>
    <t>Tujuan358</t>
  </si>
  <si>
    <t>Instruksi358</t>
  </si>
  <si>
    <t>Output358</t>
  </si>
  <si>
    <t>Waktu358</t>
  </si>
  <si>
    <t>Monitoring358</t>
  </si>
  <si>
    <t>Standar kelulusan358</t>
  </si>
  <si>
    <t>Tugas359</t>
  </si>
  <si>
    <t>Tujuan359</t>
  </si>
  <si>
    <t>Instruksi359</t>
  </si>
  <si>
    <t>Output359</t>
  </si>
  <si>
    <t>Waktu359</t>
  </si>
  <si>
    <t>Monitoring359</t>
  </si>
  <si>
    <t>Standar kelulusan359</t>
  </si>
  <si>
    <t>Tugas360</t>
  </si>
  <si>
    <t>Tujuan360</t>
  </si>
  <si>
    <t>Instruksi360</t>
  </si>
  <si>
    <t>Output360</t>
  </si>
  <si>
    <t>Waktu360</t>
  </si>
  <si>
    <t>Monitoring360</t>
  </si>
  <si>
    <t>Standar kelulusan360</t>
  </si>
  <si>
    <t>Tugas361</t>
  </si>
  <si>
    <t>Tujuan361</t>
  </si>
  <si>
    <t>Instruksi361</t>
  </si>
  <si>
    <t>Output361</t>
  </si>
  <si>
    <t>Waktu361</t>
  </si>
  <si>
    <t>Monitoring361</t>
  </si>
  <si>
    <t>Standar kelulusan361</t>
  </si>
  <si>
    <t>Tugas362</t>
  </si>
  <si>
    <t>Tujuan362</t>
  </si>
  <si>
    <t>Instruksi362</t>
  </si>
  <si>
    <t>Output362</t>
  </si>
  <si>
    <t>Waktu362</t>
  </si>
  <si>
    <t>Monitoring362</t>
  </si>
  <si>
    <t>Standar kelulusan362</t>
  </si>
  <si>
    <t>Tugas363</t>
  </si>
  <si>
    <t>Tujuan363</t>
  </si>
  <si>
    <t>Instruksi363</t>
  </si>
  <si>
    <t>Output363</t>
  </si>
  <si>
    <t>Waktu363</t>
  </si>
  <si>
    <t>Monitoring363</t>
  </si>
  <si>
    <t>Standar kelulusan363</t>
  </si>
  <si>
    <t>Tugas364</t>
  </si>
  <si>
    <t>Tujuan364</t>
  </si>
  <si>
    <t>Instruksi364</t>
  </si>
  <si>
    <t>Output364</t>
  </si>
  <si>
    <t>Waktu364</t>
  </si>
  <si>
    <t>Monitoring364</t>
  </si>
  <si>
    <t>Standar kelulusan364</t>
  </si>
  <si>
    <t>Tugas365</t>
  </si>
  <si>
    <t>Tujuan365</t>
  </si>
  <si>
    <t>Instruksi365</t>
  </si>
  <si>
    <t>Output365</t>
  </si>
  <si>
    <t>Waktu365</t>
  </si>
  <si>
    <t>Monitoring365</t>
  </si>
  <si>
    <t>Standar kelulusan365</t>
  </si>
  <si>
    <t>Tugas366</t>
  </si>
  <si>
    <t>Tujuan366</t>
  </si>
  <si>
    <t>Instruksi366</t>
  </si>
  <si>
    <t>Output366</t>
  </si>
  <si>
    <t>Waktu366</t>
  </si>
  <si>
    <t>Monitoring366</t>
  </si>
  <si>
    <t>Standar kelulusan366</t>
  </si>
  <si>
    <t>Tugas367</t>
  </si>
  <si>
    <t>Tujuan367</t>
  </si>
  <si>
    <t>Instruksi367</t>
  </si>
  <si>
    <t>Output367</t>
  </si>
  <si>
    <t>Waktu367</t>
  </si>
  <si>
    <t>Monitoring367</t>
  </si>
  <si>
    <t>Standar kelulusan367</t>
  </si>
  <si>
    <t>Tugas368</t>
  </si>
  <si>
    <t>Tujuan368</t>
  </si>
  <si>
    <t>Instruksi368</t>
  </si>
  <si>
    <t>Output368</t>
  </si>
  <si>
    <t>Waktu368</t>
  </si>
  <si>
    <t>Monitoring368</t>
  </si>
  <si>
    <t>Standar kelulusan368</t>
  </si>
  <si>
    <t>Tugas369</t>
  </si>
  <si>
    <t>Tujuan369</t>
  </si>
  <si>
    <t>Instruksi369</t>
  </si>
  <si>
    <t>Output369</t>
  </si>
  <si>
    <t>Waktu369</t>
  </si>
  <si>
    <t>Monitoring369</t>
  </si>
  <si>
    <t>Standar kelulusan369</t>
  </si>
  <si>
    <t>Tugas370</t>
  </si>
  <si>
    <t>Tujuan370</t>
  </si>
  <si>
    <t>Instruksi370</t>
  </si>
  <si>
    <t>Output370</t>
  </si>
  <si>
    <t>Waktu370</t>
  </si>
  <si>
    <t>Monitoring370</t>
  </si>
  <si>
    <t>Standar kelulusan370</t>
  </si>
  <si>
    <t>Tugas371</t>
  </si>
  <si>
    <t>Tujuan371</t>
  </si>
  <si>
    <t>Instruksi371</t>
  </si>
  <si>
    <t>Output371</t>
  </si>
  <si>
    <t>Waktu371</t>
  </si>
  <si>
    <t>Monitoring371</t>
  </si>
  <si>
    <t>Standar kelulusan371</t>
  </si>
  <si>
    <t>Tugas372</t>
  </si>
  <si>
    <t>Tujuan372</t>
  </si>
  <si>
    <t>Instruksi372</t>
  </si>
  <si>
    <t>Output372</t>
  </si>
  <si>
    <t>Waktu372</t>
  </si>
  <si>
    <t>Monitoring372</t>
  </si>
  <si>
    <t>Standar kelulusan372</t>
  </si>
  <si>
    <t>Tugas373</t>
  </si>
  <si>
    <t>Tujuan373</t>
  </si>
  <si>
    <t>Instruksi373</t>
  </si>
  <si>
    <t>Output373</t>
  </si>
  <si>
    <t>Waktu373</t>
  </si>
  <si>
    <t>Monitoring373</t>
  </si>
  <si>
    <t>Standar kelulusan373</t>
  </si>
  <si>
    <t>Tugas374</t>
  </si>
  <si>
    <t>Tujuan374</t>
  </si>
  <si>
    <t>Instruksi374</t>
  </si>
  <si>
    <t>Output374</t>
  </si>
  <si>
    <t>Waktu374</t>
  </si>
  <si>
    <t>Monitoring374</t>
  </si>
  <si>
    <t>Standar kelulusan374</t>
  </si>
  <si>
    <t>Tugas375</t>
  </si>
  <si>
    <t>Tujuan375</t>
  </si>
  <si>
    <t>Instruksi375</t>
  </si>
  <si>
    <t>Output375</t>
  </si>
  <si>
    <t>Waktu375</t>
  </si>
  <si>
    <t>Monitoring375</t>
  </si>
  <si>
    <t>Standar kelulusan375</t>
  </si>
  <si>
    <t>Tugas376</t>
  </si>
  <si>
    <t>Tujuan376</t>
  </si>
  <si>
    <t>Instruksi376</t>
  </si>
  <si>
    <t>Output376</t>
  </si>
  <si>
    <t>Waktu376</t>
  </si>
  <si>
    <t>Monitoring376</t>
  </si>
  <si>
    <t>Standar kelulusan376</t>
  </si>
  <si>
    <t>Tugas377</t>
  </si>
  <si>
    <t>Tujuan377</t>
  </si>
  <si>
    <t>Instruksi377</t>
  </si>
  <si>
    <t>Output377</t>
  </si>
  <si>
    <t>Waktu377</t>
  </si>
  <si>
    <t>Monitoring377</t>
  </si>
  <si>
    <t>Standar kelulusan377</t>
  </si>
  <si>
    <t>Tugas378</t>
  </si>
  <si>
    <t>Tujuan378</t>
  </si>
  <si>
    <t>Instruksi378</t>
  </si>
  <si>
    <t>Output378</t>
  </si>
  <si>
    <t>Waktu378</t>
  </si>
  <si>
    <t>Monitoring378</t>
  </si>
  <si>
    <t>Standar kelulusan378</t>
  </si>
  <si>
    <t>Tugas379</t>
  </si>
  <si>
    <t>Tujuan379</t>
  </si>
  <si>
    <t>Instruksi379</t>
  </si>
  <si>
    <t>Output379</t>
  </si>
  <si>
    <t>Waktu379</t>
  </si>
  <si>
    <t>Monitoring379</t>
  </si>
  <si>
    <t>Standar kelulusan379</t>
  </si>
  <si>
    <t>Tugas380</t>
  </si>
  <si>
    <t>Tujuan380</t>
  </si>
  <si>
    <t>Instruksi380</t>
  </si>
  <si>
    <t>Output380</t>
  </si>
  <si>
    <t>Waktu380</t>
  </si>
  <si>
    <t>Monitoring380</t>
  </si>
  <si>
    <t>Standar kelulusan380</t>
  </si>
  <si>
    <t>Tugas381</t>
  </si>
  <si>
    <t>Tujuan381</t>
  </si>
  <si>
    <t>Instruksi381</t>
  </si>
  <si>
    <t>Output381</t>
  </si>
  <si>
    <t>Waktu381</t>
  </si>
  <si>
    <t>Monitoring381</t>
  </si>
  <si>
    <t>Standar kelulusan381</t>
  </si>
  <si>
    <t>Tugas382</t>
  </si>
  <si>
    <t>Tujuan382</t>
  </si>
  <si>
    <t>Instruksi382</t>
  </si>
  <si>
    <t>Output382</t>
  </si>
  <si>
    <t>Waktu382</t>
  </si>
  <si>
    <t>Monitoring382</t>
  </si>
  <si>
    <t>Standar kelulusan382</t>
  </si>
  <si>
    <t>Tugas383</t>
  </si>
  <si>
    <t>Tujuan383</t>
  </si>
  <si>
    <t>Instruksi383</t>
  </si>
  <si>
    <t>Output383</t>
  </si>
  <si>
    <t>Waktu383</t>
  </si>
  <si>
    <t>Monitoring383</t>
  </si>
  <si>
    <t>Standar kelulusan383</t>
  </si>
  <si>
    <t>Tugas384</t>
  </si>
  <si>
    <t>Tujuan384</t>
  </si>
  <si>
    <t>Instruksi384</t>
  </si>
  <si>
    <t>Output384</t>
  </si>
  <si>
    <t>Waktu384</t>
  </si>
  <si>
    <t>Monitoring384</t>
  </si>
  <si>
    <t>Standar kelulusan384</t>
  </si>
  <si>
    <t>Tugas385</t>
  </si>
  <si>
    <t>Tujuan385</t>
  </si>
  <si>
    <t>Instruksi385</t>
  </si>
  <si>
    <t>Output385</t>
  </si>
  <si>
    <t>Waktu385</t>
  </si>
  <si>
    <t>Monitoring385</t>
  </si>
  <si>
    <t>Standar kelulusan385</t>
  </si>
  <si>
    <t>Tugas386</t>
  </si>
  <si>
    <t>Tujuan386</t>
  </si>
  <si>
    <t>Instruksi386</t>
  </si>
  <si>
    <t>Output386</t>
  </si>
  <si>
    <t>Waktu386</t>
  </si>
  <si>
    <t>Monitoring386</t>
  </si>
  <si>
    <t>Standar kelulusan386</t>
  </si>
  <si>
    <t>Tugas387</t>
  </si>
  <si>
    <t>Tujuan387</t>
  </si>
  <si>
    <t>Instruksi387</t>
  </si>
  <si>
    <t>Output387</t>
  </si>
  <si>
    <t>Waktu387</t>
  </si>
  <si>
    <t>Monitoring387</t>
  </si>
  <si>
    <t>Standar kelulusan387</t>
  </si>
  <si>
    <t>Tugas388</t>
  </si>
  <si>
    <t>Tujuan388</t>
  </si>
  <si>
    <t>Instruksi388</t>
  </si>
  <si>
    <t>Output388</t>
  </si>
  <si>
    <t>Waktu388</t>
  </si>
  <si>
    <t>Monitoring388</t>
  </si>
  <si>
    <t>Standar kelulusan388</t>
  </si>
  <si>
    <t>Tugas389</t>
  </si>
  <si>
    <t>Tujuan389</t>
  </si>
  <si>
    <t>Instruksi389</t>
  </si>
  <si>
    <t>Output389</t>
  </si>
  <si>
    <t>Waktu389</t>
  </si>
  <si>
    <t>Monitoring389</t>
  </si>
  <si>
    <t>Standar kelulusan389</t>
  </si>
  <si>
    <t>Tugas390</t>
  </si>
  <si>
    <t>Tujuan390</t>
  </si>
  <si>
    <t>Instruksi390</t>
  </si>
  <si>
    <t>Output390</t>
  </si>
  <si>
    <t>Waktu390</t>
  </si>
  <si>
    <t>Monitoring390</t>
  </si>
  <si>
    <t>Standar kelulusan390</t>
  </si>
  <si>
    <t>Tugas391</t>
  </si>
  <si>
    <t>Tujuan391</t>
  </si>
  <si>
    <t>Instruksi391</t>
  </si>
  <si>
    <t>Output391</t>
  </si>
  <si>
    <t>Waktu391</t>
  </si>
  <si>
    <t>Monitoring391</t>
  </si>
  <si>
    <t>Standar kelulusan391</t>
  </si>
  <si>
    <t>Tugas392</t>
  </si>
  <si>
    <t>Tujuan392</t>
  </si>
  <si>
    <t>Instruksi392</t>
  </si>
  <si>
    <t>Output392</t>
  </si>
  <si>
    <t>Waktu392</t>
  </si>
  <si>
    <t>Monitoring392</t>
  </si>
  <si>
    <t>Standar kelulusan392</t>
  </si>
  <si>
    <t>Tugas393</t>
  </si>
  <si>
    <t>Tujuan393</t>
  </si>
  <si>
    <t>Instruksi393</t>
  </si>
  <si>
    <t>Output393</t>
  </si>
  <si>
    <t>Waktu393</t>
  </si>
  <si>
    <t>Monitoring393</t>
  </si>
  <si>
    <t>Standar kelulusan393</t>
  </si>
  <si>
    <t>Tugas394</t>
  </si>
  <si>
    <t>Tujuan394</t>
  </si>
  <si>
    <t>Instruksi394</t>
  </si>
  <si>
    <t>Output394</t>
  </si>
  <si>
    <t>Waktu394</t>
  </si>
  <si>
    <t>Monitoring394</t>
  </si>
  <si>
    <t>Standar kelulusan394</t>
  </si>
  <si>
    <t>Tugas395</t>
  </si>
  <si>
    <t>Tujuan395</t>
  </si>
  <si>
    <t>Instruksi395</t>
  </si>
  <si>
    <t>Output395</t>
  </si>
  <si>
    <t>Waktu395</t>
  </si>
  <si>
    <t>Monitoring395</t>
  </si>
  <si>
    <t>Standar kelulusan395</t>
  </si>
  <si>
    <t>Tugas396</t>
  </si>
  <si>
    <t>Tujuan396</t>
  </si>
  <si>
    <t>Instruksi396</t>
  </si>
  <si>
    <t>Output396</t>
  </si>
  <si>
    <t>Waktu396</t>
  </si>
  <si>
    <t>Monitoring396</t>
  </si>
  <si>
    <t>Standar kelulusan396</t>
  </si>
  <si>
    <t>Tugas397</t>
  </si>
  <si>
    <t>Tujuan397</t>
  </si>
  <si>
    <t>Instruksi397</t>
  </si>
  <si>
    <t>Output397</t>
  </si>
  <si>
    <t>Waktu397</t>
  </si>
  <si>
    <t>Monitoring397</t>
  </si>
  <si>
    <t>Standar kelulusan397</t>
  </si>
  <si>
    <t>Tugas398</t>
  </si>
  <si>
    <t>Tujuan398</t>
  </si>
  <si>
    <t>Instruksi398</t>
  </si>
  <si>
    <t>Output398</t>
  </si>
  <si>
    <t>Waktu398</t>
  </si>
  <si>
    <t>Monitoring398</t>
  </si>
  <si>
    <t>Standar kelulusan398</t>
  </si>
  <si>
    <t>Tugas399</t>
  </si>
  <si>
    <t>Tujuan399</t>
  </si>
  <si>
    <t>Instruksi399</t>
  </si>
  <si>
    <t>Output399</t>
  </si>
  <si>
    <t>Waktu399</t>
  </si>
  <si>
    <t>Monitoring399</t>
  </si>
  <si>
    <t>Standar kelulusan399</t>
  </si>
  <si>
    <t>Tugas400</t>
  </si>
  <si>
    <t>Tujuan400</t>
  </si>
  <si>
    <t>Instruksi400</t>
  </si>
  <si>
    <t>Output400</t>
  </si>
  <si>
    <t>Waktu400</t>
  </si>
  <si>
    <t>Monitoring400</t>
  </si>
  <si>
    <t>Standar kelulusan400</t>
  </si>
  <si>
    <t>Tugas401</t>
  </si>
  <si>
    <t>Tujuan401</t>
  </si>
  <si>
    <t>Instruksi401</t>
  </si>
  <si>
    <t>Output401</t>
  </si>
  <si>
    <t>Waktu401</t>
  </si>
  <si>
    <t>Monitoring401</t>
  </si>
  <si>
    <t>Standar kelulusan401</t>
  </si>
  <si>
    <t>Tugas402</t>
  </si>
  <si>
    <t>Tujuan402</t>
  </si>
  <si>
    <t>Instruksi402</t>
  </si>
  <si>
    <t>Output402</t>
  </si>
  <si>
    <t>Waktu402</t>
  </si>
  <si>
    <t>Monitoring402</t>
  </si>
  <si>
    <t>Standar kelulusan402</t>
  </si>
  <si>
    <t>Tugas403</t>
  </si>
  <si>
    <t>Tujuan403</t>
  </si>
  <si>
    <t>Instruksi403</t>
  </si>
  <si>
    <t>Output403</t>
  </si>
  <si>
    <t>Waktu403</t>
  </si>
  <si>
    <t>Monitoring403</t>
  </si>
  <si>
    <t>Standar kelulusan403</t>
  </si>
  <si>
    <t>Tugas404</t>
  </si>
  <si>
    <t>Tujuan404</t>
  </si>
  <si>
    <t>Instruksi404</t>
  </si>
  <si>
    <t>Output404</t>
  </si>
  <si>
    <t>Waktu404</t>
  </si>
  <si>
    <t>Monitoring404</t>
  </si>
  <si>
    <t>Standar kelulusan404</t>
  </si>
  <si>
    <t>Tugas405</t>
  </si>
  <si>
    <t>Tujuan405</t>
  </si>
  <si>
    <t>Instruksi405</t>
  </si>
  <si>
    <t>Output405</t>
  </si>
  <si>
    <t>Waktu405</t>
  </si>
  <si>
    <t>Monitoring405</t>
  </si>
  <si>
    <t>Standar kelulusan405</t>
  </si>
  <si>
    <t>Tugas406</t>
  </si>
  <si>
    <t>Tujuan406</t>
  </si>
  <si>
    <t>Instruksi406</t>
  </si>
  <si>
    <t>Output406</t>
  </si>
  <si>
    <t>Waktu406</t>
  </si>
  <si>
    <t>Monitoring406</t>
  </si>
  <si>
    <t>Standar kelulusan406</t>
  </si>
  <si>
    <t>Tugas407</t>
  </si>
  <si>
    <t>Tujuan407</t>
  </si>
  <si>
    <t>Instruksi407</t>
  </si>
  <si>
    <t>Output407</t>
  </si>
  <si>
    <t>Waktu407</t>
  </si>
  <si>
    <t>Monitoring407</t>
  </si>
  <si>
    <t>Standar kelulusan407</t>
  </si>
  <si>
    <t>Tugas408</t>
  </si>
  <si>
    <t>Tujuan408</t>
  </si>
  <si>
    <t>Instruksi408</t>
  </si>
  <si>
    <t>Output408</t>
  </si>
  <si>
    <t>Waktu408</t>
  </si>
  <si>
    <t>Monitoring408</t>
  </si>
  <si>
    <t>Standar kelulusan408</t>
  </si>
  <si>
    <t>Tugas409</t>
  </si>
  <si>
    <t>Tujuan409</t>
  </si>
  <si>
    <t>Instruksi409</t>
  </si>
  <si>
    <t>Output409</t>
  </si>
  <si>
    <t>Waktu409</t>
  </si>
  <si>
    <t>Monitoring409</t>
  </si>
  <si>
    <t>Standar kelulusan409</t>
  </si>
  <si>
    <t>Tugas410</t>
  </si>
  <si>
    <t>Tujuan410</t>
  </si>
  <si>
    <t>Instruksi410</t>
  </si>
  <si>
    <t>Output410</t>
  </si>
  <si>
    <t>Waktu410</t>
  </si>
  <si>
    <t>Monitoring410</t>
  </si>
  <si>
    <t>Standar kelulusan410</t>
  </si>
  <si>
    <t>Tugas411</t>
  </si>
  <si>
    <t>Tujuan411</t>
  </si>
  <si>
    <t>Instruksi411</t>
  </si>
  <si>
    <t>Output411</t>
  </si>
  <si>
    <t>Waktu411</t>
  </si>
  <si>
    <t>Monitoring411</t>
  </si>
  <si>
    <t>Standar kelulusan411</t>
  </si>
  <si>
    <t>Tugas412</t>
  </si>
  <si>
    <t>Tujuan412</t>
  </si>
  <si>
    <t>Instruksi412</t>
  </si>
  <si>
    <t>Output412</t>
  </si>
  <si>
    <t>Waktu412</t>
  </si>
  <si>
    <t>Monitoring412</t>
  </si>
  <si>
    <t>Standar kelulusan412</t>
  </si>
  <si>
    <t>Tugas413</t>
  </si>
  <si>
    <t>Tujuan413</t>
  </si>
  <si>
    <t>Instruksi413</t>
  </si>
  <si>
    <t>Output413</t>
  </si>
  <si>
    <t>Waktu413</t>
  </si>
  <si>
    <t>Monitoring413</t>
  </si>
  <si>
    <t>Standar kelulusan413</t>
  </si>
  <si>
    <t>Tugas414</t>
  </si>
  <si>
    <t>Tujuan414</t>
  </si>
  <si>
    <t>Instruksi414</t>
  </si>
  <si>
    <t>Output414</t>
  </si>
  <si>
    <t>Waktu414</t>
  </si>
  <si>
    <t>Monitoring414</t>
  </si>
  <si>
    <t>Standar kelulusan414</t>
  </si>
  <si>
    <t>Tugas415</t>
  </si>
  <si>
    <t>Tujuan415</t>
  </si>
  <si>
    <t>Instruksi415</t>
  </si>
  <si>
    <t>Output415</t>
  </si>
  <si>
    <t>Waktu415</t>
  </si>
  <si>
    <t>Monitoring415</t>
  </si>
  <si>
    <t>Standar kelulusan415</t>
  </si>
  <si>
    <t>Tugas416</t>
  </si>
  <si>
    <t>Tujuan416</t>
  </si>
  <si>
    <t>Instruksi416</t>
  </si>
  <si>
    <t>Output416</t>
  </si>
  <si>
    <t>Waktu416</t>
  </si>
  <si>
    <t>Monitoring416</t>
  </si>
  <si>
    <t>Standar kelulusan416</t>
  </si>
  <si>
    <t>Tugas417</t>
  </si>
  <si>
    <t>Tujuan417</t>
  </si>
  <si>
    <t>Instruksi417</t>
  </si>
  <si>
    <t>Output417</t>
  </si>
  <si>
    <t>Waktu417</t>
  </si>
  <si>
    <t>Monitoring417</t>
  </si>
  <si>
    <t>Standar kelulusan417</t>
  </si>
  <si>
    <t>Tugas418</t>
  </si>
  <si>
    <t>Tujuan418</t>
  </si>
  <si>
    <t>Instruksi418</t>
  </si>
  <si>
    <t>Output418</t>
  </si>
  <si>
    <t>Waktu418</t>
  </si>
  <si>
    <t>Monitoring418</t>
  </si>
  <si>
    <t>Standar kelulusan418</t>
  </si>
  <si>
    <t>Tugas419</t>
  </si>
  <si>
    <t>Tujuan419</t>
  </si>
  <si>
    <t>Instruksi419</t>
  </si>
  <si>
    <t>Output419</t>
  </si>
  <si>
    <t>Waktu419</t>
  </si>
  <si>
    <t>Monitoring419</t>
  </si>
  <si>
    <t>Standar kelulusan419</t>
  </si>
  <si>
    <t>Tugas420</t>
  </si>
  <si>
    <t>Tujuan420</t>
  </si>
  <si>
    <t>Instruksi420</t>
  </si>
  <si>
    <t>Output420</t>
  </si>
  <si>
    <t>Waktu420</t>
  </si>
  <si>
    <t>Monitoring420</t>
  </si>
  <si>
    <t>Standar kelulusan420</t>
  </si>
  <si>
    <t>Tugas421</t>
  </si>
  <si>
    <t>Tujuan421</t>
  </si>
  <si>
    <t>Instruksi421</t>
  </si>
  <si>
    <t>Output421</t>
  </si>
  <si>
    <t>Waktu421</t>
  </si>
  <si>
    <t>Monitoring421</t>
  </si>
  <si>
    <t>Standar kelulusan421</t>
  </si>
  <si>
    <t>Tugas422</t>
  </si>
  <si>
    <t>Tujuan422</t>
  </si>
  <si>
    <t>Instruksi422</t>
  </si>
  <si>
    <t>Output422</t>
  </si>
  <si>
    <t>Waktu422</t>
  </si>
  <si>
    <t>Monitoring422</t>
  </si>
  <si>
    <t>Standar kelulusan422</t>
  </si>
  <si>
    <t>Tugas423</t>
  </si>
  <si>
    <t>Tujuan423</t>
  </si>
  <si>
    <t>Instruksi423</t>
  </si>
  <si>
    <t>Output423</t>
  </si>
  <si>
    <t>Waktu423</t>
  </si>
  <si>
    <t>Monitoring423</t>
  </si>
  <si>
    <t>Standar kelulusan423</t>
  </si>
  <si>
    <t>Tugas424</t>
  </si>
  <si>
    <t>Tujuan424</t>
  </si>
  <si>
    <t>Instruksi424</t>
  </si>
  <si>
    <t>Output424</t>
  </si>
  <si>
    <t>Waktu424</t>
  </si>
  <si>
    <t>Monitoring424</t>
  </si>
  <si>
    <t>Standar kelulusan424</t>
  </si>
  <si>
    <t>Tugas425</t>
  </si>
  <si>
    <t>Tujuan425</t>
  </si>
  <si>
    <t>Instruksi425</t>
  </si>
  <si>
    <t>Output425</t>
  </si>
  <si>
    <t>Waktu425</t>
  </si>
  <si>
    <t>Monitoring425</t>
  </si>
  <si>
    <t>Standar kelulusan425</t>
  </si>
  <si>
    <t>Tugas426</t>
  </si>
  <si>
    <t>Tujuan426</t>
  </si>
  <si>
    <t>Instruksi426</t>
  </si>
  <si>
    <t>Output426</t>
  </si>
  <si>
    <t>Waktu426</t>
  </si>
  <si>
    <t>Monitoring426</t>
  </si>
  <si>
    <t>Standar kelulusan426</t>
  </si>
  <si>
    <t>Tugas427</t>
  </si>
  <si>
    <t>Tujuan427</t>
  </si>
  <si>
    <t>Instruksi427</t>
  </si>
  <si>
    <t>Output427</t>
  </si>
  <si>
    <t>Waktu427</t>
  </si>
  <si>
    <t>Monitoring427</t>
  </si>
  <si>
    <t>Standar kelulusan427</t>
  </si>
  <si>
    <t>Tugas428</t>
  </si>
  <si>
    <t>Tujuan428</t>
  </si>
  <si>
    <t>Instruksi428</t>
  </si>
  <si>
    <t>Output428</t>
  </si>
  <si>
    <t>Waktu428</t>
  </si>
  <si>
    <t>Monitoring428</t>
  </si>
  <si>
    <t>Standar kelulusan428</t>
  </si>
  <si>
    <t>Tugas429</t>
  </si>
  <si>
    <t>Tujuan429</t>
  </si>
  <si>
    <t>Instruksi429</t>
  </si>
  <si>
    <t>Output429</t>
  </si>
  <si>
    <t>Waktu429</t>
  </si>
  <si>
    <t>Monitoring429</t>
  </si>
  <si>
    <t>Standar kelulusan429</t>
  </si>
  <si>
    <t>Tugas430</t>
  </si>
  <si>
    <t>Tujuan430</t>
  </si>
  <si>
    <t>Instruksi430</t>
  </si>
  <si>
    <t>Output430</t>
  </si>
  <si>
    <t>Waktu430</t>
  </si>
  <si>
    <t>Monitoring430</t>
  </si>
  <si>
    <t>Standar kelulusan430</t>
  </si>
  <si>
    <t>Tugas431</t>
  </si>
  <si>
    <t>Tujuan431</t>
  </si>
  <si>
    <t>Instruksi431</t>
  </si>
  <si>
    <t>Output431</t>
  </si>
  <si>
    <t>Waktu431</t>
  </si>
  <si>
    <t>Monitoring431</t>
  </si>
  <si>
    <t>Standar kelulusan431</t>
  </si>
  <si>
    <t>Tugas432</t>
  </si>
  <si>
    <t>Tujuan432</t>
  </si>
  <si>
    <t>Instruksi432</t>
  </si>
  <si>
    <t>Output432</t>
  </si>
  <si>
    <t>Waktu432</t>
  </si>
  <si>
    <t>Monitoring432</t>
  </si>
  <si>
    <t>Standar kelulusan432</t>
  </si>
  <si>
    <t>Tugas433</t>
  </si>
  <si>
    <t>Tujuan433</t>
  </si>
  <si>
    <t>Instruksi433</t>
  </si>
  <si>
    <t>Output433</t>
  </si>
  <si>
    <t>Waktu433</t>
  </si>
  <si>
    <t>Monitoring433</t>
  </si>
  <si>
    <t>Standar kelulusan433</t>
  </si>
  <si>
    <t>Tugas434</t>
  </si>
  <si>
    <t>Tujuan434</t>
  </si>
  <si>
    <t>Instruksi434</t>
  </si>
  <si>
    <t>Output434</t>
  </si>
  <si>
    <t>Waktu434</t>
  </si>
  <si>
    <t>Monitoring434</t>
  </si>
  <si>
    <t>Standar kelulusan434</t>
  </si>
  <si>
    <t>Tugas435</t>
  </si>
  <si>
    <t>Tujuan435</t>
  </si>
  <si>
    <t>Instruksi435</t>
  </si>
  <si>
    <t>Output435</t>
  </si>
  <si>
    <t>Waktu435</t>
  </si>
  <si>
    <t>Monitoring435</t>
  </si>
  <si>
    <t>Standar kelulusan435</t>
  </si>
  <si>
    <t>Tugas436</t>
  </si>
  <si>
    <t>Tujuan436</t>
  </si>
  <si>
    <t>Instruksi436</t>
  </si>
  <si>
    <t>Output436</t>
  </si>
  <si>
    <t>Waktu436</t>
  </si>
  <si>
    <t>Monitoring436</t>
  </si>
  <si>
    <t>Standar kelulusan436</t>
  </si>
  <si>
    <t>Tugas437</t>
  </si>
  <si>
    <t>Tujuan437</t>
  </si>
  <si>
    <t>Instruksi437</t>
  </si>
  <si>
    <t>Output437</t>
  </si>
  <si>
    <t>Waktu437</t>
  </si>
  <si>
    <t>Monitoring437</t>
  </si>
  <si>
    <t>Standar kelulusan437</t>
  </si>
  <si>
    <t>Tugas438</t>
  </si>
  <si>
    <t>Tujuan438</t>
  </si>
  <si>
    <t>Instruksi438</t>
  </si>
  <si>
    <t>Output438</t>
  </si>
  <si>
    <t>Waktu438</t>
  </si>
  <si>
    <t>Monitoring438</t>
  </si>
  <si>
    <t>Standar kelulusan438</t>
  </si>
  <si>
    <t>Tugas439</t>
  </si>
  <si>
    <t>Tujuan439</t>
  </si>
  <si>
    <t>Instruksi439</t>
  </si>
  <si>
    <t>Output439</t>
  </si>
  <si>
    <t>Waktu439</t>
  </si>
  <si>
    <t>Monitoring439</t>
  </si>
  <si>
    <t>Standar kelulusan439</t>
  </si>
  <si>
    <t>Tugas440</t>
  </si>
  <si>
    <t>Tujuan440</t>
  </si>
  <si>
    <t>Instruksi440</t>
  </si>
  <si>
    <t>Output440</t>
  </si>
  <si>
    <t>Waktu440</t>
  </si>
  <si>
    <t>Monitoring440</t>
  </si>
  <si>
    <t>Standar kelulusan440</t>
  </si>
  <si>
    <t>Tugas441</t>
  </si>
  <si>
    <t>Tujuan441</t>
  </si>
  <si>
    <t>Instruksi441</t>
  </si>
  <si>
    <t>Output441</t>
  </si>
  <si>
    <t>Waktu441</t>
  </si>
  <si>
    <t>Monitoring441</t>
  </si>
  <si>
    <t>Standar kelulusan441</t>
  </si>
  <si>
    <t>Tugas442</t>
  </si>
  <si>
    <t>Tujuan442</t>
  </si>
  <si>
    <t>Instruksi442</t>
  </si>
  <si>
    <t>Output442</t>
  </si>
  <si>
    <t>Waktu442</t>
  </si>
  <si>
    <t>Monitoring442</t>
  </si>
  <si>
    <t>Standar kelulusan442</t>
  </si>
  <si>
    <t>Tugas443</t>
  </si>
  <si>
    <t>Tujuan443</t>
  </si>
  <si>
    <t>Instruksi443</t>
  </si>
  <si>
    <t>Output443</t>
  </si>
  <si>
    <t>Waktu443</t>
  </si>
  <si>
    <t>Monitoring443</t>
  </si>
  <si>
    <t>Standar kelulusan443</t>
  </si>
  <si>
    <t>Tugas444</t>
  </si>
  <si>
    <t>Tujuan444</t>
  </si>
  <si>
    <t>Instruksi444</t>
  </si>
  <si>
    <t>Output444</t>
  </si>
  <si>
    <t>Waktu444</t>
  </si>
  <si>
    <t>Monitoring444</t>
  </si>
  <si>
    <t>Standar kelulusan444</t>
  </si>
  <si>
    <t>Tugas445</t>
  </si>
  <si>
    <t>Tujuan445</t>
  </si>
  <si>
    <t>Instruksi445</t>
  </si>
  <si>
    <t>Output445</t>
  </si>
  <si>
    <t>Waktu445</t>
  </si>
  <si>
    <t>Monitoring445</t>
  </si>
  <si>
    <t>Standar kelulusan445</t>
  </si>
  <si>
    <t>Tugas446</t>
  </si>
  <si>
    <t>Tujuan446</t>
  </si>
  <si>
    <t>Instruksi446</t>
  </si>
  <si>
    <t>Output446</t>
  </si>
  <si>
    <t>Waktu446</t>
  </si>
  <si>
    <t>Monitoring446</t>
  </si>
  <si>
    <t>Standar kelulusan446</t>
  </si>
  <si>
    <t>Tugas447</t>
  </si>
  <si>
    <t>Tujuan447</t>
  </si>
  <si>
    <t>Instruksi447</t>
  </si>
  <si>
    <t>Output447</t>
  </si>
  <si>
    <t>Waktu447</t>
  </si>
  <si>
    <t>Monitoring447</t>
  </si>
  <si>
    <t>Standar kelulusan447</t>
  </si>
  <si>
    <t>Tugas448</t>
  </si>
  <si>
    <t>Tujuan448</t>
  </si>
  <si>
    <t>Instruksi448</t>
  </si>
  <si>
    <t>Output448</t>
  </si>
  <si>
    <t>Waktu448</t>
  </si>
  <si>
    <t>Monitoring448</t>
  </si>
  <si>
    <t>Standar kelulusan448</t>
  </si>
  <si>
    <t>Tugas449</t>
  </si>
  <si>
    <t>Tujuan449</t>
  </si>
  <si>
    <t>Instruksi449</t>
  </si>
  <si>
    <t>Output449</t>
  </si>
  <si>
    <t>Waktu449</t>
  </si>
  <si>
    <t>Monitoring449</t>
  </si>
  <si>
    <t>Standar kelulusan449</t>
  </si>
  <si>
    <t>Tugas450</t>
  </si>
  <si>
    <t>Tujuan450</t>
  </si>
  <si>
    <t>Instruksi450</t>
  </si>
  <si>
    <t>Output450</t>
  </si>
  <si>
    <t>Waktu450</t>
  </si>
  <si>
    <t>Monitoring450</t>
  </si>
  <si>
    <t>Standar kelulusan450</t>
  </si>
  <si>
    <t>Tugas451</t>
  </si>
  <si>
    <t>Tujuan451</t>
  </si>
  <si>
    <t>Instruksi451</t>
  </si>
  <si>
    <t>Output451</t>
  </si>
  <si>
    <t>Waktu451</t>
  </si>
  <si>
    <t>Monitoring451</t>
  </si>
  <si>
    <t>Standar kelulusan451</t>
  </si>
  <si>
    <t>Tugas452</t>
  </si>
  <si>
    <t>Tujuan452</t>
  </si>
  <si>
    <t>Instruksi452</t>
  </si>
  <si>
    <t>Output452</t>
  </si>
  <si>
    <t>Waktu452</t>
  </si>
  <si>
    <t>Monitoring452</t>
  </si>
  <si>
    <t>Standar kelulusan452</t>
  </si>
  <si>
    <t>Tugas453</t>
  </si>
  <si>
    <t>Tujuan453</t>
  </si>
  <si>
    <t>Instruksi453</t>
  </si>
  <si>
    <t>Output453</t>
  </si>
  <si>
    <t>Waktu453</t>
  </si>
  <si>
    <t>Monitoring453</t>
  </si>
  <si>
    <t>Standar kelulusan453</t>
  </si>
  <si>
    <t>Tugas454</t>
  </si>
  <si>
    <t>Tujuan454</t>
  </si>
  <si>
    <t>Instruksi454</t>
  </si>
  <si>
    <t>Output454</t>
  </si>
  <si>
    <t>Waktu454</t>
  </si>
  <si>
    <t>Monitoring454</t>
  </si>
  <si>
    <t>Standar kelulusan454</t>
  </si>
  <si>
    <t>Tugas455</t>
  </si>
  <si>
    <t>Tujuan455</t>
  </si>
  <si>
    <t>Instruksi455</t>
  </si>
  <si>
    <t>Output455</t>
  </si>
  <si>
    <t>Waktu455</t>
  </si>
  <si>
    <t>Monitoring455</t>
  </si>
  <si>
    <t>Standar kelulusan455</t>
  </si>
  <si>
    <t>Tugas456</t>
  </si>
  <si>
    <t>Tujuan456</t>
  </si>
  <si>
    <t>Instruksi456</t>
  </si>
  <si>
    <t>Output456</t>
  </si>
  <si>
    <t>Waktu456</t>
  </si>
  <si>
    <t>Monitoring456</t>
  </si>
  <si>
    <t>Standar kelulusan456</t>
  </si>
  <si>
    <t>Tugas457</t>
  </si>
  <si>
    <t>Tujuan457</t>
  </si>
  <si>
    <t>Instruksi457</t>
  </si>
  <si>
    <t>Output457</t>
  </si>
  <si>
    <t>Waktu457</t>
  </si>
  <si>
    <t>Monitoring457</t>
  </si>
  <si>
    <t>Standar kelulusan457</t>
  </si>
  <si>
    <t>Tugas458</t>
  </si>
  <si>
    <t>Tujuan458</t>
  </si>
  <si>
    <t>Instruksi458</t>
  </si>
  <si>
    <t>Output458</t>
  </si>
  <si>
    <t>Waktu458</t>
  </si>
  <si>
    <t>Monitoring458</t>
  </si>
  <si>
    <t>Standar kelulusan458</t>
  </si>
  <si>
    <t>Tugas459</t>
  </si>
  <si>
    <t>Tujuan459</t>
  </si>
  <si>
    <t>Instruksi459</t>
  </si>
  <si>
    <t>Output459</t>
  </si>
  <si>
    <t>Waktu459</t>
  </si>
  <si>
    <t>Monitoring459</t>
  </si>
  <si>
    <t>Standar kelulusan459</t>
  </si>
  <si>
    <t>Tugas460</t>
  </si>
  <si>
    <t>Tujuan460</t>
  </si>
  <si>
    <t>Instruksi460</t>
  </si>
  <si>
    <t>Output460</t>
  </si>
  <si>
    <t>Waktu460</t>
  </si>
  <si>
    <t>Monitoring460</t>
  </si>
  <si>
    <t>Standar kelulusan460</t>
  </si>
  <si>
    <t>Tugas461</t>
  </si>
  <si>
    <t>Tujuan461</t>
  </si>
  <si>
    <t>Instruksi461</t>
  </si>
  <si>
    <t>Output461</t>
  </si>
  <si>
    <t>Waktu461</t>
  </si>
  <si>
    <t>Monitoring461</t>
  </si>
  <si>
    <t>Standar kelulusan461</t>
  </si>
  <si>
    <t>Tugas462</t>
  </si>
  <si>
    <t>Tujuan462</t>
  </si>
  <si>
    <t>Instruksi462</t>
  </si>
  <si>
    <t>Output462</t>
  </si>
  <si>
    <t>Waktu462</t>
  </si>
  <si>
    <t>Monitoring462</t>
  </si>
  <si>
    <t>Standar kelulusan462</t>
  </si>
  <si>
    <t>Tugas463</t>
  </si>
  <si>
    <t>Tujuan463</t>
  </si>
  <si>
    <t>Instruksi463</t>
  </si>
  <si>
    <t>Output463</t>
  </si>
  <si>
    <t>Waktu463</t>
  </si>
  <si>
    <t>Monitoring463</t>
  </si>
  <si>
    <t>Standar kelulusan463</t>
  </si>
  <si>
    <t>Tugas464</t>
  </si>
  <si>
    <t>Tujuan464</t>
  </si>
  <si>
    <t>Instruksi464</t>
  </si>
  <si>
    <t>Output464</t>
  </si>
  <si>
    <t>Waktu464</t>
  </si>
  <si>
    <t>Monitoring464</t>
  </si>
  <si>
    <t>Standar kelulusan464</t>
  </si>
  <si>
    <t>Tugas465</t>
  </si>
  <si>
    <t>Tujuan465</t>
  </si>
  <si>
    <t>Instruksi465</t>
  </si>
  <si>
    <t>Output465</t>
  </si>
  <si>
    <t>Waktu465</t>
  </si>
  <si>
    <t>Monitoring465</t>
  </si>
  <si>
    <t>Standar kelulusan465</t>
  </si>
  <si>
    <t>Tugas466</t>
  </si>
  <si>
    <t>Tujuan466</t>
  </si>
  <si>
    <t>Instruksi466</t>
  </si>
  <si>
    <t>Output466</t>
  </si>
  <si>
    <t>Waktu466</t>
  </si>
  <si>
    <t>Monitoring466</t>
  </si>
  <si>
    <t>Standar kelulusan466</t>
  </si>
  <si>
    <t>Tugas467</t>
  </si>
  <si>
    <t>Tujuan467</t>
  </si>
  <si>
    <t>Instruksi467</t>
  </si>
  <si>
    <t>Output467</t>
  </si>
  <si>
    <t>Waktu467</t>
  </si>
  <si>
    <t>Monitoring467</t>
  </si>
  <si>
    <t>Standar kelulusan467</t>
  </si>
  <si>
    <t>Tugas468</t>
  </si>
  <si>
    <t>Tujuan468</t>
  </si>
  <si>
    <t>Instruksi468</t>
  </si>
  <si>
    <t>Output468</t>
  </si>
  <si>
    <t>Waktu468</t>
  </si>
  <si>
    <t>Monitoring468</t>
  </si>
  <si>
    <t>Standar kelulusan468</t>
  </si>
  <si>
    <t>Tugas469</t>
  </si>
  <si>
    <t>Tujuan469</t>
  </si>
  <si>
    <t>Instruksi469</t>
  </si>
  <si>
    <t>Output469</t>
  </si>
  <si>
    <t>Waktu469</t>
  </si>
  <si>
    <t>Monitoring469</t>
  </si>
  <si>
    <t>Standar kelulusan469</t>
  </si>
  <si>
    <t>Tugas470</t>
  </si>
  <si>
    <t>Tujuan470</t>
  </si>
  <si>
    <t>Instruksi470</t>
  </si>
  <si>
    <t>Output470</t>
  </si>
  <si>
    <t>Waktu470</t>
  </si>
  <si>
    <t>Monitoring470</t>
  </si>
  <si>
    <t>Standar kelulusan470</t>
  </si>
  <si>
    <t>Tugas471</t>
  </si>
  <si>
    <t>Tujuan471</t>
  </si>
  <si>
    <t>Instruksi471</t>
  </si>
  <si>
    <t>Output471</t>
  </si>
  <si>
    <t>Waktu471</t>
  </si>
  <si>
    <t>Monitoring471</t>
  </si>
  <si>
    <t>Standar kelulusan471</t>
  </si>
  <si>
    <t>Tugas472</t>
  </si>
  <si>
    <t>Tujuan472</t>
  </si>
  <si>
    <t>Instruksi472</t>
  </si>
  <si>
    <t>Output472</t>
  </si>
  <si>
    <t>Waktu472</t>
  </si>
  <si>
    <t>Monitoring472</t>
  </si>
  <si>
    <t>Standar kelulusan472</t>
  </si>
  <si>
    <t>Tugas473</t>
  </si>
  <si>
    <t>Tujuan473</t>
  </si>
  <si>
    <t>Instruksi473</t>
  </si>
  <si>
    <t>Output473</t>
  </si>
  <si>
    <t>Waktu473</t>
  </si>
  <si>
    <t>Monitoring473</t>
  </si>
  <si>
    <t>Standar kelulusan473</t>
  </si>
  <si>
    <t>Tugas474</t>
  </si>
  <si>
    <t>Tujuan474</t>
  </si>
  <si>
    <t>Instruksi474</t>
  </si>
  <si>
    <t>Output474</t>
  </si>
  <si>
    <t>Waktu474</t>
  </si>
  <si>
    <t>Monitoring474</t>
  </si>
  <si>
    <t>Standar kelulusan474</t>
  </si>
  <si>
    <t>Tugas475</t>
  </si>
  <si>
    <t>Tujuan475</t>
  </si>
  <si>
    <t>Instruksi475</t>
  </si>
  <si>
    <t>Output475</t>
  </si>
  <si>
    <t>Waktu475</t>
  </si>
  <si>
    <t>Monitoring475</t>
  </si>
  <si>
    <t>Standar kelulusan475</t>
  </si>
  <si>
    <t>Tugas476</t>
  </si>
  <si>
    <t>Tujuan476</t>
  </si>
  <si>
    <t>Instruksi476</t>
  </si>
  <si>
    <t>Output476</t>
  </si>
  <si>
    <t>Waktu476</t>
  </si>
  <si>
    <t>Monitoring476</t>
  </si>
  <si>
    <t>Standar kelulusan476</t>
  </si>
  <si>
    <t>Tugas477</t>
  </si>
  <si>
    <t>Tujuan477</t>
  </si>
  <si>
    <t>Instruksi477</t>
  </si>
  <si>
    <t>Output477</t>
  </si>
  <si>
    <t>Waktu477</t>
  </si>
  <si>
    <t>Monitoring477</t>
  </si>
  <si>
    <t>Standar kelulusan477</t>
  </si>
  <si>
    <t>Tugas478</t>
  </si>
  <si>
    <t>Tujuan478</t>
  </si>
  <si>
    <t>Instruksi478</t>
  </si>
  <si>
    <t>Output478</t>
  </si>
  <si>
    <t>Waktu478</t>
  </si>
  <si>
    <t>Monitoring478</t>
  </si>
  <si>
    <t>Standar kelulusan478</t>
  </si>
  <si>
    <t>Tugas479</t>
  </si>
  <si>
    <t>Tujuan479</t>
  </si>
  <si>
    <t>Instruksi479</t>
  </si>
  <si>
    <t>Output479</t>
  </si>
  <si>
    <t>Waktu479</t>
  </si>
  <si>
    <t>Monitoring479</t>
  </si>
  <si>
    <t>Standar kelulusan479</t>
  </si>
  <si>
    <t>Tugas480</t>
  </si>
  <si>
    <t>Tujuan480</t>
  </si>
  <si>
    <t>Instruksi480</t>
  </si>
  <si>
    <t>Output480</t>
  </si>
  <si>
    <t>Waktu480</t>
  </si>
  <si>
    <t>Monitoring480</t>
  </si>
  <si>
    <t>Standar kelulusan480</t>
  </si>
  <si>
    <t>Tugas481</t>
  </si>
  <si>
    <t>Tujuan481</t>
  </si>
  <si>
    <t>Instruksi481</t>
  </si>
  <si>
    <t>Output481</t>
  </si>
  <si>
    <t>Waktu481</t>
  </si>
  <si>
    <t>Monitoring481</t>
  </si>
  <si>
    <t>Standar kelulusan481</t>
  </si>
  <si>
    <t>Tugas482</t>
  </si>
  <si>
    <t>Tujuan482</t>
  </si>
  <si>
    <t>Instruksi482</t>
  </si>
  <si>
    <t>Output482</t>
  </si>
  <si>
    <t>Waktu482</t>
  </si>
  <si>
    <t>Monitoring482</t>
  </si>
  <si>
    <t>Standar kelulusan482</t>
  </si>
  <si>
    <t>Tugas483</t>
  </si>
  <si>
    <t>Tujuan483</t>
  </si>
  <si>
    <t>Instruksi483</t>
  </si>
  <si>
    <t>Output483</t>
  </si>
  <si>
    <t>Waktu483</t>
  </si>
  <si>
    <t>Monitoring483</t>
  </si>
  <si>
    <t>Standar kelulusan483</t>
  </si>
  <si>
    <t>Tugas484</t>
  </si>
  <si>
    <t>Tujuan484</t>
  </si>
  <si>
    <t>Instruksi484</t>
  </si>
  <si>
    <t>Output484</t>
  </si>
  <si>
    <t>Waktu484</t>
  </si>
  <si>
    <t>Monitoring484</t>
  </si>
  <si>
    <t>Standar kelulusan484</t>
  </si>
  <si>
    <t>Tugas485</t>
  </si>
  <si>
    <t>Tujuan485</t>
  </si>
  <si>
    <t>Instruksi485</t>
  </si>
  <si>
    <t>Output485</t>
  </si>
  <si>
    <t>Waktu485</t>
  </si>
  <si>
    <t>Monitoring485</t>
  </si>
  <si>
    <t>Standar kelulusan485</t>
  </si>
  <si>
    <t>Tugas486</t>
  </si>
  <si>
    <t>Tujuan486</t>
  </si>
  <si>
    <t>Instruksi486</t>
  </si>
  <si>
    <t>Output486</t>
  </si>
  <si>
    <t>Waktu486</t>
  </si>
  <si>
    <t>Monitoring486</t>
  </si>
  <si>
    <t>Standar kelulusan486</t>
  </si>
  <si>
    <t>Tugas487</t>
  </si>
  <si>
    <t>Tujuan487</t>
  </si>
  <si>
    <t>Instruksi487</t>
  </si>
  <si>
    <t>Output487</t>
  </si>
  <si>
    <t>Waktu487</t>
  </si>
  <si>
    <t>Monitoring487</t>
  </si>
  <si>
    <t>Standar kelulusan487</t>
  </si>
  <si>
    <t>Tugas488</t>
  </si>
  <si>
    <t>Tujuan488</t>
  </si>
  <si>
    <t>Instruksi488</t>
  </si>
  <si>
    <t>Output488</t>
  </si>
  <si>
    <t>Waktu488</t>
  </si>
  <si>
    <t>Monitoring488</t>
  </si>
  <si>
    <t>Standar kelulusan488</t>
  </si>
  <si>
    <t>Tugas489</t>
  </si>
  <si>
    <t>Tujuan489</t>
  </si>
  <si>
    <t>Instruksi489</t>
  </si>
  <si>
    <t>Output489</t>
  </si>
  <si>
    <t>Waktu489</t>
  </si>
  <si>
    <t>Monitoring489</t>
  </si>
  <si>
    <t>Standar kelulusan489</t>
  </si>
  <si>
    <t>Tugas490</t>
  </si>
  <si>
    <t>Tujuan490</t>
  </si>
  <si>
    <t>Instruksi490</t>
  </si>
  <si>
    <t>Output490</t>
  </si>
  <si>
    <t>Waktu490</t>
  </si>
  <si>
    <t>Monitoring490</t>
  </si>
  <si>
    <t>Standar kelulusan490</t>
  </si>
  <si>
    <t>Tugas491</t>
  </si>
  <si>
    <t>Tujuan491</t>
  </si>
  <si>
    <t>Instruksi491</t>
  </si>
  <si>
    <t>Output491</t>
  </si>
  <si>
    <t>Waktu491</t>
  </si>
  <si>
    <t>Monitoring491</t>
  </si>
  <si>
    <t>Standar kelulusan491</t>
  </si>
  <si>
    <t>Tugas492</t>
  </si>
  <si>
    <t>Tujuan492</t>
  </si>
  <si>
    <t>Instruksi492</t>
  </si>
  <si>
    <t>Output492</t>
  </si>
  <si>
    <t>Waktu492</t>
  </si>
  <si>
    <t>Monitoring492</t>
  </si>
  <si>
    <t>Standar kelulusan492</t>
  </si>
  <si>
    <t>Tugas493</t>
  </si>
  <si>
    <t>Tujuan493</t>
  </si>
  <si>
    <t>Instruksi493</t>
  </si>
  <si>
    <t>Output493</t>
  </si>
  <si>
    <t>Waktu493</t>
  </si>
  <si>
    <t>Monitoring493</t>
  </si>
  <si>
    <t>Standar kelulusan493</t>
  </si>
  <si>
    <t>Tugas494</t>
  </si>
  <si>
    <t>Tujuan494</t>
  </si>
  <si>
    <t>Instruksi494</t>
  </si>
  <si>
    <t>Output494</t>
  </si>
  <si>
    <t>Waktu494</t>
  </si>
  <si>
    <t>Monitoring494</t>
  </si>
  <si>
    <t>Standar kelulusan494</t>
  </si>
  <si>
    <t>Tugas495</t>
  </si>
  <si>
    <t>Tujuan495</t>
  </si>
  <si>
    <t>Instruksi495</t>
  </si>
  <si>
    <t>Output495</t>
  </si>
  <si>
    <t>Waktu495</t>
  </si>
  <si>
    <t>Monitoring495</t>
  </si>
  <si>
    <t>Standar kelulusan495</t>
  </si>
  <si>
    <t>Tugas496</t>
  </si>
  <si>
    <t>Tujuan496</t>
  </si>
  <si>
    <t>Instruksi496</t>
  </si>
  <si>
    <t>Output496</t>
  </si>
  <si>
    <t>Waktu496</t>
  </si>
  <si>
    <t>Monitoring496</t>
  </si>
  <si>
    <t>Standar kelulusan496</t>
  </si>
  <si>
    <t>Tugas497</t>
  </si>
  <si>
    <t>Tujuan497</t>
  </si>
  <si>
    <t>Instruksi497</t>
  </si>
  <si>
    <t>Output497</t>
  </si>
  <si>
    <t>Waktu497</t>
  </si>
  <si>
    <t>Monitoring497</t>
  </si>
  <si>
    <t>Standar kelulusan497</t>
  </si>
  <si>
    <t>Tugas498</t>
  </si>
  <si>
    <t>Tujuan498</t>
  </si>
  <si>
    <t>Instruksi498</t>
  </si>
  <si>
    <t>Output498</t>
  </si>
  <si>
    <t>Waktu498</t>
  </si>
  <si>
    <t>Monitoring498</t>
  </si>
  <si>
    <t>Standar kelulusan498</t>
  </si>
  <si>
    <t>Tugas499</t>
  </si>
  <si>
    <t>Tujuan499</t>
  </si>
  <si>
    <t>Instruksi499</t>
  </si>
  <si>
    <t>Output499</t>
  </si>
  <si>
    <t>Waktu499</t>
  </si>
  <si>
    <t>Monitoring499</t>
  </si>
  <si>
    <t>Standar kelulusan499</t>
  </si>
  <si>
    <t>Tugas500</t>
  </si>
  <si>
    <t>Tujuan500</t>
  </si>
  <si>
    <t>Instruksi500</t>
  </si>
  <si>
    <t>Output500</t>
  </si>
  <si>
    <t>Waktu500</t>
  </si>
  <si>
    <t>Monitoring500</t>
  </si>
  <si>
    <t>Standar kelulusan500</t>
  </si>
  <si>
    <t>Tugas501</t>
  </si>
  <si>
    <t>Tujuan501</t>
  </si>
  <si>
    <t>Instruksi501</t>
  </si>
  <si>
    <t>Output501</t>
  </si>
  <si>
    <t>Waktu501</t>
  </si>
  <si>
    <t>Monitoring501</t>
  </si>
  <si>
    <t>Standar kelulusan501</t>
  </si>
  <si>
    <t>Tugas502</t>
  </si>
  <si>
    <t>Tujuan502</t>
  </si>
  <si>
    <t>Instruksi502</t>
  </si>
  <si>
    <t>Output502</t>
  </si>
  <si>
    <t>Waktu502</t>
  </si>
  <si>
    <t>Monitoring502</t>
  </si>
  <si>
    <t>Standar kelulusan502</t>
  </si>
  <si>
    <t>Tugas503</t>
  </si>
  <si>
    <t>Tujuan503</t>
  </si>
  <si>
    <t>Instruksi503</t>
  </si>
  <si>
    <t>Output503</t>
  </si>
  <si>
    <t>Waktu503</t>
  </si>
  <si>
    <t>Monitoring503</t>
  </si>
  <si>
    <t>Standar kelulusan503</t>
  </si>
  <si>
    <t>Tugas504</t>
  </si>
  <si>
    <t>Tujuan504</t>
  </si>
  <si>
    <t>Instruksi504</t>
  </si>
  <si>
    <t>Output504</t>
  </si>
  <si>
    <t>Waktu504</t>
  </si>
  <si>
    <t>Monitoring504</t>
  </si>
  <si>
    <t>Standar kelulusan504</t>
  </si>
  <si>
    <t>Tugas505</t>
  </si>
  <si>
    <t>Tujuan505</t>
  </si>
  <si>
    <t>Instruksi505</t>
  </si>
  <si>
    <t>Output505</t>
  </si>
  <si>
    <t>Waktu505</t>
  </si>
  <si>
    <t>Monitoring505</t>
  </si>
  <si>
    <t>Standar kelulusan505</t>
  </si>
  <si>
    <t>Tugas506</t>
  </si>
  <si>
    <t>Tujuan506</t>
  </si>
  <si>
    <t>Instruksi506</t>
  </si>
  <si>
    <t>Output506</t>
  </si>
  <si>
    <t>Waktu506</t>
  </si>
  <si>
    <t>Monitoring506</t>
  </si>
  <si>
    <t>Standar kelulusan506</t>
  </si>
  <si>
    <t>Tugas507</t>
  </si>
  <si>
    <t>Tujuan507</t>
  </si>
  <si>
    <t>Instruksi507</t>
  </si>
  <si>
    <t>Output507</t>
  </si>
  <si>
    <t>Waktu507</t>
  </si>
  <si>
    <t>Monitoring507</t>
  </si>
  <si>
    <t>Standar kelulusan507</t>
  </si>
  <si>
    <t>Tugas508</t>
  </si>
  <si>
    <t>Tujuan508</t>
  </si>
  <si>
    <t>Instruksi508</t>
  </si>
  <si>
    <t>Output508</t>
  </si>
  <si>
    <t>Waktu508</t>
  </si>
  <si>
    <t>Monitoring508</t>
  </si>
  <si>
    <t>Standar kelulusan508</t>
  </si>
  <si>
    <t>Tugas509</t>
  </si>
  <si>
    <t>Tujuan509</t>
  </si>
  <si>
    <t>Instruksi509</t>
  </si>
  <si>
    <t>Output509</t>
  </si>
  <si>
    <t>Waktu509</t>
  </si>
  <si>
    <t>Monitoring509</t>
  </si>
  <si>
    <t>Standar kelulusan509</t>
  </si>
  <si>
    <t>Tugas510</t>
  </si>
  <si>
    <t>Tujuan510</t>
  </si>
  <si>
    <t>Instruksi510</t>
  </si>
  <si>
    <t>Output510</t>
  </si>
  <si>
    <t>Waktu510</t>
  </si>
  <si>
    <t>Monitoring510</t>
  </si>
  <si>
    <t>Standar kelulusan510</t>
  </si>
  <si>
    <t>Tugas511</t>
  </si>
  <si>
    <t>Tujuan511</t>
  </si>
  <si>
    <t>Instruksi511</t>
  </si>
  <si>
    <t>Output511</t>
  </si>
  <si>
    <t>Waktu511</t>
  </si>
  <si>
    <t>Monitoring511</t>
  </si>
  <si>
    <t>Standar kelulusan511</t>
  </si>
  <si>
    <t>Tugas512</t>
  </si>
  <si>
    <t>Tujuan512</t>
  </si>
  <si>
    <t>Instruksi512</t>
  </si>
  <si>
    <t>Output512</t>
  </si>
  <si>
    <t>Waktu512</t>
  </si>
  <si>
    <t>Monitoring512</t>
  </si>
  <si>
    <t>Standar kelulusan512</t>
  </si>
  <si>
    <t>Tugas513</t>
  </si>
  <si>
    <t>Tujuan513</t>
  </si>
  <si>
    <t>Instruksi513</t>
  </si>
  <si>
    <t>Output513</t>
  </si>
  <si>
    <t>Waktu513</t>
  </si>
  <si>
    <t>Monitoring513</t>
  </si>
  <si>
    <t>Standar kelulusan513</t>
  </si>
  <si>
    <t>Tugas514</t>
  </si>
  <si>
    <t>Tujuan514</t>
  </si>
  <si>
    <t>Instruksi514</t>
  </si>
  <si>
    <t>Output514</t>
  </si>
  <si>
    <t>Waktu514</t>
  </si>
  <si>
    <t>Monitoring514</t>
  </si>
  <si>
    <t>Standar kelulusan514</t>
  </si>
  <si>
    <t>Tugas515</t>
  </si>
  <si>
    <t>Tujuan515</t>
  </si>
  <si>
    <t>Instruksi515</t>
  </si>
  <si>
    <t>Output515</t>
  </si>
  <si>
    <t>Waktu515</t>
  </si>
  <si>
    <t>Monitoring515</t>
  </si>
  <si>
    <t>Standar kelulusan515</t>
  </si>
  <si>
    <t>Tugas516</t>
  </si>
  <si>
    <t>Tujuan516</t>
  </si>
  <si>
    <t>Instruksi516</t>
  </si>
  <si>
    <t>Output516</t>
  </si>
  <si>
    <t>Waktu516</t>
  </si>
  <si>
    <t>Monitoring516</t>
  </si>
  <si>
    <t>Standar kelulusan516</t>
  </si>
  <si>
    <t>Tugas517</t>
  </si>
  <si>
    <t>Tujuan517</t>
  </si>
  <si>
    <t>Instruksi517</t>
  </si>
  <si>
    <t>Output517</t>
  </si>
  <si>
    <t>Waktu517</t>
  </si>
  <si>
    <t>Monitoring517</t>
  </si>
  <si>
    <t>Standar kelulusan517</t>
  </si>
  <si>
    <t>Tugas518</t>
  </si>
  <si>
    <t>Tujuan518</t>
  </si>
  <si>
    <t>Instruksi518</t>
  </si>
  <si>
    <t>Output518</t>
  </si>
  <si>
    <t>Waktu518</t>
  </si>
  <si>
    <t>Monitoring518</t>
  </si>
  <si>
    <t>Standar kelulusan518</t>
  </si>
  <si>
    <t>Tugas519</t>
  </si>
  <si>
    <t>Tujuan519</t>
  </si>
  <si>
    <t>Instruksi519</t>
  </si>
  <si>
    <t>Output519</t>
  </si>
  <si>
    <t>Waktu519</t>
  </si>
  <si>
    <t>Monitoring519</t>
  </si>
  <si>
    <t>Standar kelulusan519</t>
  </si>
  <si>
    <t>Tugas520</t>
  </si>
  <si>
    <t>Tujuan520</t>
  </si>
  <si>
    <t>Instruksi520</t>
  </si>
  <si>
    <t>Output520</t>
  </si>
  <si>
    <t>Waktu520</t>
  </si>
  <si>
    <t>Monitoring520</t>
  </si>
  <si>
    <t>Standar kelulusan520</t>
  </si>
  <si>
    <t>Tugas521</t>
  </si>
  <si>
    <t>Tujuan521</t>
  </si>
  <si>
    <t>Instruksi521</t>
  </si>
  <si>
    <t>Output521</t>
  </si>
  <si>
    <t>Waktu521</t>
  </si>
  <si>
    <t>Monitoring521</t>
  </si>
  <si>
    <t>Standar kelulusan521</t>
  </si>
  <si>
    <t>Tugas522</t>
  </si>
  <si>
    <t>Tujuan522</t>
  </si>
  <si>
    <t>Instruksi522</t>
  </si>
  <si>
    <t>Output522</t>
  </si>
  <si>
    <t>Waktu522</t>
  </si>
  <si>
    <t>Monitoring522</t>
  </si>
  <si>
    <t>Standar kelulusan522</t>
  </si>
  <si>
    <t>Tugas523</t>
  </si>
  <si>
    <t>Tujuan523</t>
  </si>
  <si>
    <t>Instruksi523</t>
  </si>
  <si>
    <t>Output523</t>
  </si>
  <si>
    <t>Waktu523</t>
  </si>
  <si>
    <t>Monitoring523</t>
  </si>
  <si>
    <t>Standar kelulusan523</t>
  </si>
  <si>
    <t>Tugas524</t>
  </si>
  <si>
    <t>Tujuan524</t>
  </si>
  <si>
    <t>Instruksi524</t>
  </si>
  <si>
    <t>Output524</t>
  </si>
  <si>
    <t>Waktu524</t>
  </si>
  <si>
    <t>Monitoring524</t>
  </si>
  <si>
    <t>Standar kelulusan524</t>
  </si>
  <si>
    <t>Tugas525</t>
  </si>
  <si>
    <t>Tujuan525</t>
  </si>
  <si>
    <t>Instruksi525</t>
  </si>
  <si>
    <t>Output525</t>
  </si>
  <si>
    <t>Waktu525</t>
  </si>
  <si>
    <t>Monitoring525</t>
  </si>
  <si>
    <t>Standar kelulusan525</t>
  </si>
  <si>
    <t>Tugas526</t>
  </si>
  <si>
    <t>Tujuan526</t>
  </si>
  <si>
    <t>Instruksi526</t>
  </si>
  <si>
    <t>Output526</t>
  </si>
  <si>
    <t>Waktu526</t>
  </si>
  <si>
    <t>Monitoring526</t>
  </si>
  <si>
    <t>Standar kelulusan526</t>
  </si>
  <si>
    <t>Tugas527</t>
  </si>
  <si>
    <t>Tujuan527</t>
  </si>
  <si>
    <t>Instruksi527</t>
  </si>
  <si>
    <t>Output527</t>
  </si>
  <si>
    <t>Waktu527</t>
  </si>
  <si>
    <t>Monitoring527</t>
  </si>
  <si>
    <t>Standar kelulusan527</t>
  </si>
  <si>
    <t>Tugas528</t>
  </si>
  <si>
    <t>Tujuan528</t>
  </si>
  <si>
    <t>Instruksi528</t>
  </si>
  <si>
    <t>Output528</t>
  </si>
  <si>
    <t>Waktu528</t>
  </si>
  <si>
    <t>Monitoring528</t>
  </si>
  <si>
    <t>Standar kelulusan528</t>
  </si>
  <si>
    <t>Tugas529</t>
  </si>
  <si>
    <t>Tujuan529</t>
  </si>
  <si>
    <t>Instruksi529</t>
  </si>
  <si>
    <t>Output529</t>
  </si>
  <si>
    <t>Waktu529</t>
  </si>
  <si>
    <t>Monitoring529</t>
  </si>
  <si>
    <t>Standar kelulusan529</t>
  </si>
  <si>
    <t>Tugas530</t>
  </si>
  <si>
    <t>Tujuan530</t>
  </si>
  <si>
    <t>Instruksi530</t>
  </si>
  <si>
    <t>Output530</t>
  </si>
  <si>
    <t>Waktu530</t>
  </si>
  <si>
    <t>Monitoring530</t>
  </si>
  <si>
    <t>Standar kelulusan530</t>
  </si>
  <si>
    <t>Tugas531</t>
  </si>
  <si>
    <t>Tujuan531</t>
  </si>
  <si>
    <t>Instruksi531</t>
  </si>
  <si>
    <t>Output531</t>
  </si>
  <si>
    <t>Waktu531</t>
  </si>
  <si>
    <t>Monitoring531</t>
  </si>
  <si>
    <t>Standar kelulusan531</t>
  </si>
  <si>
    <t>Tugas532</t>
  </si>
  <si>
    <t>Tujuan532</t>
  </si>
  <si>
    <t>Instruksi532</t>
  </si>
  <si>
    <t>Output532</t>
  </si>
  <si>
    <t>Waktu532</t>
  </si>
  <si>
    <t>Monitoring532</t>
  </si>
  <si>
    <t>Standar kelulusan532</t>
  </si>
  <si>
    <t>Tugas533</t>
  </si>
  <si>
    <t>Tujuan533</t>
  </si>
  <si>
    <t>Instruksi533</t>
  </si>
  <si>
    <t>Output533</t>
  </si>
  <si>
    <t>Waktu533</t>
  </si>
  <si>
    <t>Monitoring533</t>
  </si>
  <si>
    <t>Standar kelulusan533</t>
  </si>
  <si>
    <t>Tugas534</t>
  </si>
  <si>
    <t>Tujuan534</t>
  </si>
  <si>
    <t>Instruksi534</t>
  </si>
  <si>
    <t>Output534</t>
  </si>
  <si>
    <t>Waktu534</t>
  </si>
  <si>
    <t>Monitoring534</t>
  </si>
  <si>
    <t>Standar kelulusan534</t>
  </si>
  <si>
    <t>Tugas535</t>
  </si>
  <si>
    <t>Tujuan535</t>
  </si>
  <si>
    <t>Instruksi535</t>
  </si>
  <si>
    <t>Output535</t>
  </si>
  <si>
    <t>Waktu535</t>
  </si>
  <si>
    <t>Monitoring535</t>
  </si>
  <si>
    <t>Standar kelulusan535</t>
  </si>
  <si>
    <t>Tugas536</t>
  </si>
  <si>
    <t>Tujuan536</t>
  </si>
  <si>
    <t>Instruksi536</t>
  </si>
  <si>
    <t>Output536</t>
  </si>
  <si>
    <t>Waktu536</t>
  </si>
  <si>
    <t>Monitoring536</t>
  </si>
  <si>
    <t>Standar kelulusan536</t>
  </si>
  <si>
    <t>Tugas537</t>
  </si>
  <si>
    <t>Tujuan537</t>
  </si>
  <si>
    <t>Instruksi537</t>
  </si>
  <si>
    <t>Output537</t>
  </si>
  <si>
    <t>Waktu537</t>
  </si>
  <si>
    <t>Monitoring537</t>
  </si>
  <si>
    <t>Standar kelulusan537</t>
  </si>
  <si>
    <t>Tugas538</t>
  </si>
  <si>
    <t>Tujuan538</t>
  </si>
  <si>
    <t>Instruksi538</t>
  </si>
  <si>
    <t>Output538</t>
  </si>
  <si>
    <t>Waktu538</t>
  </si>
  <si>
    <t>Monitoring538</t>
  </si>
  <si>
    <t>Standar kelulusan538</t>
  </si>
  <si>
    <t>Tugas539</t>
  </si>
  <si>
    <t>Tujuan539</t>
  </si>
  <si>
    <t>Instruksi539</t>
  </si>
  <si>
    <t>Output539</t>
  </si>
  <si>
    <t>Waktu539</t>
  </si>
  <si>
    <t>Monitoring539</t>
  </si>
  <si>
    <t>Standar kelulusan539</t>
  </si>
  <si>
    <t>Tugas540</t>
  </si>
  <si>
    <t>Tujuan540</t>
  </si>
  <si>
    <t>Instruksi540</t>
  </si>
  <si>
    <t>Output540</t>
  </si>
  <si>
    <t>Waktu540</t>
  </si>
  <si>
    <t>Monitoring540</t>
  </si>
  <si>
    <t>Standar kelulusan540</t>
  </si>
  <si>
    <t>Tugas541</t>
  </si>
  <si>
    <t>Tujuan541</t>
  </si>
  <si>
    <t>Instruksi541</t>
  </si>
  <si>
    <t>Output541</t>
  </si>
  <si>
    <t>Waktu541</t>
  </si>
  <si>
    <t>Monitoring541</t>
  </si>
  <si>
    <t>Standar kelulusan541</t>
  </si>
  <si>
    <t>Tugas542</t>
  </si>
  <si>
    <t>Tujuan542</t>
  </si>
  <si>
    <t>Instruksi542</t>
  </si>
  <si>
    <t>Output542</t>
  </si>
  <si>
    <t>Waktu542</t>
  </si>
  <si>
    <t>Monitoring542</t>
  </si>
  <si>
    <t>Standar kelulusan542</t>
  </si>
  <si>
    <t>Tugas543</t>
  </si>
  <si>
    <t>Tujuan543</t>
  </si>
  <si>
    <t>Instruksi543</t>
  </si>
  <si>
    <t>Output543</t>
  </si>
  <si>
    <t>Waktu543</t>
  </si>
  <si>
    <t>Monitoring543</t>
  </si>
  <si>
    <t>Standar kelulusan543</t>
  </si>
  <si>
    <t>Tugas544</t>
  </si>
  <si>
    <t>Tujuan544</t>
  </si>
  <si>
    <t>Instruksi544</t>
  </si>
  <si>
    <t>Output544</t>
  </si>
  <si>
    <t>Waktu544</t>
  </si>
  <si>
    <t>Monitoring544</t>
  </si>
  <si>
    <t>Standar kelulusan544</t>
  </si>
  <si>
    <t>Tugas545</t>
  </si>
  <si>
    <t>Tujuan545</t>
  </si>
  <si>
    <t>Instruksi545</t>
  </si>
  <si>
    <t>Output545</t>
  </si>
  <si>
    <t>Waktu545</t>
  </si>
  <si>
    <t>Monitoring545</t>
  </si>
  <si>
    <t>Standar kelulusan545</t>
  </si>
  <si>
    <t>Tugas546</t>
  </si>
  <si>
    <t>Tujuan546</t>
  </si>
  <si>
    <t>Instruksi546</t>
  </si>
  <si>
    <t>Output546</t>
  </si>
  <si>
    <t>Waktu546</t>
  </si>
  <si>
    <t>Monitoring546</t>
  </si>
  <si>
    <t>Standar kelulusan546</t>
  </si>
  <si>
    <t>Tugas547</t>
  </si>
  <si>
    <t>Tujuan547</t>
  </si>
  <si>
    <t>Instruksi547</t>
  </si>
  <si>
    <t>Output547</t>
  </si>
  <si>
    <t>Waktu547</t>
  </si>
  <si>
    <t>Monitoring547</t>
  </si>
  <si>
    <t>Standar kelulusan547</t>
  </si>
  <si>
    <t>Tugas548</t>
  </si>
  <si>
    <t>Tujuan548</t>
  </si>
  <si>
    <t>Instruksi548</t>
  </si>
  <si>
    <t>Output548</t>
  </si>
  <si>
    <t>Waktu548</t>
  </si>
  <si>
    <t>Monitoring548</t>
  </si>
  <si>
    <t>Standar kelulusan548</t>
  </si>
  <si>
    <t>Tugas549</t>
  </si>
  <si>
    <t>Tujuan549</t>
  </si>
  <si>
    <t>Instruksi549</t>
  </si>
  <si>
    <t>Output549</t>
  </si>
  <si>
    <t>Waktu549</t>
  </si>
  <si>
    <t>Monitoring549</t>
  </si>
  <si>
    <t>Standar kelulusan549</t>
  </si>
  <si>
    <t>Tugas550</t>
  </si>
  <si>
    <t>Tujuan550</t>
  </si>
  <si>
    <t>Instruksi550</t>
  </si>
  <si>
    <t>Output550</t>
  </si>
  <si>
    <t>Waktu550</t>
  </si>
  <si>
    <t>Monitoring550</t>
  </si>
  <si>
    <t>Standar kelulusan550</t>
  </si>
  <si>
    <t>Tugas551</t>
  </si>
  <si>
    <t>Tujuan551</t>
  </si>
  <si>
    <t>Instruksi551</t>
  </si>
  <si>
    <t>Output551</t>
  </si>
  <si>
    <t>Waktu551</t>
  </si>
  <si>
    <t>Monitoring551</t>
  </si>
  <si>
    <t>Standar kelulusan551</t>
  </si>
  <si>
    <t>Tugas552</t>
  </si>
  <si>
    <t>Tujuan552</t>
  </si>
  <si>
    <t>Instruksi552</t>
  </si>
  <si>
    <t>Output552</t>
  </si>
  <si>
    <t>Waktu552</t>
  </si>
  <si>
    <t>Monitoring552</t>
  </si>
  <si>
    <t>Standar kelulusan552</t>
  </si>
  <si>
    <t>Tugas553</t>
  </si>
  <si>
    <t>Tujuan553</t>
  </si>
  <si>
    <t>Instruksi553</t>
  </si>
  <si>
    <t>Output553</t>
  </si>
  <si>
    <t>Waktu553</t>
  </si>
  <si>
    <t>Monitoring553</t>
  </si>
  <si>
    <t>Standar kelulusan553</t>
  </si>
  <si>
    <t>Tugas554</t>
  </si>
  <si>
    <t>Tujuan554</t>
  </si>
  <si>
    <t>Instruksi554</t>
  </si>
  <si>
    <t>Output554</t>
  </si>
  <si>
    <t>Waktu554</t>
  </si>
  <si>
    <t>Monitoring554</t>
  </si>
  <si>
    <t>Standar kelulusan554</t>
  </si>
  <si>
    <t>Tugas555</t>
  </si>
  <si>
    <t>Tujuan555</t>
  </si>
  <si>
    <t>Instruksi555</t>
  </si>
  <si>
    <t>Output555</t>
  </si>
  <si>
    <t>Waktu555</t>
  </si>
  <si>
    <t>Monitoring555</t>
  </si>
  <si>
    <t>Standar kelulusan555</t>
  </si>
  <si>
    <t>Tugas556</t>
  </si>
  <si>
    <t>Tujuan556</t>
  </si>
  <si>
    <t>Instruksi556</t>
  </si>
  <si>
    <t>Output556</t>
  </si>
  <si>
    <t>Waktu556</t>
  </si>
  <si>
    <t>Monitoring556</t>
  </si>
  <si>
    <t>Standar kelulusan556</t>
  </si>
  <si>
    <t>Tugas557</t>
  </si>
  <si>
    <t>Tujuan557</t>
  </si>
  <si>
    <t>Instruksi557</t>
  </si>
  <si>
    <t>Output557</t>
  </si>
  <si>
    <t>Waktu557</t>
  </si>
  <si>
    <t>Monitoring557</t>
  </si>
  <si>
    <t>Standar kelulusan557</t>
  </si>
  <si>
    <t>Tugas558</t>
  </si>
  <si>
    <t>Tujuan558</t>
  </si>
  <si>
    <t>Instruksi558</t>
  </si>
  <si>
    <t>Output558</t>
  </si>
  <si>
    <t>Waktu558</t>
  </si>
  <si>
    <t>Monitoring558</t>
  </si>
  <si>
    <t>Standar kelulusan558</t>
  </si>
  <si>
    <t>Tugas559</t>
  </si>
  <si>
    <t>Tujuan559</t>
  </si>
  <si>
    <t>Instruksi559</t>
  </si>
  <si>
    <t>Output559</t>
  </si>
  <si>
    <t>Waktu559</t>
  </si>
  <si>
    <t>Monitoring559</t>
  </si>
  <si>
    <t>Standar kelulusan559</t>
  </si>
  <si>
    <t>Tugas560</t>
  </si>
  <si>
    <t>Tujuan560</t>
  </si>
  <si>
    <t>Instruksi560</t>
  </si>
  <si>
    <t>Output560</t>
  </si>
  <si>
    <t>Waktu560</t>
  </si>
  <si>
    <t>Monitoring560</t>
  </si>
  <si>
    <t>Standar kelulusan560</t>
  </si>
  <si>
    <t>Tugas561</t>
  </si>
  <si>
    <t>Tujuan561</t>
  </si>
  <si>
    <t>Instruksi561</t>
  </si>
  <si>
    <t>Output561</t>
  </si>
  <si>
    <t>Waktu561</t>
  </si>
  <si>
    <t>Monitoring561</t>
  </si>
  <si>
    <t>Standar kelulusan561</t>
  </si>
  <si>
    <t>Tugas562</t>
  </si>
  <si>
    <t>Tujuan562</t>
  </si>
  <si>
    <t>Instruksi562</t>
  </si>
  <si>
    <t>Output562</t>
  </si>
  <si>
    <t>Waktu562</t>
  </si>
  <si>
    <t>Monitoring562</t>
  </si>
  <si>
    <t>Standar kelulusan562</t>
  </si>
  <si>
    <t>Tugas563</t>
  </si>
  <si>
    <t>Tujuan563</t>
  </si>
  <si>
    <t>Instruksi563</t>
  </si>
  <si>
    <t>Output563</t>
  </si>
  <si>
    <t>Waktu563</t>
  </si>
  <si>
    <t>Monitoring563</t>
  </si>
  <si>
    <t>Standar kelulusan563</t>
  </si>
  <si>
    <t>Tugas564</t>
  </si>
  <si>
    <t>Tujuan564</t>
  </si>
  <si>
    <t>Instruksi564</t>
  </si>
  <si>
    <t>Output564</t>
  </si>
  <si>
    <t>Waktu564</t>
  </si>
  <si>
    <t>Monitoring564</t>
  </si>
  <si>
    <t>Standar kelulusan564</t>
  </si>
  <si>
    <t>Tugas565</t>
  </si>
  <si>
    <t>Tujuan565</t>
  </si>
  <si>
    <t>Instruksi565</t>
  </si>
  <si>
    <t>Output565</t>
  </si>
  <si>
    <t>Waktu565</t>
  </si>
  <si>
    <t>Monitoring565</t>
  </si>
  <si>
    <t>Standar kelulusan565</t>
  </si>
  <si>
    <t>Tugas566</t>
  </si>
  <si>
    <t>Tujuan566</t>
  </si>
  <si>
    <t>Instruksi566</t>
  </si>
  <si>
    <t>Output566</t>
  </si>
  <si>
    <t>Waktu566</t>
  </si>
  <si>
    <t>Monitoring566</t>
  </si>
  <si>
    <t>Standar kelulusan566</t>
  </si>
  <si>
    <t>Tugas567</t>
  </si>
  <si>
    <t>Tujuan567</t>
  </si>
  <si>
    <t>Instruksi567</t>
  </si>
  <si>
    <t>Output567</t>
  </si>
  <si>
    <t>Waktu567</t>
  </si>
  <si>
    <t>Monitoring567</t>
  </si>
  <si>
    <t>Standar kelulusan567</t>
  </si>
  <si>
    <t>Tugas568</t>
  </si>
  <si>
    <t>Tujuan568</t>
  </si>
  <si>
    <t>Instruksi568</t>
  </si>
  <si>
    <t>Output568</t>
  </si>
  <si>
    <t>Waktu568</t>
  </si>
  <si>
    <t>Monitoring568</t>
  </si>
  <si>
    <t>Standar kelulusan568</t>
  </si>
  <si>
    <t>Tugas569</t>
  </si>
  <si>
    <t>Tujuan569</t>
  </si>
  <si>
    <t>Instruksi569</t>
  </si>
  <si>
    <t>Output569</t>
  </si>
  <si>
    <t>Waktu569</t>
  </si>
  <si>
    <t>Monitoring569</t>
  </si>
  <si>
    <t>Standar kelulusan569</t>
  </si>
  <si>
    <t>Tugas570</t>
  </si>
  <si>
    <t>Tujuan570</t>
  </si>
  <si>
    <t>Instruksi570</t>
  </si>
  <si>
    <t>Output570</t>
  </si>
  <si>
    <t>Waktu570</t>
  </si>
  <si>
    <t>Monitoring570</t>
  </si>
  <si>
    <t>Standar kelulusan570</t>
  </si>
  <si>
    <t>Tugas571</t>
  </si>
  <si>
    <t>Tujuan571</t>
  </si>
  <si>
    <t>Instruksi571</t>
  </si>
  <si>
    <t>Output571</t>
  </si>
  <si>
    <t>Waktu571</t>
  </si>
  <si>
    <t>Monitoring571</t>
  </si>
  <si>
    <t>Standar kelulusan571</t>
  </si>
  <si>
    <t>Tugas572</t>
  </si>
  <si>
    <t>Tujuan572</t>
  </si>
  <si>
    <t>Instruksi572</t>
  </si>
  <si>
    <t>Output572</t>
  </si>
  <si>
    <t>Waktu572</t>
  </si>
  <si>
    <t>Monitoring572</t>
  </si>
  <si>
    <t>Standar kelulusan572</t>
  </si>
  <si>
    <t>Tugas573</t>
  </si>
  <si>
    <t>Tujuan573</t>
  </si>
  <si>
    <t>Instruksi573</t>
  </si>
  <si>
    <t>Output573</t>
  </si>
  <si>
    <t>Waktu573</t>
  </si>
  <si>
    <t>Monitoring573</t>
  </si>
  <si>
    <t>Standar kelulusan573</t>
  </si>
  <si>
    <t>Tugas574</t>
  </si>
  <si>
    <t>Tujuan574</t>
  </si>
  <si>
    <t>Instruksi574</t>
  </si>
  <si>
    <t>Output574</t>
  </si>
  <si>
    <t>Waktu574</t>
  </si>
  <si>
    <t>Monitoring574</t>
  </si>
  <si>
    <t>Standar kelulusan574</t>
  </si>
  <si>
    <t>Tugas575</t>
  </si>
  <si>
    <t>Tujuan575</t>
  </si>
  <si>
    <t>Instruksi575</t>
  </si>
  <si>
    <t>Output575</t>
  </si>
  <si>
    <t>Waktu575</t>
  </si>
  <si>
    <t>Monitoring575</t>
  </si>
  <si>
    <t>Standar kelulusan575</t>
  </si>
  <si>
    <t>Tugas576</t>
  </si>
  <si>
    <t>Tujuan576</t>
  </si>
  <si>
    <t>Instruksi576</t>
  </si>
  <si>
    <t>Output576</t>
  </si>
  <si>
    <t>Waktu576</t>
  </si>
  <si>
    <t>Monitoring576</t>
  </si>
  <si>
    <t>Standar kelulusan576</t>
  </si>
  <si>
    <t>Tugas577</t>
  </si>
  <si>
    <t>Tujuan577</t>
  </si>
  <si>
    <t>Instruksi577</t>
  </si>
  <si>
    <t>Output577</t>
  </si>
  <si>
    <t>Waktu577</t>
  </si>
  <si>
    <t>Monitoring577</t>
  </si>
  <si>
    <t>Standar kelulusan577</t>
  </si>
  <si>
    <t>Tugas578</t>
  </si>
  <si>
    <t>Tujuan578</t>
  </si>
  <si>
    <t>Instruksi578</t>
  </si>
  <si>
    <t>Output578</t>
  </si>
  <si>
    <t>Waktu578</t>
  </si>
  <si>
    <t>Monitoring578</t>
  </si>
  <si>
    <t>Standar kelulusan578</t>
  </si>
  <si>
    <t>Tugas579</t>
  </si>
  <si>
    <t>Tujuan579</t>
  </si>
  <si>
    <t>Instruksi579</t>
  </si>
  <si>
    <t>Output579</t>
  </si>
  <si>
    <t>Waktu579</t>
  </si>
  <si>
    <t>Monitoring579</t>
  </si>
  <si>
    <t>Standar kelulusan579</t>
  </si>
  <si>
    <t>Tugas580</t>
  </si>
  <si>
    <t>Tujuan580</t>
  </si>
  <si>
    <t>Instruksi580</t>
  </si>
  <si>
    <t>Output580</t>
  </si>
  <si>
    <t>Waktu580</t>
  </si>
  <si>
    <t>Monitoring580</t>
  </si>
  <si>
    <t>Standar kelulusan580</t>
  </si>
  <si>
    <t>Tugas581</t>
  </si>
  <si>
    <t>Tujuan581</t>
  </si>
  <si>
    <t>Instruksi581</t>
  </si>
  <si>
    <t>Output581</t>
  </si>
  <si>
    <t>Waktu581</t>
  </si>
  <si>
    <t>Monitoring581</t>
  </si>
  <si>
    <t>Standar kelulusan581</t>
  </si>
  <si>
    <t>Tugas582</t>
  </si>
  <si>
    <t>Tujuan582</t>
  </si>
  <si>
    <t>Instruksi582</t>
  </si>
  <si>
    <t>Output582</t>
  </si>
  <si>
    <t>Waktu582</t>
  </si>
  <si>
    <t>Monitoring582</t>
  </si>
  <si>
    <t>Standar kelulusan582</t>
  </si>
  <si>
    <t>Tugas583</t>
  </si>
  <si>
    <t>Tujuan583</t>
  </si>
  <si>
    <t>Instruksi583</t>
  </si>
  <si>
    <t>Output583</t>
  </si>
  <si>
    <t>Waktu583</t>
  </si>
  <si>
    <t>Monitoring583</t>
  </si>
  <si>
    <t>Standar kelulusan583</t>
  </si>
  <si>
    <t>Tugas584</t>
  </si>
  <si>
    <t>Tujuan584</t>
  </si>
  <si>
    <t>Instruksi584</t>
  </si>
  <si>
    <t>Output584</t>
  </si>
  <si>
    <t>Waktu584</t>
  </si>
  <si>
    <t>Monitoring584</t>
  </si>
  <si>
    <t>Standar kelulusan584</t>
  </si>
  <si>
    <t>Tugas585</t>
  </si>
  <si>
    <t>Tujuan585</t>
  </si>
  <si>
    <t>Instruksi585</t>
  </si>
  <si>
    <t>Output585</t>
  </si>
  <si>
    <t>Waktu585</t>
  </si>
  <si>
    <t>Monitoring585</t>
  </si>
  <si>
    <t>Standar kelulusan585</t>
  </si>
  <si>
    <t>Tugas586</t>
  </si>
  <si>
    <t>Tujuan586</t>
  </si>
  <si>
    <t>Instruksi586</t>
  </si>
  <si>
    <t>Output586</t>
  </si>
  <si>
    <t>Waktu586</t>
  </si>
  <si>
    <t>Monitoring586</t>
  </si>
  <si>
    <t>Standar kelulusan586</t>
  </si>
  <si>
    <t>Tugas587</t>
  </si>
  <si>
    <t>Tujuan587</t>
  </si>
  <si>
    <t>Instruksi587</t>
  </si>
  <si>
    <t>Output587</t>
  </si>
  <si>
    <t>Waktu587</t>
  </si>
  <si>
    <t>Monitoring587</t>
  </si>
  <si>
    <t>Standar kelulusan587</t>
  </si>
  <si>
    <t>Tugas588</t>
  </si>
  <si>
    <t>Tujuan588</t>
  </si>
  <si>
    <t>Instruksi588</t>
  </si>
  <si>
    <t>Output588</t>
  </si>
  <si>
    <t>Waktu588</t>
  </si>
  <si>
    <t>Monitoring588</t>
  </si>
  <si>
    <t>Standar kelulusan588</t>
  </si>
  <si>
    <t>Tugas589</t>
  </si>
  <si>
    <t>Tujuan589</t>
  </si>
  <si>
    <t>Instruksi589</t>
  </si>
  <si>
    <t>Output589</t>
  </si>
  <si>
    <t>Waktu589</t>
  </si>
  <si>
    <t>Monitoring589</t>
  </si>
  <si>
    <t>Standar kelulusan589</t>
  </si>
  <si>
    <t>Tugas590</t>
  </si>
  <si>
    <t>Tujuan590</t>
  </si>
  <si>
    <t>Instruksi590</t>
  </si>
  <si>
    <t>Output590</t>
  </si>
  <si>
    <t>Waktu590</t>
  </si>
  <si>
    <t>Monitoring590</t>
  </si>
  <si>
    <t>Standar kelulusan590</t>
  </si>
  <si>
    <t>Tugas591</t>
  </si>
  <si>
    <t>Tujuan591</t>
  </si>
  <si>
    <t>Instruksi591</t>
  </si>
  <si>
    <t>Output591</t>
  </si>
  <si>
    <t>Waktu591</t>
  </si>
  <si>
    <t>Monitoring591</t>
  </si>
  <si>
    <t>Standar kelulusan591</t>
  </si>
  <si>
    <t>Tugas592</t>
  </si>
  <si>
    <t>Tujuan592</t>
  </si>
  <si>
    <t>Instruksi592</t>
  </si>
  <si>
    <t>Output592</t>
  </si>
  <si>
    <t>Waktu592</t>
  </si>
  <si>
    <t>Monitoring592</t>
  </si>
  <si>
    <t>Standar kelulusan592</t>
  </si>
  <si>
    <t>Tugas593</t>
  </si>
  <si>
    <t>Tujuan593</t>
  </si>
  <si>
    <t>Instruksi593</t>
  </si>
  <si>
    <t>Output593</t>
  </si>
  <si>
    <t>Waktu593</t>
  </si>
  <si>
    <t>Monitoring593</t>
  </si>
  <si>
    <t>Standar kelulusan593</t>
  </si>
  <si>
    <t>Tugas594</t>
  </si>
  <si>
    <t>Tujuan594</t>
  </si>
  <si>
    <t>Instruksi594</t>
  </si>
  <si>
    <t>Output594</t>
  </si>
  <si>
    <t>Waktu594</t>
  </si>
  <si>
    <t>Monitoring594</t>
  </si>
  <si>
    <t>Standar kelulusan594</t>
  </si>
  <si>
    <t>Tugas595</t>
  </si>
  <si>
    <t>Tujuan595</t>
  </si>
  <si>
    <t>Instruksi595</t>
  </si>
  <si>
    <t>Output595</t>
  </si>
  <si>
    <t>Waktu595</t>
  </si>
  <si>
    <t>Monitoring595</t>
  </si>
  <si>
    <t>Standar kelulusan595</t>
  </si>
  <si>
    <t>Tugas596</t>
  </si>
  <si>
    <t>Tujuan596</t>
  </si>
  <si>
    <t>Instruksi596</t>
  </si>
  <si>
    <t>Output596</t>
  </si>
  <si>
    <t>Waktu596</t>
  </si>
  <si>
    <t>Monitoring596</t>
  </si>
  <si>
    <t>Standar kelulusan596</t>
  </si>
  <si>
    <t>Tugas597</t>
  </si>
  <si>
    <t>Tujuan597</t>
  </si>
  <si>
    <t>Instruksi597</t>
  </si>
  <si>
    <t>Output597</t>
  </si>
  <si>
    <t>Waktu597</t>
  </si>
  <si>
    <t>Monitoring597</t>
  </si>
  <si>
    <t>Standar kelulusan597</t>
  </si>
  <si>
    <t>Tugas598</t>
  </si>
  <si>
    <t>Tujuan598</t>
  </si>
  <si>
    <t>Instruksi598</t>
  </si>
  <si>
    <t>Output598</t>
  </si>
  <si>
    <t>Waktu598</t>
  </si>
  <si>
    <t>Monitoring598</t>
  </si>
  <si>
    <t>Standar kelulusan598</t>
  </si>
  <si>
    <t>Tugas599</t>
  </si>
  <si>
    <t>Tujuan599</t>
  </si>
  <si>
    <t>Instruksi599</t>
  </si>
  <si>
    <t>Output599</t>
  </si>
  <si>
    <t>Waktu599</t>
  </si>
  <si>
    <t>Monitoring599</t>
  </si>
  <si>
    <t>Standar kelulusan599</t>
  </si>
  <si>
    <t>Tugas600</t>
  </si>
  <si>
    <t>Tujuan600</t>
  </si>
  <si>
    <t>Instruksi600</t>
  </si>
  <si>
    <t>Output600</t>
  </si>
  <si>
    <t>Waktu600</t>
  </si>
  <si>
    <t>Monitoring600</t>
  </si>
  <si>
    <t>Standar kelulusan600</t>
  </si>
  <si>
    <t>Tugas601</t>
  </si>
  <si>
    <t>Tujuan601</t>
  </si>
  <si>
    <t>Instruksi601</t>
  </si>
  <si>
    <t>Output601</t>
  </si>
  <si>
    <t>Waktu601</t>
  </si>
  <si>
    <t>Monitoring601</t>
  </si>
  <si>
    <t>Standar kelulusan601</t>
  </si>
  <si>
    <t>Tugas602</t>
  </si>
  <si>
    <t>Tujuan602</t>
  </si>
  <si>
    <t>Instruksi602</t>
  </si>
  <si>
    <t>Output602</t>
  </si>
  <si>
    <t>Waktu602</t>
  </si>
  <si>
    <t>Monitoring602</t>
  </si>
  <si>
    <t>Standar kelulusan602</t>
  </si>
  <si>
    <t>Tugas603</t>
  </si>
  <si>
    <t>Tujuan603</t>
  </si>
  <si>
    <t>Instruksi603</t>
  </si>
  <si>
    <t>Output603</t>
  </si>
  <si>
    <t>Waktu603</t>
  </si>
  <si>
    <t>Monitoring603</t>
  </si>
  <si>
    <t>Standar kelulusan603</t>
  </si>
  <si>
    <t>Tugas604</t>
  </si>
  <si>
    <t>Tujuan604</t>
  </si>
  <si>
    <t>Instruksi604</t>
  </si>
  <si>
    <t>Output604</t>
  </si>
  <si>
    <t>Waktu604</t>
  </si>
  <si>
    <t>Monitoring604</t>
  </si>
  <si>
    <t>Standar kelulusan604</t>
  </si>
  <si>
    <t>Tugas605</t>
  </si>
  <si>
    <t>Tujuan605</t>
  </si>
  <si>
    <t>Instruksi605</t>
  </si>
  <si>
    <t>Output605</t>
  </si>
  <si>
    <t>Waktu605</t>
  </si>
  <si>
    <t>Monitoring605</t>
  </si>
  <si>
    <t>Standar kelulusan605</t>
  </si>
  <si>
    <t>Tugas606</t>
  </si>
  <si>
    <t>Tujuan606</t>
  </si>
  <si>
    <t>Instruksi606</t>
  </si>
  <si>
    <t>Output606</t>
  </si>
  <si>
    <t>Waktu606</t>
  </si>
  <si>
    <t>Monitoring606</t>
  </si>
  <si>
    <t>Standar kelulusan606</t>
  </si>
  <si>
    <t>Tugas607</t>
  </si>
  <si>
    <t>Tujuan607</t>
  </si>
  <si>
    <t>Instruksi607</t>
  </si>
  <si>
    <t>Output607</t>
  </si>
  <si>
    <t>Waktu607</t>
  </si>
  <si>
    <t>Monitoring607</t>
  </si>
  <si>
    <t>Standar kelulusan607</t>
  </si>
  <si>
    <t>Tugas608</t>
  </si>
  <si>
    <t>Tujuan608</t>
  </si>
  <si>
    <t>Instruksi608</t>
  </si>
  <si>
    <t>Output608</t>
  </si>
  <si>
    <t>Waktu608</t>
  </si>
  <si>
    <t>Monitoring608</t>
  </si>
  <si>
    <t>Standar kelulusan608</t>
  </si>
  <si>
    <t>Tugas609</t>
  </si>
  <si>
    <t>Tujuan609</t>
  </si>
  <si>
    <t>Instruksi609</t>
  </si>
  <si>
    <t>Output609</t>
  </si>
  <si>
    <t>Waktu609</t>
  </si>
  <si>
    <t>Monitoring609</t>
  </si>
  <si>
    <t>Standar kelulusan609</t>
  </si>
  <si>
    <t>Tugas610</t>
  </si>
  <si>
    <t>Tujuan610</t>
  </si>
  <si>
    <t>Instruksi610</t>
  </si>
  <si>
    <t>Output610</t>
  </si>
  <si>
    <t>Waktu610</t>
  </si>
  <si>
    <t>Monitoring610</t>
  </si>
  <si>
    <t>Standar kelulusan610</t>
  </si>
  <si>
    <t>Tugas611</t>
  </si>
  <si>
    <t>Tujuan611</t>
  </si>
  <si>
    <t>Instruksi611</t>
  </si>
  <si>
    <t>Output611</t>
  </si>
  <si>
    <t>Waktu611</t>
  </si>
  <si>
    <t>Monitoring611</t>
  </si>
  <si>
    <t>Standar kelulusan611</t>
  </si>
  <si>
    <t>Tugas612</t>
  </si>
  <si>
    <t>Tujuan612</t>
  </si>
  <si>
    <t>Instruksi612</t>
  </si>
  <si>
    <t>Output612</t>
  </si>
  <si>
    <t>Waktu612</t>
  </si>
  <si>
    <t>Monitoring612</t>
  </si>
  <si>
    <t>Standar kelulusan612</t>
  </si>
  <si>
    <t>Tugas613</t>
  </si>
  <si>
    <t>Tujuan613</t>
  </si>
  <si>
    <t>Instruksi613</t>
  </si>
  <si>
    <t>Output613</t>
  </si>
  <si>
    <t>Waktu613</t>
  </si>
  <si>
    <t>Monitoring613</t>
  </si>
  <si>
    <t>Standar kelulusan613</t>
  </si>
  <si>
    <t>Tugas614</t>
  </si>
  <si>
    <t>Tujuan614</t>
  </si>
  <si>
    <t>Instruksi614</t>
  </si>
  <si>
    <t>Output614</t>
  </si>
  <si>
    <t>Waktu614</t>
  </si>
  <si>
    <t>Monitoring614</t>
  </si>
  <si>
    <t>Standar kelulusan614</t>
  </si>
  <si>
    <t>Tugas615</t>
  </si>
  <si>
    <t>Tujuan615</t>
  </si>
  <si>
    <t>Instruksi615</t>
  </si>
  <si>
    <t>Output615</t>
  </si>
  <si>
    <t>Waktu615</t>
  </si>
  <si>
    <t>Monitoring615</t>
  </si>
  <si>
    <t>Standar kelulusan615</t>
  </si>
  <si>
    <t>Tugas616</t>
  </si>
  <si>
    <t>Tujuan616</t>
  </si>
  <si>
    <t>Instruksi616</t>
  </si>
  <si>
    <t>Output616</t>
  </si>
  <si>
    <t>Waktu616</t>
  </si>
  <si>
    <t>Monitoring616</t>
  </si>
  <si>
    <t>Standar kelulusan616</t>
  </si>
  <si>
    <t>Tugas617</t>
  </si>
  <si>
    <t>Tujuan617</t>
  </si>
  <si>
    <t>Instruksi617</t>
  </si>
  <si>
    <t>Output617</t>
  </si>
  <si>
    <t>Waktu617</t>
  </si>
  <si>
    <t>Monitoring617</t>
  </si>
  <si>
    <t>Standar kelulusan617</t>
  </si>
  <si>
    <t>Tugas618</t>
  </si>
  <si>
    <t>Tujuan618</t>
  </si>
  <si>
    <t>Instruksi618</t>
  </si>
  <si>
    <t>Output618</t>
  </si>
  <si>
    <t>Waktu618</t>
  </si>
  <si>
    <t>Monitoring618</t>
  </si>
  <si>
    <t>Standar kelulusan618</t>
  </si>
  <si>
    <t>Tugas619</t>
  </si>
  <si>
    <t>Tujuan619</t>
  </si>
  <si>
    <t>Instruksi619</t>
  </si>
  <si>
    <t>Output619</t>
  </si>
  <si>
    <t>Waktu619</t>
  </si>
  <si>
    <t>Monitoring619</t>
  </si>
  <si>
    <t>Standar kelulusan619</t>
  </si>
  <si>
    <t>Tugas620</t>
  </si>
  <si>
    <t>Tujuan620</t>
  </si>
  <si>
    <t>Instruksi620</t>
  </si>
  <si>
    <t>Output620</t>
  </si>
  <si>
    <t>Waktu620</t>
  </si>
  <si>
    <t>Monitoring620</t>
  </si>
  <si>
    <t>Standar kelulusan620</t>
  </si>
  <si>
    <t>Tugas621</t>
  </si>
  <si>
    <t>Tujuan621</t>
  </si>
  <si>
    <t>Instruksi621</t>
  </si>
  <si>
    <t>Output621</t>
  </si>
  <si>
    <t>Waktu621</t>
  </si>
  <si>
    <t>Monitoring621</t>
  </si>
  <si>
    <t>Standar kelulusan621</t>
  </si>
  <si>
    <t>Tugas622</t>
  </si>
  <si>
    <t>Tujuan622</t>
  </si>
  <si>
    <t>Instruksi622</t>
  </si>
  <si>
    <t>Output622</t>
  </si>
  <si>
    <t>Waktu622</t>
  </si>
  <si>
    <t>Monitoring622</t>
  </si>
  <si>
    <t>Standar kelulusan622</t>
  </si>
  <si>
    <t>Tugas623</t>
  </si>
  <si>
    <t>Tujuan623</t>
  </si>
  <si>
    <t>Instruksi623</t>
  </si>
  <si>
    <t>Output623</t>
  </si>
  <si>
    <t>Waktu623</t>
  </si>
  <si>
    <t>Monitoring623</t>
  </si>
  <si>
    <t>Standar kelulusan623</t>
  </si>
  <si>
    <t>Tugas624</t>
  </si>
  <si>
    <t>Tujuan624</t>
  </si>
  <si>
    <t>Instruksi624</t>
  </si>
  <si>
    <t>Output624</t>
  </si>
  <si>
    <t>Waktu624</t>
  </si>
  <si>
    <t>Monitoring624</t>
  </si>
  <si>
    <t>Standar kelulusan624</t>
  </si>
  <si>
    <t>Tugas625</t>
  </si>
  <si>
    <t>Tujuan625</t>
  </si>
  <si>
    <t>Instruksi625</t>
  </si>
  <si>
    <t>Output625</t>
  </si>
  <si>
    <t>Waktu625</t>
  </si>
  <si>
    <t>Monitoring625</t>
  </si>
  <si>
    <t>Standar kelulusan625</t>
  </si>
  <si>
    <t>Tugas626</t>
  </si>
  <si>
    <t>Tujuan626</t>
  </si>
  <si>
    <t>Instruksi626</t>
  </si>
  <si>
    <t>Output626</t>
  </si>
  <si>
    <t>Waktu626</t>
  </si>
  <si>
    <t>Monitoring626</t>
  </si>
  <si>
    <t>Standar kelulusan626</t>
  </si>
  <si>
    <t>Tugas627</t>
  </si>
  <si>
    <t>Tujuan627</t>
  </si>
  <si>
    <t>Instruksi627</t>
  </si>
  <si>
    <t>Output627</t>
  </si>
  <si>
    <t>Waktu627</t>
  </si>
  <si>
    <t>Monitoring627</t>
  </si>
  <si>
    <t>Standar kelulusan627</t>
  </si>
  <si>
    <t>Tugas628</t>
  </si>
  <si>
    <t>Tujuan628</t>
  </si>
  <si>
    <t>Instruksi628</t>
  </si>
  <si>
    <t>Output628</t>
  </si>
  <si>
    <t>Waktu628</t>
  </si>
  <si>
    <t>Monitoring628</t>
  </si>
  <si>
    <t>Standar kelulusan628</t>
  </si>
  <si>
    <t>Tugas629</t>
  </si>
  <si>
    <t>Tujuan629</t>
  </si>
  <si>
    <t>Instruksi629</t>
  </si>
  <si>
    <t>Output629</t>
  </si>
  <si>
    <t>Waktu629</t>
  </si>
  <si>
    <t>Monitoring629</t>
  </si>
  <si>
    <t>Standar kelulusan629</t>
  </si>
  <si>
    <t>Tugas630</t>
  </si>
  <si>
    <t>Tujuan630</t>
  </si>
  <si>
    <t>Instruksi630</t>
  </si>
  <si>
    <t>Output630</t>
  </si>
  <si>
    <t>Waktu630</t>
  </si>
  <si>
    <t>Monitoring630</t>
  </si>
  <si>
    <t>Standar kelulusan630</t>
  </si>
  <si>
    <t>Tugas631</t>
  </si>
  <si>
    <t>Tujuan631</t>
  </si>
  <si>
    <t>Instruksi631</t>
  </si>
  <si>
    <t>Output631</t>
  </si>
  <si>
    <t>Waktu631</t>
  </si>
  <si>
    <t>Monitoring631</t>
  </si>
  <si>
    <t>Standar kelulusan631</t>
  </si>
  <si>
    <t>Tugas632</t>
  </si>
  <si>
    <t>Tujuan632</t>
  </si>
  <si>
    <t>Instruksi632</t>
  </si>
  <si>
    <t>Output632</t>
  </si>
  <si>
    <t>Waktu632</t>
  </si>
  <si>
    <t>Monitoring632</t>
  </si>
  <si>
    <t>Standar kelulusan632</t>
  </si>
  <si>
    <t>Tugas633</t>
  </si>
  <si>
    <t>Tujuan633</t>
  </si>
  <si>
    <t>Instruksi633</t>
  </si>
  <si>
    <t>Output633</t>
  </si>
  <si>
    <t>Waktu633</t>
  </si>
  <si>
    <t>Monitoring633</t>
  </si>
  <si>
    <t>Standar kelulusan633</t>
  </si>
  <si>
    <t>Tugas634</t>
  </si>
  <si>
    <t>Tujuan634</t>
  </si>
  <si>
    <t>Instruksi634</t>
  </si>
  <si>
    <t>Output634</t>
  </si>
  <si>
    <t>Waktu634</t>
  </si>
  <si>
    <t>Monitoring634</t>
  </si>
  <si>
    <t>Standar kelulusan634</t>
  </si>
  <si>
    <t>Tugas635</t>
  </si>
  <si>
    <t>Tujuan635</t>
  </si>
  <si>
    <t>Instruksi635</t>
  </si>
  <si>
    <t>Output635</t>
  </si>
  <si>
    <t>Waktu635</t>
  </si>
  <si>
    <t>Monitoring635</t>
  </si>
  <si>
    <t>Standar kelulusan635</t>
  </si>
  <si>
    <t>Tugas636</t>
  </si>
  <si>
    <t>Tujuan636</t>
  </si>
  <si>
    <t>Instruksi636</t>
  </si>
  <si>
    <t>Output636</t>
  </si>
  <si>
    <t>Waktu636</t>
  </si>
  <si>
    <t>Monitoring636</t>
  </si>
  <si>
    <t>Standar kelulusan636</t>
  </si>
  <si>
    <t>Dashboard Penilaian Hasil Pengembangan Talenta</t>
  </si>
  <si>
    <t>Jabatan/Level saat ini</t>
  </si>
  <si>
    <t>Jabatan/Level tujuan</t>
  </si>
  <si>
    <t>Unit Head</t>
  </si>
  <si>
    <t>Periode</t>
  </si>
  <si>
    <t>Juli 2026 - Juli 2027</t>
  </si>
  <si>
    <t>Desember 2026</t>
  </si>
  <si>
    <t>Juli 2027</t>
  </si>
  <si>
    <t>Aktivitas Pengembangan</t>
  </si>
  <si>
    <t>Bobot</t>
  </si>
  <si>
    <t>Skor Rata - rata
Bukti Aktivitas Pengembangan</t>
  </si>
  <si>
    <t>Nilai Tertimbang Aktivitas</t>
  </si>
  <si>
    <t>Catatan</t>
  </si>
  <si>
    <t>Relation-Based Development</t>
  </si>
  <si>
    <t>Nilai akhir Aktivitas Pengembangan</t>
  </si>
  <si>
    <t>Ringkasan Kriteria Keberhasilan</t>
  </si>
  <si>
    <t>Kriteria</t>
  </si>
  <si>
    <t>Standar</t>
  </si>
  <si>
    <t>Hasil</t>
  </si>
  <si>
    <t>Status</t>
  </si>
  <si>
    <t>Skor Aktivitas Pengembangan</t>
  </si>
  <si>
    <t>≥4</t>
  </si>
  <si>
    <t>Skor Penilaian Perilaku</t>
  </si>
  <si>
    <t>Skor Penilaian Presentasi</t>
  </si>
  <si>
    <t>Nilai akhir development</t>
  </si>
  <si>
    <t>Rekomendasi</t>
  </si>
  <si>
    <t>Lulus Pengembangan /
Perlu penguatan Lanjutan</t>
  </si>
  <si>
    <t>Lanjut/Perlu penguatan Lanjutan</t>
  </si>
  <si>
    <t>Daftar Aktivitas Pengembangan Talenta</t>
  </si>
  <si>
    <t>Tanggal Penilaian 1</t>
  </si>
  <si>
    <t>Tanggal Penilaian 2</t>
  </si>
  <si>
    <t>Metode Pengembangan</t>
  </si>
  <si>
    <t>Aktivitas</t>
  </si>
  <si>
    <t>Deskripsi Aktivitas</t>
  </si>
  <si>
    <t>Output/Bukti</t>
  </si>
  <si>
    <t>Timeline</t>
  </si>
  <si>
    <t>Frekuensi</t>
  </si>
  <si>
    <t>KPI/Standar Keberhasilan</t>
  </si>
  <si>
    <t>Catatan Evaluator</t>
  </si>
  <si>
    <t>Rubroik Penilaian Bukti Aktivitas Pengembangan Talenta</t>
  </si>
  <si>
    <t>Bukti</t>
  </si>
  <si>
    <t>Evaluator</t>
  </si>
  <si>
    <t>target</t>
  </si>
  <si>
    <t>aktual</t>
  </si>
  <si>
    <t>%</t>
  </si>
  <si>
    <t>Skor</t>
  </si>
  <si>
    <t>Melakukan analisa dampak perubahan terhadap pekerjaan dan unit kerja</t>
  </si>
  <si>
    <t>Meningkatkan kemampuan memahami dampak perubahan dan kebutuhan adaptasi</t>
  </si>
  <si>
    <t>Talent memilih satu perubahan yang terjadi di organisasi/unit kerja, kemudian mengidentifikasi alasan perubahan, dampak terhadap pekerjaan, tantangan adaptasi, serta tindakan yang perlu dilakukan</t>
  </si>
  <si>
    <t>Change Impact Analysis Document (minimal 1, maksimal 3)</t>
  </si>
  <si>
    <t>Bulanan</t>
  </si>
  <si>
    <t>Mampu menjelaskan minimal 3 dampak perubahan terhadap pekerjaan dan menyusun langkah adaptasi yang relevan</t>
  </si>
  <si>
    <t>1. Change Impact Analysis Document berisi: (a) perubahan yang dianalisis, (b) alasan perubahan, (c) minimal 3 dampak terhadap pekerjaan/unit, (d) tantangan adaptasi, (e) langkah adaptasi yang direncanakan (minimal 3).</t>
  </si>
  <si>
    <t>Atasan</t>
  </si>
  <si>
    <t>Belum Mulai</t>
  </si>
  <si>
    <t>contoh</t>
  </si>
  <si>
    <t>2. Review atasan menilai ketajaman identifikasi dampak dan relevansi langkah adaptasi (skala 1–4, target ≥3).</t>
  </si>
  <si>
    <t>Menyusun rencana peningkatan kemampuan adaptasi pribadi</t>
  </si>
  <si>
    <t>Meningkatkan awareness terhadap perilaku yang mendukung perubahan</t>
  </si>
  <si>
    <t>Talent melakukan refleksi terhadap respon ketika menghadapi perubahan dan menyusun rencana perbaikan perilaku</t>
  </si>
  <si>
    <t>Individual Adaptability Plan (minimal 1 dokumen)</t>
  </si>
  <si>
    <t>Memiliki minimal 2 area pengembangan dan action plan adaptasi</t>
  </si>
  <si>
    <t>1. Individual Adaptability Plan berisi: (a) refleksi respon terhadap perubahan (kekuatan dan kelemahan), (b) minimal 2 area pengembangan adaptasi, (c) action plan untuk setiap area (langkah, timeline, indikator keberhasilan).</t>
  </si>
  <si>
    <t>Mentor</t>
  </si>
  <si>
    <t>2. Feedback mentor terhadap rencana, menilai kejujuran refleksi dan kelayakan action plan (skala 1–4, target ≥3).</t>
  </si>
  <si>
    <t>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t>
  </si>
  <si>
    <t>Jurnal pembelajaran mingguan dan daftar corrective action. (minimal 8 entri, maksimal 20 entri/bulan)</t>
  </si>
  <si>
    <t>1. Jurnal mingguan minimal 8 entri. Setiap entri: (a) keberhasilan &amp; kegagalan, (b) faktor penyebab, (c) pelajaran &amp; hal yang perlu diperbaiki, (d) corrective action yang ditetapkan, (e) hasil review penerapan minggu berikutnya. 2. Review atasan bahwa ≥80% corrective action telah diterapkan dan menunjukkan perbaikan (skala 1–4, target ≥3).</t>
  </si>
  <si>
    <t>Mengikuti pelatihan Change Management dan Adaptive Mindset</t>
  </si>
  <si>
    <t>Memahami konsep pengelolaan perubahan dan faktor keberhasilan perubahan</t>
  </si>
  <si>
    <t>Talent mengikuti training mengenai tahapan perubahan, faktor resistensi, dan strategi adaptasi perubahan</t>
  </si>
  <si>
    <t>Training Assessment Result (1 kali)</t>
  </si>
  <si>
    <t>Nilai assessment minimal 80%</t>
  </si>
  <si>
    <t>1. Sertifikat pelatihan/kursus dari lembaga resmi.</t>
  </si>
  <si>
    <t>HC</t>
  </si>
  <si>
    <t>2. Lembar hasil assessment dengan nilai ≥80 yang dinilai fasilitator.</t>
  </si>
  <si>
    <t>Fasilitator</t>
  </si>
  <si>
    <t>Menganalisa studi kasus perubahan organisasi</t>
  </si>
  <si>
    <t>Mengembangkan kemampuan memahami penyebab dan dampak perubahan</t>
  </si>
  <si>
    <t>Talent menganalisa kasus perubahan organisasi, mengidentifikasi tantangan, resistensi, dan strategi adaptasi</t>
  </si>
  <si>
    <t>Change Case Analysis Report (maksimal 3 laporan)</t>
  </si>
  <si>
    <t>Mampu mengidentifikasi faktor pendukung dan hambatan perubahan</t>
  </si>
  <si>
    <t>1. Change Case Analysis Report berisi: (a) deskripsi kasus, (b) faktor pendukung (minimal 2), (c) hambatan/resistensi (minimal 2), (d) strategi adaptasi yang dilakukan, (e) pelajaran untuk konteks talent.</t>
  </si>
  <si>
    <t>2. Feedback atasan per laporan (skala 1–4, target ≥3) pada aspek ketepatan identifikasi faktor dan relevansi pelajaran.</t>
  </si>
  <si>
    <t>Talent mengikuti workshop Root Cause Analysis, mempelajari metode 5 Why dan Fishbone Diagram, dan menyusun rencana tindakan perbaikan untuk satu kasus nyata di area kerja.</t>
  </si>
  <si>
    <t>Action plan perbaikan dan analisis akar masalah. (1 dokumen)</t>
  </si>
  <si>
    <t>1. Action plan untuk satu kasus nyata yang mencakup: (a) akar masalah (dari 5 Why/Fishbone), (b) solusi, (c) PIC, (d) target implementasi. 2. Review atasan bahwa action plan lengkap dan realistis (skala 1–4, target ≥3).</t>
  </si>
  <si>
    <t>Berdiskusi dengan leader mengenai pengalaman menghadapi perubahan</t>
  </si>
  <si>
    <t>Memperluas perspektif mengenai cara menghadapi perubahan</t>
  </si>
  <si>
    <t>Talent melakukan diskusi dengan atasan mengenai pengalaman perubahan besar, tantangan, dan cara mengatasinya</t>
  </si>
  <si>
    <t>Change Learning Note (minimal 2 sesi)</t>
  </si>
  <si>
    <t>Mampu mengambil minimal 3 insight dari pengalaman orang lain</t>
  </si>
  <si>
    <t>1. Change Learning Note dari 2 sesi. Setiap catatan berisi: (a) leader yang diajak diskusi, (b) topik perubahan, (c) insight yang diperoleh (minimal 2 per sesi, total 3), (d) rencana penerapan.</t>
  </si>
  <si>
    <t>2. Validasi atasan bahwa insight relevan dan dapat diterapkan (skala 1–4, target ≥3).</t>
  </si>
  <si>
    <t>Meminta feedback terkait kemampuan adaptasi terhadap perubahan</t>
  </si>
  <si>
    <t>Meningkatkan self awareness dalam menghadapi perubahan</t>
  </si>
  <si>
    <t>Talent meminta feedback dari atasan dan stakeholder terkait respon terhadap perubahan</t>
  </si>
  <si>
    <t>Adaptability Feedback Summary (minimal 1 kali)</t>
  </si>
  <si>
    <t>Mengidentifikasi area improvement dan tindak lanjut perbaikan</t>
  </si>
  <si>
    <t>1. Adaptability Feedback Summary berisi: (a) pemberi feedback (minimal 2 orang: atasan + 1 stakeholder), (b) ringkasan feedback, (c) area improvement (minimal 2), (d) rencana tindak lanjut.</t>
  </si>
  <si>
    <t>2. Tanda tangan/validasi pemberi feedback bahwa feedback telah diberikan dan rencana tindak lanjut disetujui.</t>
  </si>
  <si>
    <t>Atasan/Stakeholder</t>
  </si>
  <si>
    <t>Talent memilih satu pekerjaan atau proyek yang telah selesai, menjadwalkan diskusi dengan atasan atau mentor, membahas target, hasil aktual, faktor pendukung, hambatan, dan area perbaikan, mencatat minimal tiga pembelajaran, dan menyusun rencana tindakan perbaikan.</t>
  </si>
  <si>
    <t>Dokumen After Action Review (AAR) dan action plan perbaikan. (minimal 2 sesi)</t>
  </si>
  <si>
    <t>1. Dokumen AAR setiap sesi berisi: (a) target vs hasil aktual, (b) faktor pendukung &amp; hambatan, (c) minimal 3 pembelajaran, (d) minimal 2 tindakan perbaikan yang disetujui. 2. Validasi atasan/mentor bahwa AAR mendalam dan action plan disetujui (skala 1–4, target ≥3).</t>
  </si>
  <si>
    <t>Atasan/Mentor</t>
  </si>
  <si>
    <t>Menginisiasi perbaikan kecil akibat perubahan proses kerja</t>
  </si>
  <si>
    <t>Mengembangkan mindset bahwa perubahan dapat menjadi peluang improvement</t>
  </si>
  <si>
    <t>Talent mengidentifikasi satu peluang perbaikan dan menjalankan improvement sederhana</t>
  </si>
  <si>
    <t>Improvement Initiative Report (minimal 1 laporan)</t>
  </si>
  <si>
    <t>Memberikan kontribusi nyata terhadap peningkatan proses kerja</t>
  </si>
  <si>
    <t>1. Improvement Initiative Report berisi: (a) peluang perbaikan yang diidentifikasi, (b) usulan perbaikan, (c) langkah implementasi, (d) hasil (sebelum-sesudah), (e) dampak terhadap efektivitas/kualitas kerja.</t>
  </si>
  <si>
    <t>2. Validasi atasan bahwa kontribusi nyata dan berdampak positif (skala 1–4, target ≥3).</t>
  </si>
  <si>
    <t>Menyusun "Personal Change Resilience Portfolio" dan mempresentasikannya kepada atasan (menggantikan assessment formal)</t>
  </si>
  <si>
    <t>Mengintegrasikan seluruh kemampuan adaptasi: analisis dampak, adaptasi metode kerja, perbaikan proses, dan pembelajaran dari pengalaman, menjadi portofolio yang membuktikan kemampuan menyesuaikan diri dan tetap produktif di bawah tekanan perubahan</t>
  </si>
  <si>
    <t>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t>
  </si>
  <si>
    <t>Personal Change Resilience Portfolio (1 dokumen + presentasi singkat)</t>
  </si>
  <si>
    <t>Portofolio menunjukkan pemahaman dampak perubahan, bukti adaptasi dan ketahanan, serta rencana pengembangan adaptasi yang jelas. Atasan menilai dengan skor ≥3.</t>
  </si>
  <si>
    <t>1. Personal Change Resilience Portfolio (5–10 halaman) berisi: (a) ringkasan perubahan yang dihadapi, (b) analisis dampak dan adaptasi yang dilakukan, (c) bukti hasil kerja tetap optimal di bawah tekanan, (d) kontribusi pada improvement, (e) pembelajaran dan rencana pengembangan adaptasi 12 bulan ke depan.</t>
  </si>
  <si>
    <t>2. Presentasi singkat (5–10 menit) kepada atasan, mencakup poin-poin utama portofolio dan refleksi pribadi.</t>
  </si>
  <si>
    <t>Rubrik Penilaian Perilaku</t>
  </si>
  <si>
    <t>Periode Penilaian</t>
  </si>
  <si>
    <t>Learning Model</t>
  </si>
  <si>
    <t>Aktivitas Pendukung</t>
  </si>
  <si>
    <t>Fokus</t>
  </si>
  <si>
    <t>Panduan Pertanyaan</t>
  </si>
  <si>
    <t>Respon</t>
  </si>
  <si>
    <t>Catatan evaluator</t>
  </si>
  <si>
    <t>Key Behavior</t>
  </si>
  <si>
    <t>Skor 1
Belum Tampak</t>
  </si>
  <si>
    <t>Skor 2
Mulai Tampak</t>
  </si>
  <si>
    <t>Skor 3
sesuai level saat ini</t>
  </si>
  <si>
    <t>Skor 4
sesuai target level</t>
  </si>
  <si>
    <t>Skor 5
melampui target / menunjukan kesiapan ke level berikutnya</t>
  </si>
  <si>
    <t>Skor 
Panelis 1</t>
  </si>
  <si>
    <t>Skor 
Panelis 2</t>
  </si>
  <si>
    <t>Skor 
Panelis 3</t>
  </si>
  <si>
    <t>Skor 
rata rata</t>
  </si>
  <si>
    <t>Change Impact Analysis - New Ways of Working Review - Individual Adaptability Plan</t>
  </si>
  <si>
    <t>Menganalisis dampak perubahan, mempelajari metode baru, dan merencanakan adaptasi pribadi</t>
  </si>
  <si>
    <t>1. Bagaimana Anda mengidentifikasi dampak perubahan terhadap pekerjaan dan unit Anda?</t>
  </si>
  <si>
    <t>Menunjukkan kemampuan menganalisis dampak perubahan secara konkret, proaktif mempelajari cara kerja baru, dan menyusun rencana adaptasi pribadi yang spesifik berdasarkan refleksi kekuatan dan kelemahan diri.</t>
  </si>
  <si>
    <t>Tidak menunjukkan kepedulian atau pemahaman terhadap dampak perubahan yang terjadi. Bersikap menolak terhadap metode kerja baru dan sama sekali tidak memiliki rencana untuk menyesuaikan diri.</t>
  </si>
  <si>
    <t>Mulai menyadari bahwa perubahan membawa dampak, namun analisis yang dilakukan masih sangat dangkal dan belum mendalam. Mulai mencoba metode baru meskipun dengan rasa enggan dan belum konsisten. Rencana adaptasi yang dibuat masih bersifat sangat umum dan belum terarah.</t>
  </si>
  <si>
    <t>Cukup mampu menjelaskan beberapa dampak perubahan dengan gambaran yang jelas, serta mulai membandingkan kelebihan dan kekurangan metode baru dibandingkan metode lama. Telah memiliki area pengembangan diri dan rencana tindakan sederhana meskipun masih perlu penyempurnaan.</t>
  </si>
  <si>
    <t>Mampu menguraikan secara komprehensif berbagai dampak perubahan terhadap pekerjaan dan unit kerja, serta menyusun langkah-langkah adaptasi yang relevan dan aplikatif. Mempelajari metode kerja baru secara mendalam, memahami manfaatnya, dan menunjukkan penyesuaian nyata dalam praktik keseharian. Menyusun rencana adaptasi pribadi yang mencakup prioritas area pengembangan, langkah-langkah perbaikan yang konkret, dan indikator keberhasilan yang jelas.</t>
  </si>
  <si>
    <t>Mampu mengidentifikasi dampak perubahan secara sistemik dan menyeluruh. Metode kerja baru tidak hanya dikuasai dengan baik, tetapi juga dibagikan dan diajarkan kepada rekan kerja. Rencana adaptasi pribadi dijalankan dengan disiplin dan menunjukkan peningkatan signifikan dalam kemampuan beradaptasi.</t>
  </si>
  <si>
    <t>2. Ceritakan satu metode kerja baru yang Anda pelajari—apa manfaatnya dan bagaimana Anda menyesuaikan diri?</t>
  </si>
  <si>
    <t>3. Area adaptasi apa yang Anda prioritaskan untuk diperbaiki dan bagaimana rencana Anda?</t>
  </si>
  <si>
    <t>Pelatihan Change Management &amp; Adaptive Mindset - Studi kasus perubahan - Simulasi perubahan</t>
  </si>
  <si>
    <t>Memahami konsep, menganalisis kasus, dan melatih respon adaptif terhadap perubahan</t>
  </si>
  <si>
    <t>1. Konsep perubahan apa yang paling membantu Anda dalam menghadapi situasi yang menekan?</t>
  </si>
  <si>
    <t>Memahami tahapan perubahan dan faktor keberhasilan, mampu mengidentifikasi strategi adaptasi dari kasus nyata, serta menunjukkan respon adaptif yang tepat dalam simulasi perubahan.</t>
  </si>
  <si>
    <t>Belum memahami konsep-konsep dasar tentang perubahan. Tidak mampu menganalisis studi kasus yang diberikan dan menunjukkan respon yang kaku atau tidak adaptif saat mengikuti simulasi perubahan.</t>
  </si>
  <si>
    <t>Mulai mengenal istilah-istilah terkait perubahan namun belum mampu menerapkannya dalam konteks nyata. Analisis terhadap kasus masih bersifat permukaan dan belum mendalam. Dalam simulasi, respon yang diberikan masih menunjukkan keraguan dan belum adaptif.</t>
  </si>
  <si>
    <t>Cukup memahami tahapan-tahapan dalam proses perubahan dan mampu mengidentifikasi beberapa strategi adaptasi dari kasus yang dipelajari. Dalam simulasi, mulai memberikan respon yang cukup adaptif dan menunjukkan kemampuan berpikir logis meskipun belum sepenuhnya terencana.</t>
  </si>
  <si>
    <t>Mengikuti pelatihan dengan baik dan mampu menjelaskan tahapan perubahan serta berbagai strategi adaptasi dengan jelas. Menganalisis studi kasus secara kritis dengan mengidentifikasi faktor-faktor pendukung, hambatan yang muncul, dan strategi adaptasi yang tepat. Dalam simulasi perubahan, menunjukkan respon yang adaptif, logis, dan terencana dengan baik.</t>
  </si>
  <si>
    <t>Mampu mengajarkan kembali konsep-konsep perubahan kepada rekan satu tim. Hasil analisis kasus yang dilakukan menjadi acuan dalam implementasi nyata di tempat kerja. Dalam simulasi, memberikan respon yang sangat efektif dan menjadi contoh bagi peserta lain dalam beradaptasi.</t>
  </si>
  <si>
    <t>2. Dari studi kasus, strategi adaptasi apa yang paling efektif dan mengapa?</t>
  </si>
  <si>
    <t>3. Bagaimana simulasi membantu Anda mempersiapkan diri menghadapi perubahan nyata?</t>
  </si>
  <si>
    <t>Diskusi pengalaman leader - Feedback adaptasi - Forum diskusi perubahan</t>
  </si>
  <si>
    <t>Belajar dari pengalaman, menerima masukan, dan berkontribusi dalam diskusi perubahan</t>
  </si>
  <si>
    <t>1. Insight paling berharga dari leader tentang menghadapi perubahan?</t>
  </si>
  <si>
    <t>Terbuka belajar dari pengalaman pemimpin, menerima dan menindaklanjuti feedback adaptasi, serta aktif memberikan perspektif dan solusi dalam forum perubahan.</t>
  </si>
  <si>
    <t>Tidak menunjukkan ketertarikan untuk belajar dari pengalaman orang lain. Bersikap defensif dan menolak ketika menerima masukan terkait adaptasi. Bersikap pasif dan tidak berkontribusi dalam forum diskusi perubahan.</t>
  </si>
  <si>
    <t>Bersedia mendengarkan pengalaman pemimpin namun tidak mencatat atau meresapi pembelajaran penting. Menerima feedback yang diberikan tanpa menyusun rencana tindak lanjut yang jelas. Hadir dalam forum diskusi namun tidak memberikan kontribusi berarti.</t>
  </si>
  <si>
    <t>Mulai memperoleh beberapa pembelajaran berharga dari pengalaman pemimpin. Menyusun rencana perbaikan sederhana berdasarkan feedback yang diterima. Mulai berani memberikan pendapat dalam forum diskusi meskipun masih terbatas.</t>
  </si>
  <si>
    <t>Mengambil berbagai pembelajaran penting dari pengalaman pemimpin dan menerapkannya dalam pekerjaan sehari-hari. Menindaklanjuti area-area perbaikan yang disarankan dalam feedback dengan rencana tindakan yang konkret dan terukur secara kualitatif. Aktif memberikan perspektif dan solusi yang relevan dalam forum diskusi perubahan, serta kontribusinya diakui oleh peserta lain.</t>
  </si>
  <si>
    <t>Pembelajaran dari pengalaman pemimpin ditransformasikan menjadi strategi adaptasi yang diterapkan di tingkat tim. Perbaikan dalam kemampuan beradaptasi menunjukkan kemajuan yang signifikan. Menjadi kontributor kunci dalam forum perubahan yang pendapatnya sering menjadi rujukan.</t>
  </si>
  <si>
    <t>2. Bagaimana Anda menindaklanjuti feedback tentang adaptasi Anda?</t>
  </si>
  <si>
    <t>3. Kontribusi apa yang Anda berikan dalam forum perubahan?</t>
  </si>
  <si>
    <t>Implementasi perubahan - Inisiasi improvement - Personal Change Resilience Portfolio</t>
  </si>
  <si>
    <t>Menerapkan adaptasi dalam perubahan nyata, menginisiasi perbaikan, dan membuktikan ketahanan melalui portofolio</t>
  </si>
  <si>
    <t>1. Ceritakan bagaimana Anda tetap menjaga efektivitas kerja saat perubahan diimplementasikan.</t>
  </si>
  <si>
    <t>Mampu menjalankan perubahan tanpa kehilangan efektivitas, melihat peluang perbaikan dari perubahan, serta menyusun portofolio yang menjadi bukti adaptasi, ketahanan, dan komitmen terhadap pengembangan diri.</t>
  </si>
  <si>
    <t>Menolak untuk berubah dan tidak menunjukkan inisiatif perbaikan apapun. Sama sekali tidak mampu menunjukkan bukti nyata tentang kemampuannya beradaptasi.</t>
  </si>
  <si>
    <t>Menjalankan perubahan namun masih memerlukan bantuan yang sangat intensif. Inisiatif perbaikan yang dilakukan masih kecil dan belum memberikan dampak yang jelas. Portofolio yang disusun hanya sekumpulan dokumen tanpa alur cerita yang bermakna.</t>
  </si>
  <si>
    <t>Menjalankan perubahan dengan cukup mandiri meskipun sesekali masih perlu arahan. Mampu mengidentifikasi peluang perbaikan sederhana dalam pekerjaan. Portofolio yang dibuat mulai menceritakan pengalaman beradaptasi namun belum terstruktur dengan baik.</t>
  </si>
  <si>
    <t>Terlibat aktif dalam implementasi perubahan, mendokumentasikan proses adaptasi, dan mampu menjaga efektivitas kerja selama perubahan berlangsung. Menginisiasi perbaikan kecil yang memberikan kontribusi nyata terhadap peningkatan proses kerja. Menyusun Portofolio Ketahanan Perubahan Pribadi yang secara meyakinkan membuktikan kemampuan beradaptasi, ketahanan dalam menghadapi tekanan, serta memuat rencana pengembangan adaptasi yang mendapat persetujuan atasan.</t>
  </si>
  <si>
    <t>Peran dalam implementasi perubahan menjadi faktor kunci keberhasilan tim. Inisiatif perbaikan yang diajukan diadopsi sebagai standar kerja baru. Portofolio yang disusun menjadi model bagi rekan lain dan menjadi bukti bahwa yang bersangkutan siap membimbing orang lain dalam menghadapi perubahan.</t>
  </si>
  <si>
    <t>2. Improvement apa yang Anda inisiasi dan bagaimana dampaknya?</t>
  </si>
  <si>
    <t>3. Bagaimana portofolio Anda membuktikan bahwa Anda mampu menyesuaikan diri dan tetap produktif di bawah tekanan?</t>
  </si>
  <si>
    <t>Jurnal Pembelajaran - AAR Pribadi - Refleksi &amp; Continuous Improvement Plan</t>
  </si>
  <si>
    <t>Membiasakan evaluasi hasil kerja, melakukan AAR mandiri, dan menyusun rencana perbaikan berkelanjutan.</t>
  </si>
  <si>
    <t>1. Bagaimana Anda secara rutin mengevaluasi keberhasilan dan kegagalan dalam pekerjaan Anda?</t>
  </si>
  <si>
    <t>Mulai membangun kebiasaan mengevaluasi hasil kerja secara sistematis, mampu melakukan AAR mandiri dengan jujur, mengidentifikasi pola dari keberhasilan dan kegagalan, serta menyusun rencana perbaikan yang ditindaklanjuti.</t>
  </si>
  <si>
    <t>Tidak pernah mengevaluasi hasil kerja yang telah dilakukan. Cenderung menyalahkan faktor eksternal ketika mengalami kegagalan. Tidak memiliki rencana perbaikan apapun untuk meningkatkan kualitas kerja.</t>
  </si>
  <si>
    <t>Kadang-kadang mencatat keberhasilan dan kegagalan namun tidak dilakukan secara sistematis. Evaluasi yang dilakukan tanpa tindak lanjut yang jelas. Refleksi bulanan hanya berisi deskripsi tanpa analisis mendalam.</t>
  </si>
  <si>
    <t>Mulai rutin mencatat dan mengevaluasi hasil kerja secara teratur. Evaluasi yang dilakukan menghasilkan beberapa perbaikan yang diterapkan. Refleksi bulanan mulai menunjukkan identifikasi pola dan rencana perbaikan yang cukup jelas.</t>
  </si>
  <si>
    <t>Secara konsisten mendokumentasikan berbagai catatan pembelajaran dengan sebagian besar rencana perbaikan berhasil diterapkan. Menyelesaikan berbagai evaluasi dengan tindakan perbaikan yang diimplementasikan secara nyata. Menyusun berbagai Rencana Perbaikan Berkelanjutan dengan sebagian besar rencana dijalankan dan terbukti meningkatkan kualitas hasil kerja secara terlihat.</t>
  </si>
  <si>
    <t>Jurnal dan evaluasi telah menjadi kebiasaan yang mendorong siklus perbaikan cepat dan efektif. Pola-pola kesalahan berhasil dihilangkan melalui perbaikan yang konsisten. Perbaikan berkelanjutan telah menjadi budaya pribadi yang meningkatkan kinerja secara signifikan dan berkelanjutan.</t>
  </si>
  <si>
    <t>2. Ceritakan satu AAR yang Anda lakukan—apa temuan utama dan bagaimana Anda menerapkan perbaikannya?</t>
  </si>
  <si>
    <t>3. Pola kesalahan berulang apa yang Anda temukan dari refleksi bulanan dan apa yang Anda lakukan?</t>
  </si>
  <si>
    <t>Pelatihan Evaluasi Kinerja - Studi Kasus Analisis - Workshop Root Cause Analysis</t>
  </si>
  <si>
    <t>Mempelajari metode evaluasi, analisis keberhasilan/kegagalan, dan teknik akar masalah.</t>
  </si>
  <si>
    <t>1. Metode evaluasi apa yang Anda gunakan untuk menilai efektivitas hasil kerja?</t>
  </si>
  <si>
    <t>Mampu menggunakan metode evaluasi kinerja, menganalisis studi kasus untuk mengambil pembelajaran, dan menerapkan teknik Root Cause Analysis untuk menyusun action plan perbaikan yang tepat.</t>
  </si>
  <si>
    <t>Tidak memahami metode evaluasi kinerja yang sistematis. Tidak mampu menganalisis penyebab keberhasilan atau kegagalan. Perbaikan yang dilakukan hanya berdasarkan intuisi tanpa analisis yang mendalam.</t>
  </si>
  <si>
    <t>Memahami metode evaluasi secara teoritis namun belum menerapkannya dalam praktik. Analisis studi kasus masih bersifat permukaan dan belum mendalam. Teknik analisis akar masalah digunakan tanpa kedalaman yang memadai.</t>
  </si>
  <si>
    <t>Mulai menerapkan metode evaluasi dalam beberapa kesempatan. Analisis studi kasus menghasilkan beberapa rekomendasi perbaikan yang cukup relevan. Analisis akar masalah menghasilkan rencana tindakan yang cukup baik meskipun masih perlu penyempurnaan.</t>
  </si>
  <si>
    <t>Mengikuti seluruh pelatihan dengan baik dan menghasilkan berbagai ide perbaikan yang aplikatif dan dapat segera dilaksanakan. Menganalisis berbagai studi kasus dengan menghasilkan rekomendasi yang relevan dan berdampak. Menyusun rencana tindakan berbasis analisis akar masalah yang memuat identifikasi akar masalah, solusi yang tepat, penanggung jawab, dan target implementasi yang jelas serta realistis.</t>
  </si>
  <si>
    <t>Mampu mengajarkan metode evaluasi kepada tim dan rekan-rekan. Rekomendasi dari analisis studi kasus diadopsi oleh unit kerja. Analisis akar masalah selalu digunakan dan menghasilkan perbaikan yang efektif dalam mencegah masalah berulang.</t>
  </si>
  <si>
    <t>2. Dari studi kasus yang Anda analisis, faktor apa yang paling sering menjadi penyebab kegagalan?</t>
  </si>
  <si>
    <t>3. Bagaimana Anda menggunakan Root Cause Analysis untuk memastikan perbaikan tepat sasaran?</t>
  </si>
  <si>
    <t>AAR bersama atasan - Peer Learning - Coaching berkala</t>
  </si>
  <si>
    <t>Belajar dari diskusi AAR dengan atasan, berbagi pengalaman dengan rekan, dan mendapatkan bimbingan coaching.</t>
  </si>
  <si>
    <t>1. Insight apa dari AAR bersama atasan yang paling mengubah cara Anda mengevaluasi pekerjaan?</t>
  </si>
  <si>
    <t>Terbuka melakukan AAR bersama atasan untuk mendapatkan perspektif, aktif belajar dari pengalaman rekan, dan memanfaatkan coaching untuk mengevaluasi serta meningkatkan efektivitas implementasi perbaikan.</t>
  </si>
  <si>
    <t>Tidak melakukan evaluasi bersama atasan. Tidak belajar dari pengalaman rekan. Tidak memanfaatkan kesempatan coaching untuk pengembangan diri.</t>
  </si>
  <si>
    <t>Evaluasi bersama atasan dilakukan hanya sebagai formalitas tanpa pendalaman berarti. Sesi belajar bersama rekan dihadiri tanpa menindaklanjuti pembelajaran yang diperoleh. Coaching tidak menghasilkan perubahan perilaku yang nyata.</t>
  </si>
  <si>
    <t>Mulai mendiskusikan evaluasi dengan atasan dan menindaklanjuti beberapa poin perbaikan. Menerapkan beberapa praktik perbaikan yang diperoleh dari sesi belajar bersama rekan. Coaching mulai menghasilkan perbaikan kecil dalam pekerjaan.</t>
  </si>
  <si>
    <t>Melakukan evaluasi bersama atasan secara teratur dan mendokumentasikan berbagai pembelajaran serta tindakan perbaikan yang disetujui. Mengikuti sesi belajar bersama rekan dan menerapkan berbagai praktik perbaikan yang diperoleh. Menjalani sesi coaching secara berkala yang terbukti meningkatkan kualitas dan efektivitas pekerjaan secara nyata.</t>
  </si>
  <si>
    <t>Evaluasi bersama atasan menjadi praktik rutin yang memperkuat akuntabilitas dan pembelajaran. Praktik perbaikan dari sesi belajar bersama rekan diadopsi secara luas dan memberikan dampak positif. Coaching mendorong lompatan kinerja yang signifikan dan terukur.</t>
  </si>
  <si>
    <t>2. Praktik perbaikan apa dari peer learning yang langsung Anda terapkan?</t>
  </si>
  <si>
    <t>3. Bagaimana coaching membantu Anda memastikan perbaikan berjalan efektif?</t>
  </si>
  <si>
    <t>Form Penilaian Hasil Pengembangan Talenta</t>
  </si>
  <si>
    <t>Aspek Penilaian</t>
  </si>
  <si>
    <t>Fokus Penilaian</t>
  </si>
  <si>
    <t>Level 1
Belum Tampak</t>
  </si>
  <si>
    <t>Level 2
Mulai Berkembang</t>
  </si>
  <si>
    <t>Level 3
Sesuai Harapan</t>
  </si>
  <si>
    <t>Level 4
Baik</t>
  </si>
  <si>
    <t>Level 5
Sangat Baik</t>
  </si>
  <si>
    <t>Skor Panel</t>
  </si>
  <si>
    <t>Bobot Perilaku</t>
  </si>
  <si>
    <t>Nilai Tertimbang</t>
  </si>
  <si>
    <t>Kejelasan dan Struktur Presentasi</t>
  </si>
  <si>
    <t>Apakah peserta mampu menyampaikan gagasan secara jelas, ringkas, dan terstruktur.</t>
  </si>
  <si>
    <t>Presentasi tidak terstruktur, sulit dipahami, dan banyak informasi tidak relevan.</t>
  </si>
  <si>
    <t>Presentasi mulai memiliki alur, tetapi masih bertele-tele dan pesan utama belum jelas.</t>
  </si>
  <si>
    <t>Presentasi cukup jelas, tetapi struktur penyampaian belum konsisten dan masih perlu diarahkan.</t>
  </si>
  <si>
    <t>Presentasi disampaikan secara jelas, ringkas, dan terstruktur dengan alur masalah → gagasan/solusi → hasil → tindak lanjut.</t>
  </si>
  <si>
    <t>Presentasi sangat jelas, meyakinkan, ringkas, dan mampu membuat panel memahami inti gagasan tanpa banyak klarifikasi tambahan.</t>
  </si>
  <si>
    <t>Kualitas Gagasan / Ide Perbaikan</t>
  </si>
  <si>
    <t>Apakah ide relevan dengan pekerjaan dan kebutuhan perusahaan.</t>
  </si>
  <si>
    <t>Gagasan belum jelas atau tidak relevan dengan pekerjaan/unit kerja.</t>
  </si>
  <si>
    <t>Gagasan mulai relevan, tetapi belum didukung alasan, data, atau kebutuhan yang jelas.</t>
  </si>
  <si>
    <t>Gagasan cukup relevan, namun manfaat dan kelayakan implementasinya belum tergambar kuat.</t>
  </si>
  <si>
    <t>Gagasan relevan dengan masalah nyata di pekerjaan, memiliki manfaat yang jelas, dan disampaikan dengan alasan yang logis.</t>
  </si>
  <si>
    <t>Gagasan sangat relevan, aplikatif, bernilai bagi unit/perusahaan, dan berpotensi menghasilkan perbaikan proses, kualitas, efisiensi, layanan, atau koordinasi kerja.</t>
  </si>
  <si>
    <t>Bukti Perkembangan Perilaku</t>
  </si>
  <si>
    <t>Apakah ada perubahan perilaku dari sebelum ke sesudah program.</t>
  </si>
  <si>
    <t>Tidak menunjukkan bukti perkembangan perilaku selama program.</t>
  </si>
  <si>
    <t>Menyampaikan aktivitas yang dilakukan, tetapi belum menunjukkan perubahan perilaku yang jelas.</t>
  </si>
  <si>
    <t>Menunjukkan beberapa bukti perkembangan, tetapi belum kuat atau belum konsisten.</t>
  </si>
  <si>
    <t>Menunjukkan bukti perkembangan perilaku yang jelas, seperti peningkatan kejelasan komunikasi, keberanian menyampaikan ide, penerimaan feedback, atau peningkatan hasil feedback 360°.</t>
  </si>
  <si>
    <t>Menunjukkan perubahan perilaku yang kuat dan konsisten, didukung bukti before-after, feedback atasan/rekan, hasil implementasi, dan refleksi pembelajaran yang matang.</t>
  </si>
  <si>
    <t>Respons terhadap Pertanyaan dan Feedback Panel</t>
  </si>
  <si>
    <t>Apakah peserta mendengarkan, menjawab dengan tepat, dan terbuka terhadap masukan.</t>
  </si>
  <si>
    <t>Tidak mampu menjawab pertanyaan panel dengan jelas atau menunjukkan sikap defensif.</t>
  </si>
  <si>
    <t>Menjawab pertanyaan, tetapi kurang fokus, terlalu panjang, atau belum menangkap inti pertanyaan.</t>
  </si>
  <si>
    <t>Mampu menjawab sebagian besar pertanyaan dengan cukup baik, tetapi masih perlu lebih ringkas dan terarah.</t>
  </si>
  <si>
    <t>Mendengarkan pertanyaan panel dengan aktif, menjawab secara jelas dan relevan, menerima masukan tanpa defensif, serta mampu mengklarifikasi bila diperlukan.</t>
  </si>
  <si>
    <t>Menjawab pertanyaan panel secara tenang, tajam, ringkas, terbuka terhadap masukan, dan mampu mengintegrasikan feedback panel ke dalam rencana tindak lanjut.</t>
  </si>
  <si>
    <t>Komitmen Tindak Lanjut</t>
  </si>
  <si>
    <t>Apakah peserta memiliki next step yang jelas dan realistis.</t>
  </si>
  <si>
    <t>Tidak memiliki rencana tindak lanjut setelah program.</t>
  </si>
  <si>
    <t>Memiliki rencana tindak lanjut, tetapi masih umum dan belum jelas.</t>
  </si>
  <si>
    <t>Rencana tindak lanjut cukup jelas, tetapi belum memiliki prioritas, PIC, atau target waktu.</t>
  </si>
  <si>
    <t>Menyampaikan tindak lanjut yang jelas, realistis, dan terukur, termasuk apa yang akan dilakukan, kapan dilakukan, dan dukungan yang dibutuhkan.</t>
  </si>
  <si>
    <t>Menunjukkan komitmen tindak lanjut yang kuat, terukur, selaras dengan kebutuhan unit/perusahaan, serta memiliki potensi untuk dilanjutkan atau diperluas setelah program.</t>
  </si>
  <si>
    <t>Beyond</t>
  </si>
  <si>
    <r>
      <rPr>
        <b/>
        <sz val="11"/>
        <color rgb="FF0070C0"/>
        <rFont val="Biome"/>
        <charset val="134"/>
      </rPr>
      <t xml:space="preserve">Action-Oriented &amp; Takes Initiative </t>
    </r>
    <r>
      <rPr>
        <sz val="11"/>
        <color rgb="FF0070C0"/>
        <rFont val="Biome"/>
        <charset val="134"/>
      </rPr>
      <t xml:space="preserve">
</t>
    </r>
    <r>
      <rPr>
        <i/>
        <sz val="11"/>
        <color rgb="FF0070C0"/>
        <rFont val="Biome"/>
        <charset val="134"/>
      </rPr>
      <t xml:space="preserve">(proaktif bertindak)
</t>
    </r>
    <r>
      <rPr>
        <b/>
        <i/>
        <sz val="11"/>
        <color rgb="FF0070C0"/>
        <rFont val="Biome"/>
        <charset val="134"/>
      </rPr>
      <t>(RA2)</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</si>
  <si>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t>
    </r>
    <r>
      <rPr>
        <b/>
        <sz val="11"/>
        <color rgb="FF0070C0"/>
        <rFont val="Biome"/>
        <charset val="134"/>
      </rPr>
      <t>(RA3)</t>
    </r>
  </si>
  <si>
    <r>
      <rPr>
        <b/>
        <sz val="11"/>
        <color rgb="FF0070C0"/>
        <rFont val="Biome"/>
        <charset val="134"/>
      </rPr>
      <t>Learning from Outcomes</t>
    </r>
    <r>
      <rPr>
        <sz val="11"/>
        <color rgb="FF0070C0"/>
        <rFont val="Biome"/>
        <charset val="134"/>
      </rPr>
      <t xml:space="preserve">
</t>
    </r>
    <r>
      <rPr>
        <i/>
        <sz val="11"/>
        <color rgb="FF0070C0"/>
        <rFont val="Biome"/>
        <charset val="134"/>
      </rPr>
      <t>(belajar dari hasil &amp; kesalahan)</t>
    </r>
    <r>
      <rPr>
        <sz val="11"/>
        <color rgb="FF0070C0"/>
        <rFont val="Biome"/>
        <charset val="134"/>
      </rPr>
      <t xml:space="preserve">
</t>
    </r>
    <r>
      <rPr>
        <b/>
        <sz val="11"/>
        <color rgb="FF0070C0"/>
        <rFont val="Biome"/>
        <charset val="134"/>
      </rPr>
      <t>(RA5)</t>
    </r>
  </si>
  <si>
    <r>
      <rPr>
        <b/>
        <sz val="11"/>
        <color rgb="FF0070C0"/>
        <rFont val="Biome"/>
        <charset val="134"/>
      </rPr>
      <t>Adapting Strategy When Needed</t>
    </r>
    <r>
      <rPr>
        <sz val="11"/>
        <color rgb="FF0070C0"/>
        <rFont val="Biome"/>
        <charset val="134"/>
      </rPr>
      <t xml:space="preserve">
</t>
    </r>
    <r>
      <rPr>
        <i/>
        <sz val="11"/>
        <color rgb="FF0070C0"/>
        <rFont val="Biome"/>
        <charset val="134"/>
      </rPr>
      <t>(mengubah strategi untuk hasil lebih baik)</t>
    </r>
    <r>
      <rPr>
        <sz val="11"/>
        <color rgb="FF0070C0"/>
        <rFont val="Biome"/>
        <charset val="134"/>
      </rPr>
      <t xml:space="preserve">
</t>
    </r>
    <r>
      <rPr>
        <b/>
        <sz val="11"/>
        <color rgb="FF0070C0"/>
        <rFont val="Biome"/>
        <charset val="134"/>
      </rPr>
      <t>(RA8)</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</si>
  <si>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</si>
  <si>
    <r>
      <rPr>
        <b/>
        <sz val="11"/>
        <color rgb="FF0070C0"/>
        <rFont val="Biome"/>
        <charset val="134"/>
      </rPr>
      <t xml:space="preserve">Drive for High Performance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</si>
  <si>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Admitting Mistakes</t>
    </r>
    <r>
      <rPr>
        <sz val="11"/>
        <color theme="7" tint="-0.249977111117893"/>
        <rFont val="Biome"/>
        <charset val="134"/>
      </rPr>
      <t xml:space="preserve">
(mengakui kesalahan)
</t>
    </r>
    <r>
      <rPr>
        <b/>
        <sz val="11"/>
        <color theme="7" tint="-0.249977111117893"/>
        <rFont val="Biome"/>
        <charset val="134"/>
      </rPr>
      <t>(SA2)</t>
    </r>
  </si>
  <si>
    <r>
      <rPr>
        <b/>
        <sz val="11"/>
        <color theme="7" tint="-0.249977111117893"/>
        <rFont val="Biome"/>
        <charset val="134"/>
      </rPr>
      <t>Seeking Feedback on Performance</t>
    </r>
    <r>
      <rPr>
        <sz val="11"/>
        <color theme="7" tint="-0.249977111117893"/>
        <rFont val="Biome"/>
        <charset val="134"/>
      </rPr>
      <t xml:space="preserve">
</t>
    </r>
    <r>
      <rPr>
        <i/>
        <sz val="11"/>
        <color theme="7" tint="-0.249977111117893"/>
        <rFont val="Biome"/>
        <charset val="134"/>
      </rPr>
      <t>(mencari feedback)</t>
    </r>
    <r>
      <rPr>
        <sz val="11"/>
        <color theme="7" tint="-0.249977111117893"/>
        <rFont val="Biome"/>
        <charset val="134"/>
      </rPr>
      <t xml:space="preserve">
</t>
    </r>
    <r>
      <rPr>
        <b/>
        <sz val="11"/>
        <color theme="7" tint="-0.249977111117893"/>
        <rFont val="Biome"/>
        <charset val="134"/>
      </rPr>
      <t>(SA3)</t>
    </r>
  </si>
  <si>
    <r>
      <rPr>
        <b/>
        <sz val="11"/>
        <color theme="7" tint="-0.249977111117893"/>
        <rFont val="Biome"/>
        <charset val="134"/>
      </rPr>
      <t>Reflective Practices</t>
    </r>
    <r>
      <rPr>
        <sz val="11"/>
        <color theme="7" tint="-0.249977111117893"/>
        <rFont val="Biome"/>
        <charset val="134"/>
      </rPr>
      <t xml:space="preserve">
</t>
    </r>
    <r>
      <rPr>
        <i/>
        <sz val="11"/>
        <color theme="7" tint="-0.249977111117893"/>
        <rFont val="Biome"/>
        <charset val="134"/>
      </rPr>
      <t>(melakukan refleksi diri)</t>
    </r>
    <r>
      <rPr>
        <sz val="11"/>
        <color theme="7" tint="-0.249977111117893"/>
        <rFont val="Biome"/>
        <charset val="134"/>
      </rPr>
      <t xml:space="preserve">
</t>
    </r>
    <r>
      <rPr>
        <b/>
        <sz val="11"/>
        <color theme="7" tint="-0.249977111117893"/>
        <rFont val="Biome"/>
        <charset val="134"/>
      </rPr>
      <t>(SA5)</t>
    </r>
  </si>
  <si>
    <r>
      <rPr>
        <b/>
        <sz val="11"/>
        <color theme="7" tint="-0.249977111117893"/>
        <rFont val="Biome"/>
        <charset val="134"/>
      </rPr>
      <t>Objective Self-Assessment</t>
    </r>
    <r>
      <rPr>
        <sz val="11"/>
        <color theme="7" tint="-0.249977111117893"/>
        <rFont val="Biome"/>
        <charset val="134"/>
      </rPr>
      <t xml:space="preserve">
</t>
    </r>
    <r>
      <rPr>
        <i/>
        <sz val="11"/>
        <color theme="7" tint="-0.249977111117893"/>
        <rFont val="Biome"/>
        <charset val="134"/>
      </rPr>
      <t>(menilai diri secara objektif)</t>
    </r>
    <r>
      <rPr>
        <sz val="11"/>
        <color theme="7" tint="-0.249977111117893"/>
        <rFont val="Biome"/>
        <charset val="134"/>
      </rPr>
      <t xml:space="preserve">
</t>
    </r>
    <r>
      <rPr>
        <b/>
        <sz val="11"/>
        <color theme="7" tint="-0.249977111117893"/>
        <rFont val="Biome"/>
        <charset val="134"/>
      </rPr>
      <t>(SA7)</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</si>
  <si>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</si>
  <si>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honest self refection &amp; role moddeling -</t>
    </r>
  </si>
  <si>
    <t>Planning &amp; 
Organizing</t>
  </si>
  <si>
    <r>
      <rPr>
        <b/>
        <sz val="11"/>
        <color rgb="FF0070C0"/>
        <rFont val="Biome"/>
        <charset val="134"/>
      </rPr>
      <t>Task Completion Quality</t>
    </r>
    <r>
      <rPr>
        <sz val="11"/>
        <color rgb="FF0070C0"/>
        <rFont val="Biome"/>
        <charset val="134"/>
      </rPr>
      <t xml:space="preserve">
</t>
    </r>
    <r>
      <rPr>
        <i/>
        <sz val="11"/>
        <color rgb="FF0070C0"/>
        <rFont val="Biome"/>
        <charset val="134"/>
      </rPr>
      <t>(menyelesaikan tugas dengan baik)</t>
    </r>
    <r>
      <rPr>
        <sz val="11"/>
        <color rgb="FF0070C0"/>
        <rFont val="Biome"/>
        <charset val="134"/>
      </rPr>
      <t xml:space="preserve">
</t>
    </r>
    <r>
      <rPr>
        <b/>
        <sz val="11"/>
        <color rgb="FF0070C0"/>
        <rFont val="Biome"/>
        <charset val="134"/>
      </rPr>
      <t>(RA1)</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</si>
  <si>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</si>
  <si>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</si>
  <si>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</si>
  <si>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-agile problem solving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</si>
  <si>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organization-wide planning - </t>
    </r>
  </si>
  <si>
    <r>
      <rPr>
        <b/>
        <sz val="11"/>
        <color theme="7" tint="-0.499984740745262"/>
        <rFont val="Biome"/>
        <charset val="134"/>
      </rPr>
      <t>Root Cause Analysis</t>
    </r>
    <r>
      <rPr>
        <sz val="11"/>
        <color theme="7" tint="-0.499984740745262"/>
        <rFont val="Biome"/>
        <charset val="134"/>
      </rPr>
      <t xml:space="preserve">
</t>
    </r>
    <r>
      <rPr>
        <i/>
        <sz val="11"/>
        <color theme="7" tint="-0.499984740745262"/>
        <rFont val="Biome"/>
        <charset val="134"/>
      </rPr>
      <t>(mencari penyebab masalah)</t>
    </r>
    <r>
      <rPr>
        <sz val="11"/>
        <color theme="7" tint="-0.499984740745262"/>
        <rFont val="Biome"/>
        <charset val="134"/>
      </rPr>
      <t xml:space="preserve">
</t>
    </r>
    <r>
      <rPr>
        <b/>
        <sz val="11"/>
        <color theme="7" tint="-0.499984740745262"/>
        <rFont val="Biome"/>
        <charset val="134"/>
      </rPr>
      <t>(MA2)</t>
    </r>
  </si>
  <si>
    <r>
      <rPr>
        <b/>
        <sz val="11"/>
        <color theme="5" tint="-0.499984740745262"/>
        <rFont val="Biome"/>
        <charset val="134"/>
      </rPr>
      <t>Critical Thinking &amp; Inquisitiveness</t>
    </r>
    <r>
      <rPr>
        <sz val="11"/>
        <color theme="5" tint="-0.499984740745262"/>
        <rFont val="Biome"/>
        <charset val="134"/>
      </rPr>
      <t xml:space="preserve">
</t>
    </r>
    <r>
      <rPr>
        <i/>
        <sz val="11"/>
        <color theme="5" tint="-0.499984740745262"/>
        <rFont val="Biome"/>
        <charset val="134"/>
      </rPr>
      <t>(mempertanyakan &amp; mengevaluasi)</t>
    </r>
    <r>
      <rPr>
        <sz val="11"/>
        <color theme="5" tint="-0.499984740745262"/>
        <rFont val="Biome"/>
        <charset val="134"/>
      </rPr>
      <t xml:space="preserve">
</t>
    </r>
    <r>
      <rPr>
        <b/>
        <sz val="11"/>
        <color theme="5" tint="-0.499984740745262"/>
        <rFont val="Biome"/>
        <charset val="134"/>
      </rPr>
      <t>(MA3)</t>
    </r>
  </si>
  <si>
    <r>
      <rPr>
        <b/>
        <sz val="11"/>
        <color theme="5" tint="-0.499984740745262"/>
        <rFont val="Biome"/>
        <charset val="134"/>
      </rPr>
      <t>Intellectual Synthesis</t>
    </r>
    <r>
      <rPr>
        <sz val="11"/>
        <color theme="5" tint="-0.499984740745262"/>
        <rFont val="Biome"/>
        <charset val="134"/>
      </rPr>
      <t xml:space="preserve">
</t>
    </r>
    <r>
      <rPr>
        <i/>
        <sz val="11"/>
        <color theme="5" tint="-0.499984740745262"/>
        <rFont val="Biome"/>
        <charset val="134"/>
      </rPr>
      <t xml:space="preserve">(menghubungkan berbagai informasi)
</t>
    </r>
    <r>
      <rPr>
        <b/>
        <i/>
        <sz val="11"/>
        <color theme="5" tint="-0.499984740745262"/>
        <rFont val="Biome"/>
        <charset val="134"/>
      </rPr>
      <t>(MA5)</t>
    </r>
  </si>
  <si>
    <r>
      <rPr>
        <b/>
        <sz val="11"/>
        <color theme="5" tint="-0.499984740745262"/>
        <rFont val="Biome"/>
        <charset val="134"/>
      </rPr>
      <t>Creative Exploration</t>
    </r>
    <r>
      <rPr>
        <sz val="11"/>
        <color theme="5" tint="-0.499984740745262"/>
        <rFont val="Biome"/>
        <charset val="134"/>
      </rPr>
      <t xml:space="preserve">
(mencari pendekatan baru)
</t>
    </r>
    <r>
      <rPr>
        <b/>
        <sz val="11"/>
        <color theme="5" tint="-0.499984740745262"/>
        <rFont val="Biome"/>
        <charset val="134"/>
      </rPr>
      <t>(MA7)</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</si>
  <si>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</si>
  <si>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</si>
  <si>
    <r>
      <rPr>
        <b/>
        <sz val="11"/>
        <color rgb="FF0070C0"/>
        <rFont val="Biome"/>
        <charset val="134"/>
      </rPr>
      <t xml:space="preserve">Task Completion Quality
</t>
    </r>
    <r>
      <rPr>
        <i/>
        <sz val="11"/>
        <color rgb="FF0070C0"/>
        <rFont val="Biome"/>
        <charset val="134"/>
      </rPr>
      <t>(menyelesaikan tugas dengan baik)</t>
    </r>
    <r>
      <rPr>
        <b/>
        <sz val="11"/>
        <color rgb="FF0070C0"/>
        <rFont val="Biome"/>
        <charset val="134"/>
      </rPr>
      <t xml:space="preserve">
(RA1)
</t>
    </r>
    <r>
      <rPr>
        <sz val="11"/>
        <color rgb="FF0070C0"/>
        <rFont val="Biome"/>
        <charset val="134"/>
      </rPr>
      <t>-following checkpoints -</t>
    </r>
  </si>
  <si>
    <r>
      <rPr>
        <b/>
        <sz val="11"/>
        <color rgb="FF0070C0"/>
        <rFont val="Biome"/>
        <charset val="134"/>
      </rPr>
      <t>Driving for impact</t>
    </r>
    <r>
      <rPr>
        <sz val="11"/>
        <color rgb="FF0070C0"/>
        <rFont val="Biome"/>
        <charset val="134"/>
      </rPr>
      <t xml:space="preserve">
</t>
    </r>
    <r>
      <rPr>
        <i/>
        <sz val="11"/>
        <color rgb="FF0070C0"/>
        <rFont val="Biome"/>
        <charset val="134"/>
      </rPr>
      <t>(fokus pada hasil kerja)</t>
    </r>
    <r>
      <rPr>
        <sz val="11"/>
        <color rgb="FF0070C0"/>
        <rFont val="Biome"/>
        <charset val="134"/>
      </rPr>
      <t xml:space="preserve">
- identifiying deviations -
</t>
    </r>
    <r>
      <rPr>
        <b/>
        <sz val="11"/>
        <color rgb="FF0070C0"/>
        <rFont val="Biome"/>
        <charset val="134"/>
      </rPr>
      <t>(RA3)</t>
    </r>
  </si>
  <si>
    <r>
      <rPr>
        <b/>
        <sz val="11"/>
        <color rgb="FF0070C0"/>
        <rFont val="Biome"/>
        <charset val="134"/>
      </rPr>
      <t xml:space="preserve">Learning from Outcomes
</t>
    </r>
    <r>
      <rPr>
        <sz val="11"/>
        <color rgb="FF0070C0"/>
        <rFont val="Biome"/>
        <charset val="134"/>
      </rPr>
      <t>(belajar dari hasil &amp; kesalahan)</t>
    </r>
    <r>
      <rPr>
        <b/>
        <sz val="11"/>
        <color rgb="FF0070C0"/>
        <rFont val="Biome"/>
        <charset val="134"/>
      </rPr>
      <t xml:space="preserve">
(RA5)
</t>
    </r>
    <r>
      <rPr>
        <sz val="11"/>
        <color rgb="FF0070C0"/>
        <rFont val="Biome"/>
        <charset val="134"/>
      </rPr>
      <t>- implementting corrective action -</t>
    </r>
  </si>
  <si>
    <r>
      <rPr>
        <b/>
        <sz val="11"/>
        <color rgb="FF0070C0"/>
        <rFont val="Biome"/>
        <charset val="134"/>
      </rPr>
      <t xml:space="preserve">Focus Under Pressure
</t>
    </r>
    <r>
      <rPr>
        <sz val="11"/>
        <color rgb="FF0070C0"/>
        <rFont val="Biome"/>
        <charset val="134"/>
      </rPr>
      <t xml:space="preserve">(tetap fokus dalam tekanan tinggi
</t>
    </r>
    <r>
      <rPr>
        <b/>
        <sz val="11"/>
        <color rgb="FF0070C0"/>
        <rFont val="Biome"/>
        <charset val="134"/>
      </rPr>
      <t>(RA7)</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</si>
  <si>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(RA9)</t>
    </r>
    <r>
      <rPr>
        <sz val="11"/>
        <color rgb="FF0070C0"/>
        <rFont val="Biome"/>
        <charset val="134"/>
      </rPr>
      <t xml:space="preserve">
- establishing control system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</si>
  <si>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r>
      <rPr>
        <sz val="11"/>
        <color rgb="FF0070C0"/>
        <rFont val="Biome"/>
        <charset val="134"/>
      </rPr>
      <t xml:space="preserve">
- organizational governance - </t>
    </r>
  </si>
  <si>
    <r>
      <rPr>
        <b/>
        <sz val="11"/>
        <color rgb="FF0070C0"/>
        <rFont val="Biome"/>
        <charset val="134"/>
      </rPr>
      <t>Tenacity &amp; Strategic Persistence</t>
    </r>
    <r>
      <rPr>
        <sz val="11"/>
        <color rgb="FF0070C0"/>
        <rFont val="Biome"/>
        <charset val="134"/>
      </rPr>
      <t xml:space="preserve">
(menjaga komitmen di tengan tantangan)
</t>
    </r>
    <r>
      <rPr>
        <b/>
        <sz val="11"/>
        <color rgb="FF0070C0"/>
        <rFont val="Biome"/>
        <charset val="134"/>
      </rPr>
      <t>(RA4)</t>
    </r>
    <r>
      <rPr>
        <sz val="11"/>
        <color rgb="FF0070C0"/>
        <rFont val="Biome"/>
        <charset val="134"/>
      </rPr>
      <t xml:space="preserve">
- identifiying deviations -</t>
    </r>
  </si>
  <si>
    <r>
      <rPr>
        <b/>
        <sz val="11"/>
        <color rgb="FF0070C0"/>
        <rFont val="Biome"/>
        <charset val="134"/>
      </rPr>
      <t xml:space="preserve">Adapting Strategy When Needed
</t>
    </r>
    <r>
      <rPr>
        <sz val="11"/>
        <color rgb="FF0070C0"/>
        <rFont val="Biome"/>
        <charset val="134"/>
      </rPr>
      <t xml:space="preserve">(mengubah strategi untuk hasil lebih baik)
</t>
    </r>
    <r>
      <rPr>
        <b/>
        <sz val="11"/>
        <color rgb="FF0070C0"/>
        <rFont val="Biome"/>
        <charset val="134"/>
      </rPr>
      <t>(RA8)</t>
    </r>
  </si>
  <si>
    <r>
      <rPr>
        <b/>
        <sz val="11"/>
        <color rgb="FF806000"/>
        <rFont val="Biome"/>
        <charset val="134"/>
      </rPr>
      <t xml:space="preserve">Analytical Thinking
</t>
    </r>
    <r>
      <rPr>
        <i/>
        <sz val="11"/>
        <color rgb="FF806000"/>
        <rFont val="Biome"/>
        <charset val="134"/>
      </rPr>
      <t xml:space="preserve">(memahami data &amp; fakta dasar)
</t>
    </r>
    <r>
      <rPr>
        <b/>
        <sz val="11"/>
        <color rgb="FF806000"/>
        <rFont val="Biome"/>
        <charset val="134"/>
      </rPr>
      <t>(MA1)</t>
    </r>
  </si>
  <si>
    <r>
      <rPr>
        <b/>
        <sz val="11"/>
        <color rgb="FF833C0C"/>
        <rFont val="Biome"/>
        <charset val="134"/>
      </rPr>
      <t xml:space="preserve">Critical Thinking &amp; Inquisitiveness
</t>
    </r>
    <r>
      <rPr>
        <sz val="11"/>
        <color rgb="FF833C0C"/>
        <rFont val="Biome"/>
        <charset val="134"/>
      </rPr>
      <t xml:space="preserve">(mempertanyakan &amp; mengevaluasi)
</t>
    </r>
    <r>
      <rPr>
        <b/>
        <sz val="11"/>
        <color rgb="FF833C0C"/>
        <rFont val="Biome"/>
        <charset val="134"/>
      </rPr>
      <t>(MA3)</t>
    </r>
  </si>
  <si>
    <r>
      <rPr>
        <b/>
        <sz val="11"/>
        <color rgb="FF833C0C"/>
        <rFont val="Biome"/>
        <charset val="134"/>
      </rPr>
      <t xml:space="preserve">Integrating Diverse Perspective
</t>
    </r>
    <r>
      <rPr>
        <sz val="11"/>
        <color rgb="FF833C0C"/>
        <rFont val="Biome"/>
        <charset val="134"/>
      </rPr>
      <t xml:space="preserve">(pengambilan keputusan melihat dari berbagai sudut pandang)
</t>
    </r>
    <r>
      <rPr>
        <b/>
        <sz val="11"/>
        <color rgb="FF833C0C"/>
        <rFont val="Biome"/>
        <charset val="134"/>
      </rPr>
      <t>(MA6)</t>
    </r>
  </si>
  <si>
    <r>
      <rPr>
        <b/>
        <sz val="11"/>
        <color rgb="FF833C0C"/>
        <rFont val="Biome"/>
        <charset val="134"/>
      </rPr>
      <t xml:space="preserve">Breaking Patterned Thinking
</t>
    </r>
    <r>
      <rPr>
        <sz val="11"/>
        <color rgb="FF833C0C"/>
        <rFont val="Biome"/>
        <charset val="134"/>
      </rPr>
      <t xml:space="preserve">(menciptakan solusi baru)
</t>
    </r>
    <r>
      <rPr>
        <b/>
        <sz val="11"/>
        <color rgb="FF833C0C"/>
        <rFont val="Biome"/>
        <charset val="134"/>
      </rPr>
      <t>(MA8)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</si>
  <si>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predictive analysis -</t>
    </r>
  </si>
  <si>
    <r>
      <rPr>
        <b/>
        <sz val="11"/>
        <color theme="5" tint="-0.499984740745262"/>
        <rFont val="Biome"/>
        <charset val="134"/>
      </rPr>
      <t>Tolerance for Ambiguity</t>
    </r>
    <r>
      <rPr>
        <sz val="11"/>
        <color theme="5" tint="-0.499984740745262"/>
        <rFont val="Biome"/>
        <charset val="134"/>
      </rPr>
      <t xml:space="preserve">
</t>
    </r>
    <r>
      <rPr>
        <i/>
        <sz val="11"/>
        <color theme="5" tint="-0.499984740745262"/>
        <rFont val="Biome"/>
        <charset val="134"/>
      </rPr>
      <t>(mampu memimpin dalam uncertainty tinggi)</t>
    </r>
    <r>
      <rPr>
        <sz val="11"/>
        <color theme="5" tint="-0.499984740745262"/>
        <rFont val="Biome"/>
        <charset val="134"/>
      </rPr>
      <t xml:space="preserve">
</t>
    </r>
    <r>
      <rPr>
        <b/>
        <sz val="11"/>
        <color theme="5" tint="-0.499984740745262"/>
        <rFont val="Biome"/>
        <charset val="134"/>
      </rPr>
      <t>(MA10)</t>
    </r>
    <r>
      <rPr>
        <sz val="11"/>
        <color theme="5" tint="-0.499984740745262"/>
        <rFont val="Biome"/>
        <charset val="134"/>
      </rPr>
      <t xml:space="preserve">
- strategic foresight -</t>
    </r>
  </si>
  <si>
    <r>
      <rPr>
        <b/>
        <sz val="11"/>
        <color rgb="FF375623"/>
        <rFont val="Biome"/>
        <charset val="134"/>
      </rPr>
      <t xml:space="preserve">Adapting to New Systems
</t>
    </r>
    <r>
      <rPr>
        <i/>
        <sz val="11"/>
        <color rgb="FF375623"/>
        <rFont val="Biome"/>
        <charset val="134"/>
      </rPr>
      <t xml:space="preserve">(mengikuti perubahan dasar)
</t>
    </r>
    <r>
      <rPr>
        <b/>
        <sz val="11"/>
        <color rgb="FF375623"/>
        <rFont val="Biome"/>
        <charset val="134"/>
      </rPr>
      <t>(CA1)</t>
    </r>
  </si>
  <si>
    <r>
      <rPr>
        <b/>
        <sz val="11"/>
        <color rgb="FF548235"/>
        <rFont val="Biome"/>
        <charset val="134"/>
      </rPr>
      <t xml:space="preserve">Comfort with Sudden Change
</t>
    </r>
    <r>
      <rPr>
        <i/>
        <sz val="11"/>
        <color rgb="FF548235"/>
        <rFont val="Biome"/>
        <charset val="134"/>
      </rPr>
      <t xml:space="preserve">(tetap bekerja saat perubahan mendadak)
</t>
    </r>
    <r>
      <rPr>
        <b/>
        <sz val="11"/>
        <color rgb="FF548235"/>
        <rFont val="Biome"/>
        <charset val="134"/>
      </rPr>
      <t>(CA3)</t>
    </r>
  </si>
  <si>
    <r>
      <rPr>
        <b/>
        <sz val="11"/>
        <color rgb="FF548235"/>
        <rFont val="Biome"/>
        <charset val="134"/>
      </rPr>
      <t xml:space="preserve">Adaptive Learning &amp; Experimentation
</t>
    </r>
    <r>
      <rPr>
        <sz val="11"/>
        <color rgb="FF548235"/>
        <rFont val="Biome"/>
        <charset val="134"/>
      </rPr>
      <t xml:space="preserve">(aktif belajar hal baru)
</t>
    </r>
    <r>
      <rPr>
        <b/>
        <sz val="11"/>
        <color rgb="FF548235"/>
        <rFont val="Biome"/>
        <charset val="134"/>
      </rPr>
      <t>(CA5)</t>
    </r>
  </si>
  <si>
    <r>
      <rPr>
        <b/>
        <sz val="11"/>
        <color theme="9" tint="-0.249977111117893"/>
        <rFont val="Biome"/>
        <charset val="134"/>
      </rPr>
      <t>Proposing New Ideas</t>
    </r>
    <r>
      <rPr>
        <sz val="11"/>
        <color theme="9" tint="-0.249977111117893"/>
        <rFont val="Biome"/>
        <charset val="134"/>
      </rPr>
      <t xml:space="preserve">
</t>
    </r>
    <r>
      <rPr>
        <i/>
        <sz val="11"/>
        <color theme="9" tint="-0.249977111117893"/>
        <rFont val="Biome"/>
        <charset val="134"/>
      </rPr>
      <t xml:space="preserve">(mulai menginisiasi perubahan)
</t>
    </r>
    <r>
      <rPr>
        <b/>
        <i/>
        <sz val="11"/>
        <color theme="9" tint="-0.249977111117893"/>
        <rFont val="Biome"/>
        <charset val="134"/>
      </rPr>
      <t>(CA7)</t>
    </r>
  </si>
  <si>
    <r>
      <rPr>
        <b/>
        <sz val="11"/>
        <color theme="9" tint="-0.249977111117893"/>
        <rFont val="Biome"/>
        <charset val="134"/>
      </rPr>
      <t>Calmness in Uncertainty</t>
    </r>
    <r>
      <rPr>
        <sz val="11"/>
        <color theme="9" tint="-0.249977111117893"/>
        <rFont val="Biome"/>
        <charset val="134"/>
      </rPr>
      <t xml:space="preserve">
</t>
    </r>
    <r>
      <rPr>
        <i/>
        <sz val="11"/>
        <color theme="9" tint="-0.249977111117893"/>
        <rFont val="Biome"/>
        <charset val="134"/>
      </rPr>
      <t>(tetap tenang di kondisi tidak pasti)</t>
    </r>
    <r>
      <rPr>
        <sz val="11"/>
        <color theme="9" tint="-0.249977111117893"/>
        <rFont val="Biome"/>
        <charset val="134"/>
      </rPr>
      <t xml:space="preserve">
</t>
    </r>
    <r>
      <rPr>
        <b/>
        <sz val="11"/>
        <color theme="9" tint="-0.249977111117893"/>
        <rFont val="Biome"/>
        <charset val="134"/>
      </rPr>
      <t>(CA9)</t>
    </r>
  </si>
  <si>
    <r>
      <rPr>
        <b/>
        <sz val="11"/>
        <color theme="9" tint="-0.249977111117893"/>
        <rFont val="Biome"/>
        <charset val="134"/>
      </rPr>
      <t>Proactive in Anticipating Change</t>
    </r>
    <r>
      <rPr>
        <sz val="11"/>
        <color theme="9" tint="-0.249977111117893"/>
        <rFont val="Biome"/>
        <charset val="134"/>
      </rPr>
      <t xml:space="preserve">
</t>
    </r>
    <r>
      <rPr>
        <i/>
        <sz val="11"/>
        <color theme="9" tint="-0.249977111117893"/>
        <rFont val="Biome"/>
        <charset val="134"/>
      </rPr>
      <t>(mengantisipasi perubahan sebelum terjadi)</t>
    </r>
    <r>
      <rPr>
        <sz val="11"/>
        <color theme="9" tint="-0.249977111117893"/>
        <rFont val="Biome"/>
        <charset val="134"/>
      </rPr>
      <t xml:space="preserve">
</t>
    </r>
    <r>
      <rPr>
        <b/>
        <sz val="11"/>
        <color theme="9" tint="-0.249977111117893"/>
        <rFont val="Biome"/>
        <charset val="134"/>
      </rPr>
      <t>(CA10)</t>
    </r>
  </si>
  <si>
    <r>
      <rPr>
        <b/>
        <sz val="11"/>
        <color rgb="FF375623"/>
        <rFont val="Biome"/>
        <charset val="134"/>
      </rPr>
      <t xml:space="preserve">Comfort with New Ways of Working
</t>
    </r>
    <r>
      <rPr>
        <i/>
        <sz val="11"/>
        <color rgb="FF375623"/>
        <rFont val="Biome"/>
        <charset val="134"/>
      </rPr>
      <t xml:space="preserve">(mulai nyaman dengan cara kerja baru)
</t>
    </r>
    <r>
      <rPr>
        <b/>
        <sz val="11"/>
        <color rgb="FF375623"/>
        <rFont val="Biome"/>
        <charset val="134"/>
      </rPr>
      <t>(CA2)</t>
    </r>
  </si>
  <si>
    <r>
      <rPr>
        <b/>
        <sz val="11"/>
        <color theme="9" tint="-0.249977111117893"/>
        <rFont val="Biome"/>
        <charset val="134"/>
      </rPr>
      <t>Managing Resistance to Change</t>
    </r>
    <r>
      <rPr>
        <sz val="11"/>
        <color theme="9" tint="-0.249977111117893"/>
        <rFont val="Biome"/>
        <charset val="134"/>
      </rPr>
      <t xml:space="preserve">
</t>
    </r>
    <r>
      <rPr>
        <i/>
        <sz val="11"/>
        <color theme="9" tint="-0.249977111117893"/>
        <rFont val="Biome"/>
        <charset val="134"/>
      </rPr>
      <t>(mampu mengurangi resistensi diri)</t>
    </r>
    <r>
      <rPr>
        <sz val="11"/>
        <color theme="9" tint="-0.249977111117893"/>
        <rFont val="Biome"/>
        <charset val="134"/>
      </rPr>
      <t xml:space="preserve">
</t>
    </r>
    <r>
      <rPr>
        <b/>
        <sz val="11"/>
        <color theme="9" tint="-0.249977111117893"/>
        <rFont val="Biome"/>
        <charset val="134"/>
      </rPr>
      <t>(CA4)</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</si>
  <si>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Understanding Organizational Goals -</t>
    </r>
  </si>
  <si>
    <r>
      <rPr>
        <b/>
        <sz val="11"/>
        <color rgb="FF833C0C"/>
        <rFont val="Biome"/>
        <charset val="134"/>
      </rPr>
      <t xml:space="preserve">Explaining Complexity
</t>
    </r>
    <r>
      <rPr>
        <i/>
        <sz val="11"/>
        <color rgb="FF833C0C"/>
        <rFont val="Biome"/>
        <charset val="134"/>
      </rPr>
      <t xml:space="preserve">(menjelaskan hal kompleks secara sederhana)
</t>
    </r>
    <r>
      <rPr>
        <b/>
        <i/>
        <sz val="11"/>
        <color rgb="FF833C0C"/>
        <rFont val="Biome"/>
        <charset val="134"/>
      </rPr>
      <t>(MA4)</t>
    </r>
  </si>
  <si>
    <r>
      <rPr>
        <b/>
        <sz val="11"/>
        <color rgb="FF548235"/>
        <rFont val="Biome"/>
        <charset val="134"/>
      </rPr>
      <t xml:space="preserve">Viewing Change as Opportunity
</t>
    </r>
    <r>
      <rPr>
        <i/>
        <sz val="11"/>
        <color rgb="FF548235"/>
        <rFont val="Biome"/>
        <charset val="134"/>
      </rPr>
      <t xml:space="preserve">(melihat perubahan sebagai peluang)
</t>
    </r>
    <r>
      <rPr>
        <b/>
        <sz val="11"/>
        <color rgb="FF548235"/>
        <rFont val="Biome"/>
        <charset val="134"/>
      </rPr>
      <t>(CA6)</t>
    </r>
  </si>
  <si>
    <r>
      <rPr>
        <b/>
        <sz val="11"/>
        <color rgb="FF548235"/>
        <rFont val="Biome"/>
        <charset val="134"/>
      </rPr>
      <t xml:space="preserve">Risk-Taking for Innovation
</t>
    </r>
    <r>
      <rPr>
        <i/>
        <sz val="11"/>
        <color rgb="FF548235"/>
        <rFont val="Biome"/>
        <charset val="134"/>
      </rPr>
      <t xml:space="preserve">(berani mencoba pendekatan baru)
</t>
    </r>
    <r>
      <rPr>
        <b/>
        <sz val="11"/>
        <color rgb="FF548235"/>
        <rFont val="Biome"/>
        <charset val="134"/>
      </rPr>
      <t>(CA8)</t>
    </r>
  </si>
  <si>
    <r>
      <rPr>
        <b/>
        <sz val="11"/>
        <color theme="5" tint="-0.499984740745262"/>
        <rFont val="Biome"/>
        <charset val="134"/>
      </rPr>
      <t>Comfort with Ambiguity</t>
    </r>
    <r>
      <rPr>
        <sz val="11"/>
        <color theme="5" tint="-0.499984740745262"/>
        <rFont val="Biome"/>
        <charset val="134"/>
      </rPr>
      <t xml:space="preserve">
</t>
    </r>
    <r>
      <rPr>
        <i/>
        <sz val="11"/>
        <color theme="5" tint="-0.499984740745262"/>
        <rFont val="Biome"/>
        <charset val="134"/>
      </rPr>
      <t>(tetap efektif di situasi tidak jelas)</t>
    </r>
    <r>
      <rPr>
        <sz val="11"/>
        <color theme="5" tint="-0.499984740745262"/>
        <rFont val="Biome"/>
        <charset val="134"/>
      </rPr>
      <t xml:space="preserve">
</t>
    </r>
    <r>
      <rPr>
        <b/>
        <sz val="11"/>
        <color theme="5" tint="-0.499984740745262"/>
        <rFont val="Biome"/>
        <charset val="134"/>
      </rPr>
      <t>(MA9)</t>
    </r>
    <r>
      <rPr>
        <sz val="11"/>
        <color theme="5" tint="-0.499984740745262"/>
        <rFont val="Biome"/>
        <charset val="134"/>
      </rPr>
      <t xml:space="preserve">
- formulating functional strategy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</si>
  <si>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shaping corporate strategy -</t>
    </r>
  </si>
  <si>
    <r>
      <rPr>
        <b/>
        <sz val="11"/>
        <color theme="7" tint="-0.499984740745262"/>
        <rFont val="Biome"/>
        <charset val="134"/>
      </rPr>
      <t xml:space="preserve">Analytical Thinking
</t>
    </r>
    <r>
      <rPr>
        <i/>
        <sz val="11"/>
        <color theme="7" tint="-0.499984740745262"/>
        <rFont val="Biome"/>
        <charset val="134"/>
      </rPr>
      <t>(memahami data &amp; fakta dasar)</t>
    </r>
    <r>
      <rPr>
        <b/>
        <sz val="11"/>
        <color theme="7" tint="-0.499984740745262"/>
        <rFont val="Biome"/>
        <charset val="134"/>
      </rPr>
      <t xml:space="preserve">
(MA1)
</t>
    </r>
    <r>
      <rPr>
        <sz val="11"/>
        <color theme="7" tint="-0.499984740745262"/>
        <rFont val="Biome"/>
        <charset val="134"/>
      </rPr>
      <t>- Identifying Patterns -</t>
    </r>
  </si>
  <si>
    <r>
      <rPr>
        <b/>
        <sz val="11"/>
        <color rgb="FF833C0C"/>
        <rFont val="Biome"/>
        <charset val="134"/>
      </rPr>
      <t xml:space="preserve">Intellectual Synthesis
</t>
    </r>
    <r>
      <rPr>
        <i/>
        <sz val="11"/>
        <color rgb="FF833C0C"/>
        <rFont val="Biome"/>
        <charset val="134"/>
      </rPr>
      <t xml:space="preserve">(menghubungkan berbagai informasi)
</t>
    </r>
    <r>
      <rPr>
        <b/>
        <sz val="11"/>
        <color rgb="FF833C0C"/>
        <rFont val="Biome"/>
        <charset val="134"/>
      </rPr>
      <t>(MA5)</t>
    </r>
  </si>
  <si>
    <r>
      <rPr>
        <b/>
        <sz val="11"/>
        <color rgb="FF833C0C"/>
        <rFont val="Biome"/>
        <charset val="134"/>
      </rPr>
      <t xml:space="preserve">Creative Exploration
</t>
    </r>
    <r>
      <rPr>
        <sz val="11"/>
        <color rgb="FF833C0C"/>
        <rFont val="Biome"/>
        <charset val="134"/>
      </rPr>
      <t xml:space="preserve">(mencari pendekatan baru)
</t>
    </r>
    <r>
      <rPr>
        <b/>
        <sz val="11"/>
        <color rgb="FF833C0C"/>
        <rFont val="Biome"/>
        <charset val="134"/>
      </rPr>
      <t>(MA7)</t>
    </r>
  </si>
  <si>
    <r>
      <rPr>
        <b/>
        <sz val="11"/>
        <color rgb="FF833C0C"/>
        <rFont val="Biome"/>
        <charset val="134"/>
      </rPr>
      <t xml:space="preserve">Comfort with Ambiguity
</t>
    </r>
    <r>
      <rPr>
        <i/>
        <sz val="11"/>
        <color rgb="FF833C0C"/>
        <rFont val="Biome"/>
        <charset val="134"/>
      </rPr>
      <t xml:space="preserve">(tetap efektif di situasi tidak jelas)
</t>
    </r>
    <r>
      <rPr>
        <b/>
        <sz val="11"/>
        <color rgb="FF833C0C"/>
        <rFont val="Biome"/>
        <charset val="134"/>
      </rPr>
      <t xml:space="preserve">(MA9)
</t>
    </r>
    <r>
      <rPr>
        <sz val="11"/>
        <color rgb="FF833C0C"/>
        <rFont val="Biome"/>
        <charset val="134"/>
      </rPr>
      <t>- abstract model building -</t>
    </r>
  </si>
  <si>
    <r>
      <rPr>
        <b/>
        <sz val="11"/>
        <color rgb="FF833C0C"/>
        <rFont val="Biome"/>
        <charset val="134"/>
      </rPr>
      <t xml:space="preserve">Tolerance for Ambiguity
</t>
    </r>
    <r>
      <rPr>
        <i/>
        <sz val="11"/>
        <color rgb="FF833C0C"/>
        <rFont val="Biome"/>
        <charset val="134"/>
      </rPr>
      <t xml:space="preserve">(mampu memimpin dalam uncertainty tinggi)
</t>
    </r>
    <r>
      <rPr>
        <b/>
        <sz val="11"/>
        <color rgb="FF833C0C"/>
        <rFont val="Biome"/>
        <charset val="134"/>
      </rPr>
      <t xml:space="preserve">(MA10)
</t>
    </r>
    <r>
      <rPr>
        <sz val="11"/>
        <color rgb="FF833C0C"/>
        <rFont val="Biome"/>
        <charset val="134"/>
      </rPr>
      <t>- paradigm shifting -</t>
    </r>
  </si>
  <si>
    <r>
      <rPr>
        <b/>
        <sz val="11"/>
        <color rgb="FF7030A0"/>
        <rFont val="Biome"/>
        <charset val="134"/>
      </rPr>
      <t xml:space="preserve"> Listening for understanding</t>
    </r>
    <r>
      <rPr>
        <sz val="11"/>
        <color rgb="FF7030A0"/>
        <rFont val="Biome"/>
        <charset val="134"/>
      </rPr>
      <t xml:space="preserve">
(mendengarkan &amp; memahami dasar)
</t>
    </r>
    <r>
      <rPr>
        <b/>
        <sz val="11"/>
        <color rgb="FF7030A0"/>
        <rFont val="Biome"/>
        <charset val="134"/>
      </rPr>
      <t>(PA1)</t>
    </r>
  </si>
  <si>
    <r>
      <rPr>
        <b/>
        <sz val="11"/>
        <color rgb="FF7030A0"/>
        <rFont val="Biome"/>
        <charset val="134"/>
      </rPr>
      <t>Genuine Curiosity about Others</t>
    </r>
    <r>
      <rPr>
        <sz val="11"/>
        <color rgb="FF7030A0"/>
        <rFont val="Biome"/>
        <charset val="134"/>
      </rPr>
      <t xml:space="preserve">
(rasa ingin tahu tulus pada orang lain)
</t>
    </r>
    <r>
      <rPr>
        <b/>
        <sz val="11"/>
        <color rgb="FF7030A0"/>
        <rFont val="Biome"/>
        <charset val="134"/>
      </rPr>
      <t>(PA3)</t>
    </r>
  </si>
  <si>
    <r>
      <rPr>
        <b/>
        <sz val="11"/>
        <color rgb="FF7030A0"/>
        <rFont val="Biome"/>
        <charset val="134"/>
      </rPr>
      <t>Understanding Different Perspectives</t>
    </r>
    <r>
      <rPr>
        <sz val="11"/>
        <color rgb="FF7030A0"/>
        <rFont val="Biome"/>
        <charset val="134"/>
      </rPr>
      <t xml:space="preserve">
(Analisis multi-sudut pandang untuk pemahaman mendalam)
</t>
    </r>
    <r>
      <rPr>
        <b/>
        <sz val="11"/>
        <color rgb="FF7030A0"/>
        <rFont val="Biome"/>
        <charset val="134"/>
      </rPr>
      <t>(PA6)</t>
    </r>
  </si>
  <si>
    <r>
      <rPr>
        <b/>
        <sz val="11"/>
        <color rgb="FF7030A0"/>
        <rFont val="Biome"/>
        <charset val="134"/>
      </rPr>
      <t>Empathy</t>
    </r>
    <r>
      <rPr>
        <sz val="11"/>
        <color rgb="FF7030A0"/>
        <rFont val="Biome"/>
        <charset val="134"/>
      </rPr>
      <t xml:space="preserve">
(Merasakan &amp; memahami emosi orang lain)
</t>
    </r>
    <r>
      <rPr>
        <b/>
        <sz val="11"/>
        <color rgb="FF7030A0"/>
        <rFont val="Biome"/>
        <charset val="134"/>
      </rPr>
      <t>(PA7)</t>
    </r>
  </si>
  <si>
    <r>
      <rPr>
        <b/>
        <sz val="11"/>
        <color rgb="FF7030A0"/>
        <rFont val="Biome"/>
        <charset val="134"/>
      </rPr>
      <t>Managing Challanging Stakeholder</t>
    </r>
    <r>
      <rPr>
        <sz val="11"/>
        <color rgb="FF7030A0"/>
        <rFont val="Biome"/>
        <charset val="134"/>
      </rPr>
      <t xml:space="preserve">
(Mengelola relasi berkelanjutan dengan stakeholder sulit)
</t>
    </r>
    <r>
      <rPr>
        <b/>
        <sz val="11"/>
        <color rgb="FF7030A0"/>
        <rFont val="Biome"/>
        <charset val="134"/>
      </rPr>
      <t>(PA9)</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</si>
  <si>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</si>
  <si>
    <r>
      <rPr>
        <b/>
        <sz val="11"/>
        <color theme="7" tint="-0.249977111117893"/>
        <rFont val="Biome"/>
        <charset val="134"/>
      </rPr>
      <t>Openness to Criticism</t>
    </r>
    <r>
      <rPr>
        <sz val="11"/>
        <color theme="7" tint="-0.249977111117893"/>
        <rFont val="Biome"/>
        <charset val="134"/>
      </rPr>
      <t xml:space="preserve">
</t>
    </r>
    <r>
      <rPr>
        <i/>
        <sz val="11"/>
        <color theme="7" tint="-0.249977111117893"/>
        <rFont val="Biome"/>
        <charset val="134"/>
      </rPr>
      <t>(menerima kritik dasar)</t>
    </r>
    <r>
      <rPr>
        <sz val="11"/>
        <color theme="7" tint="-0.249977111117893"/>
        <rFont val="Biome"/>
        <charset val="134"/>
      </rPr>
      <t xml:space="preserve">
</t>
    </r>
    <r>
      <rPr>
        <b/>
        <sz val="11"/>
        <color theme="7" tint="-0.249977111117893"/>
        <rFont val="Biome"/>
        <charset val="134"/>
      </rPr>
      <t>(SA1)</t>
    </r>
  </si>
  <si>
    <r>
      <rPr>
        <b/>
        <sz val="11"/>
        <color theme="7" tint="-0.249977111117893"/>
        <rFont val="Biome"/>
        <charset val="134"/>
      </rPr>
      <t>Understanding Strengths &amp; Weaknesses</t>
    </r>
    <r>
      <rPr>
        <sz val="11"/>
        <color theme="7" tint="-0.249977111117893"/>
        <rFont val="Biome"/>
        <charset val="134"/>
      </rPr>
      <t xml:space="preserve">
</t>
    </r>
    <r>
      <rPr>
        <i/>
        <sz val="11"/>
        <color theme="7" tint="-0.249977111117893"/>
        <rFont val="Biome"/>
        <charset val="134"/>
      </rPr>
      <t>(memahami kekuatan &amp; kelemahan)</t>
    </r>
    <r>
      <rPr>
        <sz val="11"/>
        <color theme="7" tint="-0.249977111117893"/>
        <rFont val="Biome"/>
        <charset val="134"/>
      </rPr>
      <t xml:space="preserve">
</t>
    </r>
    <r>
      <rPr>
        <b/>
        <sz val="11"/>
        <color theme="7" tint="-0.249977111117893"/>
        <rFont val="Biome"/>
        <charset val="134"/>
      </rPr>
      <t>(SA4)</t>
    </r>
  </si>
  <si>
    <r>
      <rPr>
        <b/>
        <sz val="11"/>
        <color theme="7" tint="-0.249977111117893"/>
        <rFont val="Biome"/>
        <charset val="134"/>
      </rPr>
      <t>Proactive Self-Development for Adaptation</t>
    </r>
    <r>
      <rPr>
        <sz val="11"/>
        <color theme="7" tint="-0.249977111117893"/>
        <rFont val="Biome"/>
        <charset val="134"/>
      </rPr>
      <t xml:space="preserve">
(aktif mengembangkan diri)
</t>
    </r>
    <r>
      <rPr>
        <b/>
        <sz val="11"/>
        <color theme="7" tint="-0.249977111117893"/>
        <rFont val="Biome"/>
        <charset val="134"/>
      </rPr>
      <t>(SA6)</t>
    </r>
  </si>
  <si>
    <r>
      <rPr>
        <b/>
        <sz val="11"/>
        <color theme="7" tint="-0.249977111117893"/>
        <rFont val="Biome"/>
        <charset val="134"/>
      </rPr>
      <t>Awareness of Impact on Others</t>
    </r>
    <r>
      <rPr>
        <sz val="11"/>
        <color theme="7" tint="-0.249977111117893"/>
        <rFont val="Biome"/>
        <charset val="134"/>
      </rPr>
      <t xml:space="preserve">
</t>
    </r>
    <r>
      <rPr>
        <i/>
        <sz val="11"/>
        <color theme="7" tint="-0.249977111117893"/>
        <rFont val="Biome"/>
        <charset val="134"/>
      </rPr>
      <t>(memahami dampak perilaku terhadap orang lain)</t>
    </r>
    <r>
      <rPr>
        <sz val="11"/>
        <color theme="7" tint="-0.249977111117893"/>
        <rFont val="Biome"/>
        <charset val="134"/>
      </rPr>
      <t xml:space="preserve">
</t>
    </r>
    <r>
      <rPr>
        <b/>
        <sz val="11"/>
        <color theme="7" tint="-0.249977111117893"/>
        <rFont val="Biome"/>
        <charset val="134"/>
      </rPr>
      <t>(SA8)</t>
    </r>
  </si>
  <si>
    <r>
      <rPr>
        <b/>
        <sz val="11"/>
        <color theme="7" tint="-0.249977111117893"/>
        <rFont val="Biome"/>
        <charset val="134"/>
      </rPr>
      <t>Managing Emotions Effectively</t>
    </r>
    <r>
      <rPr>
        <sz val="11"/>
        <color theme="7" tint="-0.249977111117893"/>
        <rFont val="Biome"/>
        <charset val="134"/>
      </rPr>
      <t xml:space="preserve">
</t>
    </r>
    <r>
      <rPr>
        <i/>
        <sz val="11"/>
        <color theme="7" tint="-0.249977111117893"/>
        <rFont val="Biome"/>
        <charset val="134"/>
      </rPr>
      <t>(mengelola emosi secara matang)</t>
    </r>
    <r>
      <rPr>
        <sz val="11"/>
        <color theme="7" tint="-0.249977111117893"/>
        <rFont val="Biome"/>
        <charset val="134"/>
      </rPr>
      <t xml:space="preserve">
</t>
    </r>
    <r>
      <rPr>
        <b/>
        <sz val="11"/>
        <color theme="7" tint="-0.249977111117893"/>
        <rFont val="Biome"/>
        <charset val="134"/>
      </rPr>
      <t>(SA9)</t>
    </r>
    <r>
      <rPr>
        <sz val="11"/>
        <color theme="7" tint="-0.249977111117893"/>
        <rFont val="Biome"/>
        <charset val="134"/>
      </rPr>
      <t xml:space="preserve">
- career mentoring -</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</si>
  <si>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 xml:space="preserve">(SA10)
</t>
    </r>
    <r>
      <rPr>
        <sz val="11"/>
        <color theme="7" tint="-0.249977111117893"/>
        <rFont val="Biome"/>
        <charset val="134"/>
      </rPr>
      <t>- building learning organization -</t>
    </r>
  </si>
  <si>
    <r>
      <rPr>
        <b/>
        <sz val="11"/>
        <color rgb="FF7030A0"/>
        <rFont val="Biome"/>
        <charset val="134"/>
      </rPr>
      <t xml:space="preserve"> Listening for understanding
</t>
    </r>
    <r>
      <rPr>
        <i/>
        <sz val="11"/>
        <color rgb="FF7030A0"/>
        <rFont val="Biome"/>
        <charset val="134"/>
      </rPr>
      <t xml:space="preserve">(mendengarkan &amp; memahami dasar)
</t>
    </r>
    <r>
      <rPr>
        <b/>
        <sz val="11"/>
        <color rgb="FF7030A0"/>
        <rFont val="Biome"/>
        <charset val="134"/>
      </rPr>
      <t xml:space="preserve">(PA1)
</t>
    </r>
    <r>
      <rPr>
        <sz val="11"/>
        <color rgb="FF7030A0"/>
        <rFont val="Biome"/>
        <charset val="134"/>
      </rPr>
      <t>- Contributing to Team Goals -</t>
    </r>
  </si>
  <si>
    <r>
      <rPr>
        <b/>
        <sz val="11"/>
        <color rgb="FF7030A0"/>
        <rFont val="Biome"/>
        <charset val="134"/>
      </rPr>
      <t xml:space="preserve">Collaboration with Diversity
</t>
    </r>
    <r>
      <rPr>
        <sz val="11"/>
        <color rgb="FF7030A0"/>
        <rFont val="Biome"/>
        <charset val="134"/>
      </rPr>
      <t xml:space="preserve">(Bekerja efektif dalam keberagaman)
</t>
    </r>
    <r>
      <rPr>
        <b/>
        <sz val="11"/>
        <color rgb="FF7030A0"/>
        <rFont val="Biome"/>
        <charset val="134"/>
      </rPr>
      <t>(PA4)</t>
    </r>
  </si>
  <si>
    <r>
      <rPr>
        <b/>
        <sz val="11"/>
        <color rgb="FF7030A0"/>
        <rFont val="Biome"/>
        <charset val="134"/>
      </rPr>
      <t xml:space="preserve">Valuing Diverse Opinions
</t>
    </r>
    <r>
      <rPr>
        <sz val="11"/>
        <color rgb="FF7030A0"/>
        <rFont val="Biome"/>
        <charset val="134"/>
      </rPr>
      <t xml:space="preserve">(Menghargai opini berbeda dalam pengambilan keputusan)
</t>
    </r>
    <r>
      <rPr>
        <b/>
        <sz val="11"/>
        <color rgb="FF7030A0"/>
        <rFont val="Biome"/>
        <charset val="134"/>
      </rPr>
      <t>(PA5)</t>
    </r>
  </si>
  <si>
    <r>
      <rPr>
        <b/>
        <sz val="11"/>
        <color rgb="FF7030A0"/>
        <rFont val="Biome"/>
        <charset val="134"/>
      </rPr>
      <t xml:space="preserve">Conflict Navigation
</t>
    </r>
    <r>
      <rPr>
        <sz val="11"/>
        <color rgb="FF7030A0"/>
        <rFont val="Biome"/>
        <charset val="134"/>
      </rPr>
      <t xml:space="preserve">(menghadapi konflik secara konstruktif)
</t>
    </r>
    <r>
      <rPr>
        <b/>
        <sz val="11"/>
        <color rgb="FF7030A0"/>
        <rFont val="Biome"/>
        <charset val="134"/>
      </rPr>
      <t>(PA8)</t>
    </r>
  </si>
  <si>
    <r>
      <rPr>
        <b/>
        <sz val="11"/>
        <color rgb="FF7030A0"/>
        <rFont val="Biome"/>
        <charset val="134"/>
      </rPr>
      <t xml:space="preserve">Managing Challanging Stakeholder
</t>
    </r>
    <r>
      <rPr>
        <sz val="11"/>
        <color rgb="FF7030A0"/>
        <rFont val="Biome"/>
        <charset val="134"/>
      </rPr>
      <t xml:space="preserve">(Mengelola relasi berkelanjutan dengan stakeholder sulit)
</t>
    </r>
    <r>
      <rPr>
        <b/>
        <sz val="11"/>
        <color rgb="FF7030A0"/>
        <rFont val="Biome"/>
        <charset val="134"/>
      </rPr>
      <t xml:space="preserve">(PA9)
</t>
    </r>
    <r>
      <rPr>
        <sz val="11"/>
        <color rgb="FF7030A0"/>
        <rFont val="Biome"/>
        <charset val="134"/>
      </rPr>
      <t xml:space="preserve">-  cross functional collaboration - </t>
    </r>
  </si>
  <si>
    <r>
      <rPr>
        <b/>
        <sz val="11"/>
        <color rgb="FF7030A0"/>
        <rFont val="Biome"/>
        <charset val="134"/>
      </rPr>
      <t xml:space="preserve">Conflict Mediation
</t>
    </r>
    <r>
      <rPr>
        <i/>
        <sz val="11"/>
        <color rgb="FF7030A0"/>
        <rFont val="Biome"/>
        <charset val="134"/>
      </rPr>
      <t xml:space="preserve">(menjadi penengah &amp; penyatu pihak berbeda)
</t>
    </r>
    <r>
      <rPr>
        <b/>
        <sz val="11"/>
        <color rgb="FF7030A0"/>
        <rFont val="Biome"/>
        <charset val="134"/>
      </rPr>
      <t xml:space="preserve">(PA10)
</t>
    </r>
    <r>
      <rPr>
        <sz val="11"/>
        <color rgb="FF7030A0"/>
        <rFont val="Biome"/>
        <charset val="134"/>
      </rPr>
      <t xml:space="preserve">- organizational synergy - </t>
    </r>
  </si>
  <si>
    <r>
      <rPr>
        <b/>
        <sz val="11"/>
        <color rgb="FF7030A0"/>
        <rFont val="Biome"/>
        <charset val="134"/>
      </rPr>
      <t xml:space="preserve">Openness to Feedback
</t>
    </r>
    <r>
      <rPr>
        <sz val="11"/>
        <color rgb="FF7030A0"/>
        <rFont val="Biome"/>
        <charset val="134"/>
      </rPr>
      <t>(menerima &amp; mencari masukan)</t>
    </r>
    <r>
      <rPr>
        <b/>
        <sz val="11"/>
        <color rgb="FF7030A0"/>
        <rFont val="Biome"/>
        <charset val="134"/>
      </rPr>
      <t xml:space="preserve">
(PA2)
</t>
    </r>
    <r>
      <rPr>
        <sz val="11"/>
        <color rgb="FF7030A0"/>
        <rFont val="Biome"/>
        <charset val="134"/>
      </rPr>
      <t>- Clear &amp; Concise Communication -</t>
    </r>
  </si>
  <si>
    <r>
      <rPr>
        <b/>
        <sz val="11"/>
        <color rgb="FF7030A0"/>
        <rFont val="Biome"/>
        <charset val="134"/>
      </rPr>
      <t>Collaboration with Diversity</t>
    </r>
    <r>
      <rPr>
        <sz val="11"/>
        <color rgb="FF7030A0"/>
        <rFont val="Biome"/>
        <charset val="134"/>
      </rPr>
      <t xml:space="preserve">
(Bekerja efektif dalam keberagaman)
</t>
    </r>
    <r>
      <rPr>
        <b/>
        <sz val="11"/>
        <color rgb="FF7030A0"/>
        <rFont val="Biome"/>
        <charset val="134"/>
      </rPr>
      <t>(PA4)</t>
    </r>
  </si>
  <si>
    <r>
      <rPr>
        <b/>
        <sz val="11"/>
        <color rgb="FF7030A0"/>
        <rFont val="Biome"/>
        <charset val="134"/>
      </rPr>
      <t>Valuing Diverse Opinions</t>
    </r>
    <r>
      <rPr>
        <sz val="11"/>
        <color rgb="FF7030A0"/>
        <rFont val="Biome"/>
        <charset val="134"/>
      </rPr>
      <t xml:space="preserve">
(Menghargai opini berbeda dalam pengambilan keputusan)
</t>
    </r>
    <r>
      <rPr>
        <b/>
        <sz val="11"/>
        <color rgb="FF7030A0"/>
        <rFont val="Biome"/>
        <charset val="134"/>
      </rPr>
      <t>(PA5)</t>
    </r>
  </si>
  <si>
    <r>
      <rPr>
        <b/>
        <sz val="11"/>
        <color rgb="FF7030A0"/>
        <rFont val="Biome"/>
        <charset val="134"/>
      </rPr>
      <t>Conflict Navigation</t>
    </r>
    <r>
      <rPr>
        <sz val="11"/>
        <color rgb="FF7030A0"/>
        <rFont val="Biome"/>
        <charset val="134"/>
      </rPr>
      <t xml:space="preserve">
(menghadapi konflik secara konstruktif)
</t>
    </r>
    <r>
      <rPr>
        <b/>
        <sz val="11"/>
        <color rgb="FF7030A0"/>
        <rFont val="Biome"/>
        <charset val="134"/>
      </rPr>
      <t>(PA8)</t>
    </r>
  </si>
  <si>
    <r>
      <rPr>
        <b/>
        <sz val="11"/>
        <color rgb="FF7030A0"/>
        <rFont val="Biome"/>
        <charset val="134"/>
      </rPr>
      <t>Managing Challenging Stakeholder</t>
    </r>
    <r>
      <rPr>
        <sz val="11"/>
        <color rgb="FF7030A0"/>
        <rFont val="Biome"/>
        <charset val="134"/>
      </rPr>
      <t xml:space="preserve">
(Mengelola relasi berkelanjutan dengan stakeholder sulit)
</t>
    </r>
    <r>
      <rPr>
        <b/>
        <sz val="11"/>
        <color rgb="FF7030A0"/>
        <rFont val="Biome"/>
        <charset val="134"/>
      </rPr>
      <t>(PA9)</t>
    </r>
    <r>
      <rPr>
        <sz val="11"/>
        <color rgb="FF7030A0"/>
        <rFont val="Biome"/>
        <charset val="134"/>
      </rPr>
      <t xml:space="preserve">
-  managing difficult conversation - </t>
    </r>
  </si>
  <si>
    <r>
      <rPr>
        <b/>
        <sz val="11"/>
        <color rgb="FF7030A0"/>
        <rFont val="Biome"/>
        <charset val="134"/>
      </rPr>
      <t>Conflict Mediation</t>
    </r>
    <r>
      <rPr>
        <sz val="11"/>
        <color rgb="FF7030A0"/>
        <rFont val="Biome"/>
        <charset val="134"/>
      </rPr>
      <t xml:space="preserve">
</t>
    </r>
    <r>
      <rPr>
        <i/>
        <sz val="11"/>
        <color rgb="FF7030A0"/>
        <rFont val="Biome"/>
        <charset val="134"/>
      </rPr>
      <t>(menjadi penengah &amp; penyatu pihak berbeda)</t>
    </r>
    <r>
      <rPr>
        <sz val="11"/>
        <color rgb="FF7030A0"/>
        <rFont val="Biome"/>
        <charset val="134"/>
      </rPr>
      <t xml:space="preserve">
</t>
    </r>
    <r>
      <rPr>
        <b/>
        <sz val="11"/>
        <color rgb="FF7030A0"/>
        <rFont val="Biome"/>
        <charset val="134"/>
      </rPr>
      <t>(PA10)</t>
    </r>
    <r>
      <rPr>
        <sz val="11"/>
        <color rgb="FF7030A0"/>
        <rFont val="Biome"/>
        <charset val="134"/>
      </rPr>
      <t xml:space="preserve">
- crisis communication - </t>
    </r>
  </si>
  <si>
    <r>
      <rPr>
        <b/>
        <sz val="11"/>
        <color rgb="FF0070C0"/>
        <rFont val="Biome"/>
        <charset val="134"/>
      </rPr>
      <t>Task Completion Quality</t>
    </r>
    <r>
      <rPr>
        <sz val="11"/>
        <color rgb="FF0070C0"/>
        <rFont val="Biome"/>
        <charset val="134"/>
      </rPr>
      <t xml:space="preserve">
</t>
    </r>
    <r>
      <rPr>
        <i/>
        <sz val="11"/>
        <color rgb="FF0070C0"/>
        <rFont val="Biome"/>
        <charset val="134"/>
      </rPr>
      <t xml:space="preserve">(menyelesaikan tugas dengan baik)
</t>
    </r>
    <r>
      <rPr>
        <b/>
        <i/>
        <sz val="11"/>
        <color rgb="FF0070C0"/>
        <rFont val="Biome"/>
        <charset val="134"/>
      </rPr>
      <t>(RA1)</t>
    </r>
    <r>
      <rPr>
        <sz val="11"/>
        <color rgb="FF0070C0"/>
        <rFont val="Biome"/>
        <charset val="134"/>
      </rPr>
      <t xml:space="preserve">
- Meeting Customer Needs -</t>
    </r>
  </si>
  <si>
    <r>
      <rPr>
        <b/>
        <sz val="11"/>
        <color rgb="FF0070C0"/>
        <rFont val="Biome"/>
        <charset val="134"/>
      </rPr>
      <t xml:space="preserve">Tenacity &amp; Strategic Persistence
</t>
    </r>
    <r>
      <rPr>
        <sz val="11"/>
        <color rgb="FF0070C0"/>
        <rFont val="Biome"/>
        <charset val="134"/>
      </rPr>
      <t xml:space="preserve">(menjaga komitmen di tengan tantangan)
</t>
    </r>
    <r>
      <rPr>
        <b/>
        <sz val="11"/>
        <color rgb="FF0070C0"/>
        <rFont val="Biome"/>
        <charset val="134"/>
      </rPr>
      <t>(RA4)</t>
    </r>
    <r>
      <rPr>
        <sz val="11"/>
        <color rgb="FF0070C0"/>
        <rFont val="Biome"/>
        <charset val="134"/>
      </rPr>
      <t xml:space="preserve">
- anticipating customer needs - </t>
    </r>
  </si>
  <si>
    <r>
      <rPr>
        <b/>
        <sz val="11"/>
        <color rgb="FF0070C0"/>
        <rFont val="Biome"/>
        <charset val="134"/>
      </rPr>
      <t>Deciding with Incomplete Data</t>
    </r>
    <r>
      <rPr>
        <sz val="11"/>
        <color rgb="FF0070C0"/>
        <rFont val="Biome"/>
        <charset val="134"/>
      </rPr>
      <t xml:space="preserve">
(mengambil keputusan dengan data/informasi terbatas)
</t>
    </r>
    <r>
      <rPr>
        <b/>
        <sz val="11"/>
        <color rgb="FF0070C0"/>
        <rFont val="Biome"/>
        <charset val="134"/>
      </rPr>
      <t>(RA6)</t>
    </r>
    <r>
      <rPr>
        <sz val="11"/>
        <color rgb="FF0070C0"/>
        <rFont val="Biome"/>
        <charset val="134"/>
      </rPr>
      <t xml:space="preserve">
- handling complaints proffesionally - </t>
    </r>
  </si>
  <si>
    <r>
      <rPr>
        <b/>
        <sz val="11"/>
        <color rgb="FF0070C0"/>
        <rFont val="Biome"/>
        <charset val="134"/>
      </rPr>
      <t>Focus Under Pressure</t>
    </r>
    <r>
      <rPr>
        <sz val="11"/>
        <color rgb="FF0070C0"/>
        <rFont val="Biome"/>
        <charset val="134"/>
      </rPr>
      <t xml:space="preserve">
(tetap fokus dalam tekanan tinggi
</t>
    </r>
    <r>
      <rPr>
        <b/>
        <sz val="11"/>
        <color rgb="FF0070C0"/>
        <rFont val="Biome"/>
        <charset val="134"/>
      </rPr>
      <t xml:space="preserve">(RA7)
</t>
    </r>
    <r>
      <rPr>
        <sz val="11"/>
        <color rgb="FF0070C0"/>
        <rFont val="Biome"/>
        <charset val="134"/>
      </rPr>
      <t>- building long-term relationship -</t>
    </r>
  </si>
  <si>
    <r>
      <rPr>
        <b/>
        <sz val="11"/>
        <color rgb="FF0070C0"/>
        <rFont val="Biome"/>
        <charset val="134"/>
      </rPr>
      <t xml:space="preserve">Agile Problem-Solving Under Pressure
</t>
    </r>
    <r>
      <rPr>
        <i/>
        <sz val="11"/>
        <color rgb="FF0070C0"/>
        <rFont val="Biome"/>
        <charset val="134"/>
      </rPr>
      <t xml:space="preserve">(rencana di tengah ketidakpastian
</t>
    </r>
    <r>
      <rPr>
        <b/>
        <i/>
        <sz val="11"/>
        <color rgb="FF0070C0"/>
        <rFont val="Biome"/>
        <charset val="134"/>
      </rPr>
      <t xml:space="preserve">(RA9)
</t>
    </r>
    <r>
      <rPr>
        <sz val="11"/>
        <color rgb="FF0070C0"/>
        <rFont val="Biome"/>
        <charset val="134"/>
      </rPr>
      <t>- voice of custoner into strategy -</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</si>
  <si>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 xml:space="preserve">(RA10)
</t>
    </r>
    <r>
      <rPr>
        <sz val="11"/>
        <color rgb="FF0070C0"/>
        <rFont val="Biome"/>
        <charset val="134"/>
      </rPr>
      <t xml:space="preserve">- customer centric culture - </t>
    </r>
  </si>
  <si>
    <t>NO</t>
  </si>
  <si>
    <t>Level</t>
  </si>
  <si>
    <t>Mental Agility
(MA)</t>
  </si>
  <si>
    <t>People Agility
(PA)</t>
  </si>
  <si>
    <t>Change Agility
(CA)</t>
  </si>
  <si>
    <t>Result Agility
(RA)</t>
  </si>
  <si>
    <t>Self Awareness Agility
(SA)</t>
  </si>
  <si>
    <r>
      <rPr>
        <b/>
        <sz val="11"/>
        <color theme="5" tint="-0.499984740745262"/>
        <rFont val="Biome"/>
        <charset val="134"/>
      </rPr>
      <t xml:space="preserve">Analytical Thinking
</t>
    </r>
    <r>
      <rPr>
        <i/>
        <sz val="11"/>
        <color theme="5" tint="-0.499984740745262"/>
        <rFont val="Biome"/>
        <charset val="134"/>
      </rPr>
      <t xml:space="preserve">(memahami data &amp; fakta dasar)
</t>
    </r>
    <r>
      <rPr>
        <b/>
        <i/>
        <sz val="11"/>
        <color theme="5" tint="-0.499984740745262"/>
        <rFont val="Biome"/>
        <charset val="134"/>
      </rPr>
      <t>(MA1)</t>
    </r>
  </si>
  <si>
    <r>
      <rPr>
        <b/>
        <sz val="11"/>
        <color rgb="FF7030A0"/>
        <rFont val="Biome"/>
        <charset val="134"/>
      </rPr>
      <t xml:space="preserve"> Listening for understanding</t>
    </r>
    <r>
      <rPr>
        <sz val="11"/>
        <color rgb="FF7030A0"/>
        <rFont val="Biome"/>
        <charset val="134"/>
      </rPr>
      <t xml:space="preserve">
</t>
    </r>
    <r>
      <rPr>
        <i/>
        <sz val="11"/>
        <color rgb="FF7030A0"/>
        <rFont val="Biome"/>
        <charset val="134"/>
      </rPr>
      <t>(mendengarkan &amp; memahami dasar)</t>
    </r>
    <r>
      <rPr>
        <sz val="11"/>
        <color rgb="FF7030A0"/>
        <rFont val="Biome"/>
        <charset val="134"/>
      </rPr>
      <t xml:space="preserve">
</t>
    </r>
    <r>
      <rPr>
        <b/>
        <sz val="11"/>
        <color rgb="FF7030A0"/>
        <rFont val="Biome"/>
        <charset val="134"/>
      </rPr>
      <t>(PA1)</t>
    </r>
  </si>
  <si>
    <r>
      <rPr>
        <b/>
        <sz val="11"/>
        <color theme="9" tint="-0.249977111117893"/>
        <rFont val="Biome"/>
        <charset val="134"/>
      </rPr>
      <t>Adapting to New Systems</t>
    </r>
    <r>
      <rPr>
        <sz val="11"/>
        <color theme="9" tint="-0.249977111117893"/>
        <rFont val="Biome"/>
        <charset val="134"/>
      </rPr>
      <t xml:space="preserve">
</t>
    </r>
    <r>
      <rPr>
        <i/>
        <sz val="11"/>
        <color theme="9" tint="-0.249977111117893"/>
        <rFont val="Biome"/>
        <charset val="134"/>
      </rPr>
      <t>(mengikuti perubahan dasar)</t>
    </r>
    <r>
      <rPr>
        <sz val="11"/>
        <color theme="9" tint="-0.249977111117893"/>
        <rFont val="Biome"/>
        <charset val="134"/>
      </rPr>
      <t xml:space="preserve">
</t>
    </r>
    <r>
      <rPr>
        <b/>
        <sz val="11"/>
        <color theme="9" tint="-0.249977111117893"/>
        <rFont val="Biome"/>
        <charset val="134"/>
      </rPr>
      <t>(CA1)</t>
    </r>
  </si>
  <si>
    <r>
      <rPr>
        <b/>
        <sz val="11"/>
        <color rgb="FF0070C0"/>
        <rFont val="Biome"/>
        <charset val="134"/>
      </rPr>
      <t xml:space="preserve">Task Completion Quality 
</t>
    </r>
    <r>
      <rPr>
        <i/>
        <sz val="11"/>
        <color rgb="FF0070C0"/>
        <rFont val="Biome"/>
        <charset val="134"/>
      </rPr>
      <t xml:space="preserve">(menyelesaikan tugas dengan baik)
</t>
    </r>
    <r>
      <rPr>
        <b/>
        <i/>
        <sz val="11"/>
        <color rgb="FF0070C0"/>
        <rFont val="Biome"/>
        <charset val="134"/>
      </rPr>
      <t>(RA1)</t>
    </r>
  </si>
  <si>
    <r>
      <rPr>
        <b/>
        <sz val="11"/>
        <color theme="5" tint="-0.499984740745262"/>
        <rFont val="Biome"/>
        <charset val="134"/>
      </rPr>
      <t xml:space="preserve">Root Cause Analysis
</t>
    </r>
    <r>
      <rPr>
        <sz val="11"/>
        <color theme="5" tint="-0.499984740745262"/>
        <rFont val="Biome"/>
        <charset val="134"/>
      </rPr>
      <t xml:space="preserve">(mencari penyebab masalah)
</t>
    </r>
    <r>
      <rPr>
        <b/>
        <sz val="11"/>
        <color theme="5" tint="-0.499984740745262"/>
        <rFont val="Biome"/>
        <charset val="134"/>
      </rPr>
      <t>(MA2)</t>
    </r>
  </si>
  <si>
    <r>
      <rPr>
        <b/>
        <sz val="11"/>
        <color rgb="FF7030A0"/>
        <rFont val="Biome"/>
        <charset val="134"/>
      </rPr>
      <t>Openness to Feedback</t>
    </r>
    <r>
      <rPr>
        <sz val="11"/>
        <color rgb="FF7030A0"/>
        <rFont val="Biome"/>
        <charset val="134"/>
      </rPr>
      <t xml:space="preserve">
</t>
    </r>
    <r>
      <rPr>
        <i/>
        <sz val="11"/>
        <color rgb="FF7030A0"/>
        <rFont val="Biome"/>
        <charset val="134"/>
      </rPr>
      <t>(menerima &amp; mencari masukan)</t>
    </r>
    <r>
      <rPr>
        <sz val="11"/>
        <color rgb="FF7030A0"/>
        <rFont val="Biome"/>
        <charset val="134"/>
      </rPr>
      <t xml:space="preserve">
</t>
    </r>
    <r>
      <rPr>
        <b/>
        <sz val="11"/>
        <color rgb="FF7030A0"/>
        <rFont val="Biome"/>
        <charset val="134"/>
      </rPr>
      <t>(PA2)</t>
    </r>
  </si>
  <si>
    <r>
      <rPr>
        <b/>
        <sz val="11"/>
        <color theme="9" tint="-0.249977111117893"/>
        <rFont val="Biome"/>
        <charset val="134"/>
      </rPr>
      <t>Comfort with New Ways of Working</t>
    </r>
    <r>
      <rPr>
        <sz val="11"/>
        <color theme="9" tint="-0.249977111117893"/>
        <rFont val="Biome"/>
        <charset val="134"/>
      </rPr>
      <t xml:space="preserve">
</t>
    </r>
    <r>
      <rPr>
        <i/>
        <sz val="11"/>
        <color theme="9" tint="-0.249977111117893"/>
        <rFont val="Biome"/>
        <charset val="134"/>
      </rPr>
      <t>(mulai nyaman dengan cara kerja baru)</t>
    </r>
    <r>
      <rPr>
        <sz val="11"/>
        <color theme="9" tint="-0.249977111117893"/>
        <rFont val="Biome"/>
        <charset val="134"/>
      </rPr>
      <t xml:space="preserve">
</t>
    </r>
    <r>
      <rPr>
        <b/>
        <sz val="11"/>
        <color theme="9" tint="-0.249977111117893"/>
        <rFont val="Biome"/>
        <charset val="134"/>
      </rPr>
      <t>(CA2)</t>
    </r>
  </si>
  <si>
    <r>
      <rPr>
        <b/>
        <sz val="11"/>
        <color theme="7" tint="-0.249977111117893"/>
        <rFont val="Biome"/>
        <charset val="134"/>
      </rPr>
      <t>Admitting Mistakes</t>
    </r>
    <r>
      <rPr>
        <sz val="11"/>
        <color theme="7" tint="-0.249977111117893"/>
        <rFont val="Biome"/>
        <charset val="134"/>
      </rPr>
      <t xml:space="preserve">
</t>
    </r>
    <r>
      <rPr>
        <i/>
        <sz val="11"/>
        <color theme="7" tint="-0.249977111117893"/>
        <rFont val="Biome"/>
        <charset val="134"/>
      </rPr>
      <t>(mengakui kesalahan)</t>
    </r>
    <r>
      <rPr>
        <sz val="11"/>
        <color theme="7" tint="-0.249977111117893"/>
        <rFont val="Biome"/>
        <charset val="134"/>
      </rPr>
      <t xml:space="preserve">
</t>
    </r>
    <r>
      <rPr>
        <b/>
        <sz val="11"/>
        <color theme="7" tint="-0.249977111117893"/>
        <rFont val="Biome"/>
        <charset val="134"/>
      </rPr>
      <t>(SA2)</t>
    </r>
  </si>
  <si>
    <r>
      <rPr>
        <b/>
        <sz val="11"/>
        <color theme="5" tint="-0.499984740745262"/>
        <rFont val="Biome"/>
        <charset val="134"/>
      </rPr>
      <t xml:space="preserve">Critical Thinking &amp; Inquisitiveness
</t>
    </r>
    <r>
      <rPr>
        <i/>
        <sz val="11"/>
        <color theme="5" tint="-0.499984740745262"/>
        <rFont val="Biome"/>
        <charset val="134"/>
      </rPr>
      <t xml:space="preserve">(mempertanyakan &amp; mengevaluasi)
</t>
    </r>
    <r>
      <rPr>
        <b/>
        <i/>
        <sz val="11"/>
        <color theme="5" tint="-0.499984740745262"/>
        <rFont val="Biome"/>
        <charset val="134"/>
      </rPr>
      <t>(MA3)</t>
    </r>
  </si>
  <si>
    <r>
      <rPr>
        <b/>
        <sz val="11"/>
        <color theme="9" tint="-0.249977111117893"/>
        <rFont val="Biome"/>
        <charset val="134"/>
      </rPr>
      <t>Comfort with Sudden Change</t>
    </r>
    <r>
      <rPr>
        <sz val="11"/>
        <color theme="9" tint="-0.249977111117893"/>
        <rFont val="Biome"/>
        <charset val="134"/>
      </rPr>
      <t xml:space="preserve">
</t>
    </r>
    <r>
      <rPr>
        <i/>
        <sz val="11"/>
        <color theme="9" tint="-0.249977111117893"/>
        <rFont val="Biome"/>
        <charset val="134"/>
      </rPr>
      <t>(tetap bekerja saat perubahan mendadak)</t>
    </r>
    <r>
      <rPr>
        <sz val="11"/>
        <color theme="9" tint="-0.249977111117893"/>
        <rFont val="Biome"/>
        <charset val="134"/>
      </rPr>
      <t xml:space="preserve">
</t>
    </r>
    <r>
      <rPr>
        <b/>
        <sz val="11"/>
        <color theme="9" tint="-0.249977111117893"/>
        <rFont val="Biome"/>
        <charset val="134"/>
      </rPr>
      <t>(CA3)</t>
    </r>
  </si>
  <si>
    <r>
      <rPr>
        <b/>
        <sz val="11"/>
        <color rgb="FF0070C0"/>
        <rFont val="Biome"/>
        <charset val="134"/>
      </rPr>
      <t xml:space="preserve">Driving for impact
</t>
    </r>
    <r>
      <rPr>
        <sz val="11"/>
        <color rgb="FF0070C0"/>
        <rFont val="Biome"/>
        <charset val="134"/>
      </rPr>
      <t xml:space="preserve">(fokus pada hasil kerja)
</t>
    </r>
    <r>
      <rPr>
        <b/>
        <sz val="11"/>
        <color rgb="FF0070C0"/>
        <rFont val="Biome"/>
        <charset val="134"/>
      </rPr>
      <t>(RA3)</t>
    </r>
  </si>
  <si>
    <r>
      <rPr>
        <b/>
        <sz val="11"/>
        <color theme="7" tint="-0.249977111117893"/>
        <rFont val="Biome"/>
        <charset val="134"/>
      </rPr>
      <t>Seeking Feedback on Performance</t>
    </r>
    <r>
      <rPr>
        <sz val="11"/>
        <color theme="7" tint="-0.249977111117893"/>
        <rFont val="Biome"/>
        <charset val="134"/>
      </rPr>
      <t xml:space="preserve">
(mencari feedback)
</t>
    </r>
    <r>
      <rPr>
        <b/>
        <sz val="11"/>
        <color theme="7" tint="-0.249977111117893"/>
        <rFont val="Biome"/>
        <charset val="134"/>
      </rPr>
      <t>(SA3)</t>
    </r>
  </si>
  <si>
    <r>
      <rPr>
        <b/>
        <sz val="11"/>
        <color theme="5" tint="-0.499984740745262"/>
        <rFont val="Biome"/>
        <charset val="134"/>
      </rPr>
      <t xml:space="preserve">Explaining Complexity
</t>
    </r>
    <r>
      <rPr>
        <sz val="11"/>
        <color theme="5" tint="-0.499984740745262"/>
        <rFont val="Biome"/>
        <charset val="134"/>
      </rPr>
      <t xml:space="preserve">(menjelaskan hal kompleks secara sederhana)
</t>
    </r>
    <r>
      <rPr>
        <b/>
        <sz val="11"/>
        <color theme="5" tint="-0.499984740745262"/>
        <rFont val="Biome"/>
        <charset val="134"/>
      </rPr>
      <t>(MA4)</t>
    </r>
  </si>
  <si>
    <r>
      <rPr>
        <b/>
        <sz val="11"/>
        <color rgb="FF7030A0"/>
        <rFont val="Biome"/>
        <charset val="134"/>
      </rPr>
      <t>Collaboration with Diversity</t>
    </r>
    <r>
      <rPr>
        <sz val="11"/>
        <color rgb="FF7030A0"/>
        <rFont val="Biome"/>
        <charset val="134"/>
      </rPr>
      <t xml:space="preserve">
</t>
    </r>
    <r>
      <rPr>
        <i/>
        <sz val="11"/>
        <color rgb="FF7030A0"/>
        <rFont val="Biome"/>
        <charset val="134"/>
      </rPr>
      <t>(Bekerja efektif dalam keberagaman)</t>
    </r>
    <r>
      <rPr>
        <sz val="11"/>
        <color rgb="FF7030A0"/>
        <rFont val="Biome"/>
        <charset val="134"/>
      </rPr>
      <t xml:space="preserve">
</t>
    </r>
    <r>
      <rPr>
        <b/>
        <sz val="11"/>
        <color rgb="FF7030A0"/>
        <rFont val="Biome"/>
        <charset val="134"/>
      </rPr>
      <t>(PA4)</t>
    </r>
  </si>
  <si>
    <r>
      <rPr>
        <b/>
        <sz val="11"/>
        <color theme="9" tint="-0.249977111117893"/>
        <rFont val="Biome"/>
        <charset val="134"/>
      </rPr>
      <t>Managing Resistance to Change</t>
    </r>
    <r>
      <rPr>
        <sz val="11"/>
        <color theme="9" tint="-0.249977111117893"/>
        <rFont val="Biome"/>
        <charset val="134"/>
      </rPr>
      <t xml:space="preserve">
(pengelolaan resistensi
</t>
    </r>
    <r>
      <rPr>
        <b/>
        <sz val="11"/>
        <color theme="9" tint="-0.249977111117893"/>
        <rFont val="Biome"/>
        <charset val="134"/>
      </rPr>
      <t>(CA4)</t>
    </r>
  </si>
  <si>
    <r>
      <rPr>
        <b/>
        <sz val="11"/>
        <color rgb="FF0070C0"/>
        <rFont val="Biome"/>
        <charset val="134"/>
      </rPr>
      <t xml:space="preserve">Tenacity &amp; Strategic Persistence
</t>
    </r>
    <r>
      <rPr>
        <sz val="11"/>
        <color rgb="FF0070C0"/>
        <rFont val="Biome"/>
        <charset val="134"/>
      </rPr>
      <t xml:space="preserve">(menjaga komitmen di tengah tantangan)
</t>
    </r>
    <r>
      <rPr>
        <b/>
        <sz val="11"/>
        <color rgb="FF0070C0"/>
        <rFont val="Biome"/>
        <charset val="134"/>
      </rPr>
      <t>(RA4)</t>
    </r>
  </si>
  <si>
    <r>
      <rPr>
        <b/>
        <sz val="11"/>
        <color theme="7" tint="-0.249977111117893"/>
        <rFont val="Biome"/>
        <charset val="134"/>
      </rPr>
      <t>Understanding Strengths &amp; Weaknesses</t>
    </r>
    <r>
      <rPr>
        <sz val="11"/>
        <color theme="7" tint="-0.249977111117893"/>
        <rFont val="Biome"/>
        <charset val="134"/>
      </rPr>
      <t xml:space="preserve">
(memahami kekuatan &amp; kelemahan)
</t>
    </r>
    <r>
      <rPr>
        <b/>
        <sz val="11"/>
        <color theme="7" tint="-0.249977111117893"/>
        <rFont val="Biome"/>
        <charset val="134"/>
      </rPr>
      <t>(SA4)</t>
    </r>
  </si>
  <si>
    <t>Specialist/Unit Head</t>
  </si>
  <si>
    <r>
      <rPr>
        <b/>
        <sz val="11"/>
        <color theme="5" tint="-0.499984740745262"/>
        <rFont val="Biome"/>
        <charset val="134"/>
      </rPr>
      <t xml:space="preserve">Intellectual Synthesis
</t>
    </r>
    <r>
      <rPr>
        <i/>
        <sz val="11"/>
        <color theme="5" tint="-0.499984740745262"/>
        <rFont val="Biome"/>
        <charset val="134"/>
      </rPr>
      <t xml:space="preserve">(menghubungkan berbagai informasi)
</t>
    </r>
    <r>
      <rPr>
        <b/>
        <i/>
        <sz val="11"/>
        <color theme="5" tint="-0.499984740745262"/>
        <rFont val="Biome"/>
        <charset val="134"/>
      </rPr>
      <t>(MA5)</t>
    </r>
  </si>
  <si>
    <r>
      <rPr>
        <b/>
        <sz val="11"/>
        <color theme="9" tint="-0.249977111117893"/>
        <rFont val="Biome"/>
        <charset val="134"/>
      </rPr>
      <t>Adaptive Learning &amp; Experimentation</t>
    </r>
    <r>
      <rPr>
        <sz val="11"/>
        <color theme="9" tint="-0.249977111117893"/>
        <rFont val="Biome"/>
        <charset val="134"/>
      </rPr>
      <t xml:space="preserve">
(aktif belajar hal baru)
</t>
    </r>
    <r>
      <rPr>
        <b/>
        <sz val="11"/>
        <color theme="9" tint="-0.249977111117893"/>
        <rFont val="Biome"/>
        <charset val="134"/>
      </rPr>
      <t>(CA5)</t>
    </r>
  </si>
  <si>
    <r>
      <rPr>
        <b/>
        <sz val="11"/>
        <color rgb="FF0070C0"/>
        <rFont val="Biome"/>
        <charset val="134"/>
      </rPr>
      <t xml:space="preserve">Learning from Outcomes
</t>
    </r>
    <r>
      <rPr>
        <sz val="11"/>
        <color rgb="FF0070C0"/>
        <rFont val="Biome"/>
        <charset val="134"/>
      </rPr>
      <t xml:space="preserve">
</t>
    </r>
    <r>
      <rPr>
        <i/>
        <sz val="11"/>
        <color rgb="FF0070C0"/>
        <rFont val="Biome"/>
        <charset val="134"/>
      </rPr>
      <t xml:space="preserve">(belajar dari hasil &amp; kesalahan tim)
</t>
    </r>
    <r>
      <rPr>
        <b/>
        <i/>
        <sz val="11"/>
        <color rgb="FF0070C0"/>
        <rFont val="Biome"/>
        <charset val="134"/>
      </rPr>
      <t>(RA5)</t>
    </r>
  </si>
  <si>
    <r>
      <rPr>
        <b/>
        <sz val="11"/>
        <color theme="5" tint="-0.499984740745262"/>
        <rFont val="Biome"/>
        <charset val="134"/>
      </rPr>
      <t xml:space="preserve">Integrating Diverse Perspective
</t>
    </r>
    <r>
      <rPr>
        <sz val="11"/>
        <color theme="5" tint="-0.499984740745262"/>
        <rFont val="Biome"/>
        <charset val="134"/>
      </rPr>
      <t xml:space="preserve">(pengambilan keputusan melihat dari berbagai sudut pandang)
</t>
    </r>
    <r>
      <rPr>
        <b/>
        <sz val="11"/>
        <color theme="5" tint="-0.499984740745262"/>
        <rFont val="Biome"/>
        <charset val="134"/>
      </rPr>
      <t>(MA6)</t>
    </r>
  </si>
  <si>
    <r>
      <rPr>
        <b/>
        <sz val="11"/>
        <color rgb="FF7030A0"/>
        <rFont val="Biome"/>
        <charset val="134"/>
      </rPr>
      <t>Understanding Different Perspectives</t>
    </r>
    <r>
      <rPr>
        <sz val="11"/>
        <color rgb="FF7030A0"/>
        <rFont val="Biome"/>
        <charset val="134"/>
      </rPr>
      <t xml:space="preserve">
</t>
    </r>
    <r>
      <rPr>
        <i/>
        <sz val="11"/>
        <color rgb="FF7030A0"/>
        <rFont val="Biome"/>
        <charset val="134"/>
      </rPr>
      <t>(Analisis multi-sudut pandang untuk pemahaman mendalam)</t>
    </r>
    <r>
      <rPr>
        <sz val="11"/>
        <color rgb="FF7030A0"/>
        <rFont val="Biome"/>
        <charset val="134"/>
      </rPr>
      <t xml:space="preserve">
</t>
    </r>
    <r>
      <rPr>
        <b/>
        <sz val="11"/>
        <color rgb="FF7030A0"/>
        <rFont val="Biome"/>
        <charset val="134"/>
      </rPr>
      <t>(PA6)</t>
    </r>
  </si>
  <si>
    <r>
      <rPr>
        <b/>
        <sz val="11"/>
        <color theme="9" tint="-0.249977111117893"/>
        <rFont val="Biome"/>
        <charset val="134"/>
      </rPr>
      <t>Viewing Change as Opportunity</t>
    </r>
    <r>
      <rPr>
        <sz val="11"/>
        <color theme="9" tint="-0.249977111117893"/>
        <rFont val="Biome"/>
        <charset val="134"/>
      </rPr>
      <t xml:space="preserve">
</t>
    </r>
    <r>
      <rPr>
        <i/>
        <sz val="11"/>
        <color theme="9" tint="-0.249977111117893"/>
        <rFont val="Biome"/>
        <charset val="134"/>
      </rPr>
      <t>(melihat perubahan sebagai peluang)</t>
    </r>
    <r>
      <rPr>
        <sz val="11"/>
        <color theme="9" tint="-0.249977111117893"/>
        <rFont val="Biome"/>
        <charset val="134"/>
      </rPr>
      <t xml:space="preserve">
</t>
    </r>
    <r>
      <rPr>
        <b/>
        <sz val="11"/>
        <color theme="9" tint="-0.249977111117893"/>
        <rFont val="Biome"/>
        <charset val="134"/>
      </rPr>
      <t>(CA6)</t>
    </r>
  </si>
  <si>
    <r>
      <rPr>
        <b/>
        <sz val="11"/>
        <color rgb="FF0070C0"/>
        <rFont val="Biome"/>
        <charset val="134"/>
      </rPr>
      <t xml:space="preserve">Deciding with Incomplete Data
</t>
    </r>
    <r>
      <rPr>
        <sz val="11"/>
        <color rgb="FF0070C0"/>
        <rFont val="Biome"/>
        <charset val="134"/>
      </rPr>
      <t xml:space="preserve">(mengambil keputusan dengan data/informasi terbatas)
</t>
    </r>
    <r>
      <rPr>
        <b/>
        <sz val="11"/>
        <color rgb="FF0070C0"/>
        <rFont val="Biome"/>
        <charset val="134"/>
      </rPr>
      <t>(RA6)</t>
    </r>
  </si>
  <si>
    <r>
      <rPr>
        <b/>
        <sz val="11"/>
        <color theme="9" tint="-0.249977111117893"/>
        <rFont val="Biome"/>
        <charset val="134"/>
      </rPr>
      <t>Proposing New Ideas</t>
    </r>
    <r>
      <rPr>
        <sz val="11"/>
        <color theme="9" tint="-0.249977111117893"/>
        <rFont val="Biome"/>
        <charset val="134"/>
      </rPr>
      <t xml:space="preserve">
(mulai menginisiasi perubahan)
</t>
    </r>
    <r>
      <rPr>
        <b/>
        <sz val="11"/>
        <color theme="9" tint="-0.249977111117893"/>
        <rFont val="Biome"/>
        <charset val="134"/>
      </rPr>
      <t>(CA7)</t>
    </r>
  </si>
  <si>
    <r>
      <rPr>
        <b/>
        <sz val="11"/>
        <color theme="7" tint="-0.249977111117893"/>
        <rFont val="Biome"/>
        <charset val="134"/>
      </rPr>
      <t>Objective Self-Assessment</t>
    </r>
    <r>
      <rPr>
        <sz val="11"/>
        <color theme="7" tint="-0.249977111117893"/>
        <rFont val="Biome"/>
        <charset val="134"/>
      </rPr>
      <t xml:space="preserve">
(menilai diri secara objektif)
</t>
    </r>
    <r>
      <rPr>
        <b/>
        <sz val="11"/>
        <color theme="7" tint="-0.249977111117893"/>
        <rFont val="Biome"/>
        <charset val="134"/>
      </rPr>
      <t>(SA7)</t>
    </r>
  </si>
  <si>
    <r>
      <rPr>
        <b/>
        <sz val="11"/>
        <color theme="5" tint="-0.499984740745262"/>
        <rFont val="Biome"/>
        <charset val="134"/>
      </rPr>
      <t>Breaking Patterned Thinking</t>
    </r>
    <r>
      <rPr>
        <sz val="11"/>
        <color theme="5" tint="-0.499984740745262"/>
        <rFont val="Biome"/>
        <charset val="134"/>
      </rPr>
      <t xml:space="preserve">
(menciptakan solusi baru)
</t>
    </r>
    <r>
      <rPr>
        <b/>
        <sz val="11"/>
        <color theme="5" tint="-0.499984740745262"/>
        <rFont val="Biome"/>
        <charset val="134"/>
      </rPr>
      <t>(MA8)</t>
    </r>
  </si>
  <si>
    <r>
      <rPr>
        <b/>
        <sz val="11"/>
        <color theme="9" tint="-0.249977111117893"/>
        <rFont val="Biome"/>
        <charset val="134"/>
      </rPr>
      <t>Risk-Taking for Innovation</t>
    </r>
    <r>
      <rPr>
        <sz val="11"/>
        <color theme="9" tint="-0.249977111117893"/>
        <rFont val="Biome"/>
        <charset val="134"/>
      </rPr>
      <t xml:space="preserve">
(berani mencoba pendekatan baru)
</t>
    </r>
    <r>
      <rPr>
        <b/>
        <sz val="11"/>
        <color theme="9" tint="-0.249977111117893"/>
        <rFont val="Biome"/>
        <charset val="134"/>
      </rPr>
      <t>(CA8)</t>
    </r>
  </si>
  <si>
    <r>
      <rPr>
        <b/>
        <sz val="11"/>
        <color theme="7" tint="-0.249977111117893"/>
        <rFont val="Biome"/>
        <charset val="134"/>
      </rPr>
      <t>Awareness of Impact on Others</t>
    </r>
    <r>
      <rPr>
        <sz val="11"/>
        <color theme="7" tint="-0.249977111117893"/>
        <rFont val="Biome"/>
        <charset val="134"/>
      </rPr>
      <t xml:space="preserve">
(memahami dampak perilaku terhadap orang lain)
</t>
    </r>
    <r>
      <rPr>
        <b/>
        <sz val="11"/>
        <color theme="7" tint="-0.249977111117893"/>
        <rFont val="Biome"/>
        <charset val="134"/>
      </rPr>
      <t>(SA8)</t>
    </r>
  </si>
  <si>
    <r>
      <rPr>
        <b/>
        <sz val="11"/>
        <color theme="9" tint="-0.249977111117893"/>
        <rFont val="Biome"/>
        <charset val="134"/>
      </rPr>
      <t>Calmness in Uncertainty</t>
    </r>
    <r>
      <rPr>
        <sz val="11"/>
        <color theme="9" tint="-0.249977111117893"/>
        <rFont val="Biome"/>
        <charset val="134"/>
      </rPr>
      <t xml:space="preserve">
(tetap tenang di kondisi tidak pasti)
</t>
    </r>
    <r>
      <rPr>
        <b/>
        <sz val="11"/>
        <color theme="9" tint="-0.249977111117893"/>
        <rFont val="Biome"/>
        <charset val="134"/>
      </rPr>
      <t>(CA9)</t>
    </r>
  </si>
  <si>
    <r>
      <rPr>
        <b/>
        <sz val="11"/>
        <color rgb="FF833C0C"/>
        <rFont val="Biome"/>
        <charset val="134"/>
      </rPr>
      <t xml:space="preserve">Tolerance for Ambiguity
</t>
    </r>
    <r>
      <rPr>
        <i/>
        <sz val="11"/>
        <color rgb="FF833C0C"/>
        <rFont val="Biome"/>
        <charset val="134"/>
      </rPr>
      <t xml:space="preserve">(mampu memimpin dalam uncertainty tinggi)
</t>
    </r>
    <r>
      <rPr>
        <b/>
        <i/>
        <sz val="11"/>
        <color rgb="FF833C0C"/>
        <rFont val="Biome"/>
        <charset val="134"/>
      </rPr>
      <t>(MA10)</t>
    </r>
  </si>
  <si>
    <r>
      <rPr>
        <b/>
        <sz val="11"/>
        <color rgb="FF7030A0"/>
        <rFont val="Biome"/>
        <charset val="134"/>
      </rPr>
      <t>Conflict Mediation</t>
    </r>
    <r>
      <rPr>
        <sz val="11"/>
        <color rgb="FF7030A0"/>
        <rFont val="Biome"/>
        <charset val="134"/>
      </rPr>
      <t xml:space="preserve">
</t>
    </r>
    <r>
      <rPr>
        <i/>
        <sz val="11"/>
        <color rgb="FF7030A0"/>
        <rFont val="Biome"/>
        <charset val="134"/>
      </rPr>
      <t xml:space="preserve">(menjadi penengah &amp; penyatu pihak berbeda)
</t>
    </r>
    <r>
      <rPr>
        <b/>
        <i/>
        <sz val="11"/>
        <color rgb="FF7030A0"/>
        <rFont val="Biome"/>
        <charset val="134"/>
      </rPr>
      <t>(PA10)</t>
    </r>
  </si>
  <si>
    <r>
      <rPr>
        <b/>
        <sz val="11"/>
        <color rgb="FF548235"/>
        <rFont val="Biome"/>
        <charset val="134"/>
      </rPr>
      <t xml:space="preserve">Proactive in Anticipating Change
</t>
    </r>
    <r>
      <rPr>
        <i/>
        <sz val="11"/>
        <color rgb="FF548235"/>
        <rFont val="Biome"/>
        <charset val="134"/>
      </rPr>
      <t xml:space="preserve">(mengantisipasi perubahan sebelum terjadi)
</t>
    </r>
    <r>
      <rPr>
        <b/>
        <i/>
        <sz val="11"/>
        <color rgb="FF548235"/>
        <rFont val="Biome"/>
        <charset val="134"/>
      </rPr>
      <t>(CA10)</t>
    </r>
  </si>
  <si>
    <r>
      <rPr>
        <b/>
        <sz val="11"/>
        <color rgb="FF0070C0"/>
        <rFont val="Biome"/>
        <charset val="134"/>
      </rPr>
      <t>Drive for High Performance</t>
    </r>
    <r>
      <rPr>
        <sz val="11"/>
        <color rgb="FF0070C0"/>
        <rFont val="Biome"/>
        <charset val="134"/>
      </rPr>
      <t xml:space="preserve">
</t>
    </r>
    <r>
      <rPr>
        <i/>
        <sz val="11"/>
        <color rgb="FF0070C0"/>
        <rFont val="Biome"/>
        <charset val="134"/>
      </rPr>
      <t xml:space="preserve">(sistem perencanaan berkinerja tinggi)
</t>
    </r>
    <r>
      <rPr>
        <b/>
        <i/>
        <sz val="11"/>
        <color rgb="FF0070C0"/>
        <rFont val="Biome"/>
        <charset val="134"/>
      </rPr>
      <t>(RA10)</t>
    </r>
  </si>
  <si>
    <r>
      <rPr>
        <b/>
        <sz val="11"/>
        <color theme="7" tint="-0.249977111117893"/>
        <rFont val="Biome"/>
        <charset val="134"/>
      </rPr>
      <t>Deep Pattern Recognition &amp; Bias Awareness</t>
    </r>
    <r>
      <rPr>
        <sz val="11"/>
        <color theme="7" tint="-0.249977111117893"/>
        <rFont val="Biome"/>
        <charset val="134"/>
      </rPr>
      <t xml:space="preserve">
</t>
    </r>
    <r>
      <rPr>
        <i/>
        <sz val="11"/>
        <color theme="7" tint="-0.249977111117893"/>
        <rFont val="Biome"/>
        <charset val="134"/>
      </rPr>
      <t>(refleksi diri mendalam &amp; autentik)</t>
    </r>
    <r>
      <rPr>
        <sz val="11"/>
        <color theme="7" tint="-0.249977111117893"/>
        <rFont val="Biome"/>
        <charset val="134"/>
      </rPr>
      <t xml:space="preserve">
</t>
    </r>
    <r>
      <rPr>
        <b/>
        <sz val="11"/>
        <color theme="7" tint="-0.249977111117893"/>
        <rFont val="Biome"/>
        <charset val="134"/>
      </rPr>
      <t>(SA10)</t>
    </r>
  </si>
  <si>
    <t>A. Untuk Skor Akhir Learning Agility</t>
  </si>
  <si>
    <t>Final Learning Agility Score = Superior Score</t>
  </si>
  <si>
    <t>Self-assessment tidak masuk dalam skor akhir.</t>
  </si>
  <si>
    <t>B. Untuk Self-Awareness Index</t>
  </si>
  <si>
    <t>Self-Awareness Gap = Self Score – Superior Score</t>
  </si>
  <si>
    <t>Kategori</t>
  </si>
  <si>
    <t>-0.49 s.d. +0.49</t>
  </si>
  <si>
    <t>Aligned</t>
  </si>
  <si>
    <t>+0.50 s.d. +0.99</t>
  </si>
  <si>
    <t>Minor Positive Gap</t>
  </si>
  <si>
    <t>≥ +1.00</t>
  </si>
  <si>
    <t>Major Positive Gap</t>
  </si>
  <si>
    <t>-0.50 s.d. -0.99</t>
  </si>
  <si>
    <t>Minor Negative Gap</t>
  </si>
  <si>
    <t>≤ -1.00</t>
  </si>
  <si>
    <t>Major Negative Gap</t>
  </si>
  <si>
    <t>c. Bobot</t>
  </si>
  <si>
    <t>O</t>
  </si>
  <si>
    <t>A</t>
  </si>
  <si>
    <t>UH/Spec</t>
  </si>
  <si>
    <t>DH</t>
  </si>
  <si>
    <t>DVH</t>
  </si>
  <si>
    <t>D. Level</t>
  </si>
  <si>
    <t>target Skor minimum (LA)</t>
  </si>
  <si>
    <t>Analytical Thinking
(memahami data &amp; fakta dasar)
(MA1)</t>
  </si>
  <si>
    <t>Root Cause Analysis
(mencari penyebab masalah)
(MA2)</t>
  </si>
  <si>
    <t>Critical Thinking &amp; Inquisitiveness
(mempertanyakan &amp; mengevaluasi)
(MA3)</t>
  </si>
  <si>
    <t>Explaining Complexity
(menjelaskan hal kompleks secara sederhana)
(MA4)</t>
  </si>
  <si>
    <t>Intellectual Synthesis
(menghubungkan berbagai informasi)
(MA5)</t>
  </si>
  <si>
    <t>Integrating Diverse Perspective
(pengambilan keputusan melihat dari berbagai sudut pandang)
(MA6)</t>
  </si>
  <si>
    <t>Creative Exploration
(mencari pendekatan baru)
(MA7)</t>
  </si>
  <si>
    <t>Breaking Patterned Thinking
(menciptakan solusi baru)
(MA8)</t>
  </si>
  <si>
    <t>Comfort with Ambiguity
(tetap efektif di situasi tidak jelas)
(MA9)</t>
  </si>
  <si>
    <t>Tolerance for Ambiguity
(mampu memimpin dalam uncertainty tinggi)
(MA10)</t>
  </si>
  <si>
    <t xml:space="preserve"> Listening for understanding
(mendengarkan &amp; memahami dasar)
(PA1)</t>
  </si>
  <si>
    <t>Openness to Feedback
(menerima &amp; mencari masukan)
(PA2)</t>
  </si>
  <si>
    <t>Genuine Curiosity about Others
(rasa ingin tahu tulus pada orang lain)
(PA3)</t>
  </si>
  <si>
    <t>Collaboration with Diversity
(Bekerja efektif dalam keberagaman)
(PA4)</t>
  </si>
  <si>
    <t>Valuing Diverse Opinions
(Menghargai opini berbeda dalam pengambilan keputusan)
(PA5)</t>
  </si>
  <si>
    <t>Understanding Different Perspectives
(Analisis multi-sudut pandang untuk pemahaman mendalam)
(PA6)</t>
  </si>
  <si>
    <t>Empathy
(Merasakan &amp; memahami emosi orang lain)
(PA7)</t>
  </si>
  <si>
    <t>Conflict Navigation
(menghadapi konflik secara konstruktif)
(PA8)</t>
  </si>
  <si>
    <t>Managing Challanging Stakeholder
(Mengelola relasi berkelanjutan dengan stakeholder sulit)
(PA9)</t>
  </si>
  <si>
    <t>Conflict Mediation
(menjadi penengah &amp; penyatu pihak berbeda)
(PA10)</t>
  </si>
  <si>
    <t>Adapting to New Systems
(mengikuti perubahan dasar)
(CA1)</t>
  </si>
  <si>
    <t>Comfort with New Ways of Working
(mulai nyaman dengan cara kerja baru)
(CA2)</t>
  </si>
  <si>
    <t>Comfort with Sudden Change
(tetap bekerja saat perubahan mendadak)
(CA3)</t>
  </si>
  <si>
    <t>Managing Resistance to Change
(pengelolaan resistensi
(CA4)</t>
  </si>
  <si>
    <t>Adaptive Learning &amp; Experimentation
(aktif belajar hal baru)
(CA5)</t>
  </si>
  <si>
    <t>Viewing Change as Opportunity
(melihat perubahan sebagai peluang)
(CA6)</t>
  </si>
  <si>
    <t>Proposing New Ideas
(mulai menginisiasi perubahan)
(CA7)</t>
  </si>
  <si>
    <t>Risk-Taking for Innovation
(berani mencoba pendekatan baru)
(CA8)</t>
  </si>
  <si>
    <t>Calmness in Uncertainty
(tetap tenang di kondisi tidak pasti)
(CA9)</t>
  </si>
  <si>
    <t>Proactive in Anticipating Change
(mengantisipasi perubahan sebelum terjadi)
(CA10)</t>
  </si>
  <si>
    <t>Task Completion Quality 
(menyelesaikan tugas dengan baik)
(RA1)</t>
  </si>
  <si>
    <t>Action-Oriented &amp; Takes Initiative 
(proaktif bertindak)
(RA2)</t>
  </si>
  <si>
    <t>Driving for impact
(fokus pada hasil kerja)
(RA3)</t>
  </si>
  <si>
    <t>Tenacity &amp; Strategic Persistence
(menjaga komitmen di tengah tantangan)
(RA4)</t>
  </si>
  <si>
    <t>Learning from Outcomes
(belajar dari hasil &amp; kesalahan tim)
(RA5)</t>
  </si>
  <si>
    <t>Deciding with Incomplete Data
(mengambil keputusan dengan data/informasi terbatas)
(RA6)</t>
  </si>
  <si>
    <t>Focus Under Pressure
(tetap fokus dalam tekanan tinggi
(RA7)</t>
  </si>
  <si>
    <t>Adapting Strategy When Needed
(mengubah strategi untuk hasil lebih baik)
(RA8)</t>
  </si>
  <si>
    <t>Agile Problem-Solving Under Pressure
(rencana di tengah ketidakpastian
(RA9)</t>
  </si>
  <si>
    <t>Drive for High Performance
(sistem perencanaan berkinerja tinggi)
(RA10)</t>
  </si>
  <si>
    <t>Openness to Criticism
(menerima kritik dasar)
(SA1)</t>
  </si>
  <si>
    <t>Admitting Mistakes
(mengakui kesalahan)
(SA2)</t>
  </si>
  <si>
    <t>Seeking Feedback on Performance
(mencari feedback)
(SA3)</t>
  </si>
  <si>
    <t>Understanding Strengths &amp; Weaknesses
(memahami kekuatan &amp; kelemahan)
(SA4)</t>
  </si>
  <si>
    <t>Reflective Practices
(melakukan refleksi diri)
(SA5)</t>
  </si>
  <si>
    <t>Proactive Self-Development for Adaptation
(aktif mengembangkan diri)
(SA6)</t>
  </si>
  <si>
    <t>Objective Self-Assessment
(menilai diri secara objektif)
(SA7)</t>
  </si>
  <si>
    <t>Awareness of Impact on Others
(memahami dampak perilaku terhadap orang lain)
(SA8)</t>
  </si>
  <si>
    <t>Managing Emotions Effectively
(mengelola emosi secara matang)
(SA9)</t>
  </si>
  <si>
    <t>Deep Pattern Recognition &amp; Bias Awareness
(refleksi diri mendalam &amp; autentik)
(SA10)</t>
  </si>
  <si>
    <t>gap kompetensi</t>
  </si>
  <si>
    <t>1,2</t>
  </si>
  <si>
    <t>1,2,3</t>
  </si>
  <si>
    <t>1,2,3,4</t>
  </si>
  <si>
    <t>Learning agility</t>
  </si>
  <si>
    <t>Keterangan:</t>
  </si>
  <si>
    <t>1 = Personal Development</t>
  </si>
  <si>
    <t>2 = Education-Based Development</t>
  </si>
  <si>
    <t>3 = Relation-Based Development</t>
  </si>
  <si>
    <t>4 = Experience-Based Development</t>
  </si>
  <si>
    <t>Kategori Agility</t>
  </si>
  <si>
    <t>Nilai Gap</t>
  </si>
  <si>
    <t>Kolom (Intensitas)</t>
  </si>
  <si>
    <t>≥ 1</t>
  </si>
  <si>
    <t>0.5 – 0.99</t>
  </si>
  <si>
    <t>-0.49 – 0.49</t>
  </si>
  <si>
    <t>2</t>
  </si>
  <si>
    <t>-0.99 – -0.5</t>
  </si>
  <si>
    <t>3</t>
  </si>
  <si>
    <t>≤ -1</t>
  </si>
  <si>
    <t>Learning 
Agility</t>
  </si>
  <si>
    <t>4 gap</t>
  </si>
  <si>
    <t>3 gap</t>
  </si>
  <si>
    <t>1. Personal Development
2. Education-Based Development 
3. Relation-Based Development
4. Experience-Based 
Development</t>
  </si>
  <si>
    <t>2 gap</t>
  </si>
  <si>
    <t>1. Personal Development
2. Education-Based Development 
3. Relation-Based Development</t>
  </si>
  <si>
    <t>1 gap</t>
  </si>
  <si>
    <t xml:space="preserve">1. Personal Development
2. Education-Based Development </t>
  </si>
  <si>
    <t>0 gap</t>
  </si>
  <si>
    <t>1. Personal Development</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</si>
</sst>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176" formatCode="_(* #,##0.00_);_(* \(#,##0.00\);_(* &quot;-&quot;??_);_(@_)"/>
    <numFmt numFmtId="177" formatCode="_-&quot;Rp&quot;* #,##0.00_-;\-&quot;Rp&quot;* #,##0.00_-;_-&quot;Rp&quot;* &quot;-&quot;??_-;_-@_-"/>
    <numFmt numFmtId="178" formatCode="_(* #,##0_);_(* \(#,##0\);_(* &quot;-&quot;_);_(@_)"/>
    <numFmt numFmtId="179" formatCode="_-&quot;Rp&quot;* #,##0_-;\-&quot;Rp&quot;* #,##0_-;_-&quot;Rp&quot;* &quot;-&quot;??_-;_-@_-"/>
    <numFmt numFmtId="180" formatCode="0.0%"/>
  </numFmts>
  <fonts count="113">
    <font>
      <sz val="11"/>
      <color theme="1"/>
      <name val="Aptos Narrow"/>
      <charset val="134"/>
      <scheme val="minor"/>
    </font>
    <font>
      <b/>
      <sz val="14"/>
      <color theme="1"/>
      <name val="Biome"/>
      <charset val="134"/>
    </font>
    <font>
      <sz val="14"/>
      <color theme="1"/>
      <name val="Biome"/>
      <charset val="134"/>
    </font>
    <font>
      <sz val="11"/>
      <color rgb="FF0070C0"/>
      <name val="Biome"/>
      <charset val="134"/>
    </font>
    <font>
      <sz val="11"/>
      <color theme="7" tint="-0.249977111117893"/>
      <name val="Biome"/>
      <charset val="134"/>
    </font>
    <font>
      <sz val="11"/>
      <color theme="7" tint="-0.499984740745262"/>
      <name val="Biome"/>
      <charset val="134"/>
    </font>
    <font>
      <sz val="11"/>
      <color theme="5" tint="-0.499984740745262"/>
      <name val="Biome"/>
      <charset val="134"/>
    </font>
    <font>
      <sz val="11"/>
      <color rgb="FF806000"/>
      <name val="Biome"/>
      <charset val="134"/>
    </font>
    <font>
      <b/>
      <sz val="11"/>
      <color rgb="FF833C0C"/>
      <name val="Biome"/>
      <charset val="134"/>
    </font>
    <font>
      <sz val="11"/>
      <color rgb="FF833C0C"/>
      <name val="Biome"/>
      <charset val="134"/>
    </font>
    <font>
      <sz val="11"/>
      <color rgb="FF375623"/>
      <name val="Biome"/>
      <charset val="134"/>
    </font>
    <font>
      <sz val="11"/>
      <color rgb="FF548235"/>
      <name val="Biome"/>
      <charset val="134"/>
    </font>
    <font>
      <sz val="11"/>
      <color theme="9" tint="-0.249977111117893"/>
      <name val="Biome"/>
      <charset val="134"/>
    </font>
    <font>
      <sz val="11"/>
      <color rgb="FF7030A0"/>
      <name val="Biome"/>
      <charset val="134"/>
    </font>
    <font>
      <b/>
      <sz val="11"/>
      <color theme="1"/>
      <name val="Biome"/>
      <charset val="134"/>
    </font>
    <font>
      <sz val="11"/>
      <color theme="1"/>
      <name val="Biome"/>
      <charset val="134"/>
    </font>
    <font>
      <b/>
      <sz val="11"/>
      <color theme="1"/>
      <name val="Aptos Narrow"/>
      <charset val="134"/>
      <scheme val="minor"/>
    </font>
    <font>
      <sz val="9"/>
      <color theme="1"/>
      <name val="Segoe UI"/>
      <charset val="134"/>
    </font>
    <font>
      <sz val="9"/>
      <color rgb="FF0F1115"/>
      <name val="Segoe UI"/>
      <charset val="134"/>
    </font>
    <font>
      <sz val="10"/>
      <color rgb="FF0F1115"/>
      <name val="Segoe UI"/>
      <charset val="134"/>
    </font>
    <font>
      <sz val="11"/>
      <color theme="1"/>
      <name val="Abadi"/>
      <charset val="134"/>
    </font>
    <font>
      <sz val="11"/>
      <color theme="5"/>
      <name val="Abadi"/>
      <charset val="134"/>
    </font>
    <font>
      <sz val="11"/>
      <color rgb="FF00B050"/>
      <name val="Abadi"/>
      <charset val="134"/>
    </font>
    <font>
      <sz val="11"/>
      <color rgb="FF0070C0"/>
      <name val="Abadi"/>
      <charset val="134"/>
    </font>
    <font>
      <sz val="11"/>
      <color rgb="FFFF0000"/>
      <name val="Abadi"/>
      <charset val="134"/>
    </font>
    <font>
      <sz val="11"/>
      <color rgb="FFFF2525"/>
      <name val="Abadi"/>
      <charset val="134"/>
    </font>
    <font>
      <sz val="11"/>
      <name val="Abadi"/>
      <charset val="134"/>
    </font>
    <font>
      <b/>
      <sz val="14"/>
      <color rgb="FFFFFFFF"/>
      <name val="Abadi"/>
      <charset val="134"/>
    </font>
    <font>
      <b/>
      <sz val="11"/>
      <color rgb="FFFFFFFF"/>
      <name val="Abadi"/>
      <charset val="134"/>
    </font>
    <font>
      <b/>
      <sz val="11"/>
      <color rgb="FF1F4E78"/>
      <name val="Abadi"/>
      <charset val="134"/>
    </font>
    <font>
      <sz val="11"/>
      <color theme="4"/>
      <name val="Abadi"/>
      <charset val="134"/>
    </font>
    <font>
      <sz val="11"/>
      <color theme="4" tint="0.799981688894314"/>
      <name val="Abadi"/>
      <charset val="134"/>
    </font>
    <font>
      <b/>
      <sz val="11"/>
      <color theme="0"/>
      <name val="Abadi"/>
      <charset val="134"/>
    </font>
    <font>
      <sz val="11"/>
      <color rgb="FF0F1115"/>
      <name val="Segoe UI"/>
      <charset val="134"/>
    </font>
    <font>
      <b/>
      <sz val="11"/>
      <color rgb="FF00B050"/>
      <name val="Abadi"/>
      <charset val="134"/>
    </font>
    <font>
      <sz val="11"/>
      <color rgb="FF00B050"/>
      <name val="Carlito"/>
      <charset val="134"/>
    </font>
    <font>
      <sz val="14"/>
      <color rgb="FF0070C0"/>
      <name val="Abadi"/>
      <charset val="134"/>
    </font>
    <font>
      <sz val="10"/>
      <name val="Abadi"/>
      <charset val="134"/>
    </font>
    <font>
      <sz val="16"/>
      <name val="Carlito"/>
      <charset val="134"/>
    </font>
    <font>
      <b/>
      <sz val="14"/>
      <color rgb="FF0070C0"/>
      <name val="Abadi"/>
      <charset val="134"/>
    </font>
    <font>
      <b/>
      <sz val="11"/>
      <name val="Abadi"/>
      <charset val="134"/>
    </font>
    <font>
      <b/>
      <sz val="16"/>
      <name val="Abadi"/>
      <charset val="134"/>
    </font>
    <font>
      <sz val="16"/>
      <name val="Abadi"/>
      <charset val="134"/>
    </font>
    <font>
      <b/>
      <sz val="11"/>
      <color theme="1"/>
      <name val="Abadi"/>
      <charset val="134"/>
    </font>
    <font>
      <b/>
      <sz val="9"/>
      <color rgb="FF0F1115"/>
      <name val="Segoe UI"/>
      <charset val="134"/>
    </font>
    <font>
      <b/>
      <sz val="12"/>
      <color theme="1"/>
      <name val="Abadi"/>
      <charset val="134"/>
    </font>
    <font>
      <sz val="10"/>
      <color theme="1"/>
      <name val="Aptos Narrow"/>
      <charset val="134"/>
      <scheme val="minor"/>
    </font>
    <font>
      <sz val="12"/>
      <color theme="1"/>
      <name val="Abadi"/>
      <charset val="134"/>
    </font>
    <font>
      <sz val="10"/>
      <color theme="1"/>
      <name val="Abadi"/>
      <charset val="134"/>
    </font>
    <font>
      <b/>
      <sz val="10"/>
      <color rgb="FF0F1115"/>
      <name val="Segoe UI"/>
      <charset val="134"/>
    </font>
    <font>
      <b/>
      <sz val="10"/>
      <color theme="1"/>
      <name val="Segoe UI"/>
      <charset val="134"/>
    </font>
    <font>
      <b/>
      <sz val="10"/>
      <color theme="0"/>
      <name val="Segoe UI"/>
      <charset val="134"/>
    </font>
    <font>
      <b/>
      <sz val="10"/>
      <color theme="1"/>
      <name val="Consolas"/>
      <charset val="134"/>
    </font>
    <font>
      <sz val="10"/>
      <color theme="1"/>
      <name val="Segoe UI"/>
      <charset val="134"/>
    </font>
    <font>
      <sz val="10"/>
      <color theme="1"/>
      <name val="Consolas"/>
      <charset val="134"/>
    </font>
    <font>
      <sz val="10"/>
      <name val="Consolas"/>
      <charset val="134"/>
    </font>
    <font>
      <b/>
      <sz val="12"/>
      <color theme="1"/>
      <name val="Segoe UI"/>
      <charset val="134"/>
    </font>
    <font>
      <b/>
      <sz val="12"/>
      <color theme="1"/>
      <name val="Consolas"/>
      <charset val="134"/>
    </font>
    <font>
      <sz val="10"/>
      <color theme="0"/>
      <name val="Aptos Narrow"/>
      <charset val="134"/>
      <scheme val="minor"/>
    </font>
    <font>
      <b/>
      <sz val="10"/>
      <color theme="1"/>
      <name val="Abadi"/>
      <charset val="134"/>
    </font>
    <font>
      <b/>
      <sz val="10"/>
      <color rgb="FF0F1115"/>
      <name val="Abadi"/>
      <charset val="134"/>
    </font>
    <font>
      <b/>
      <sz val="9"/>
      <color rgb="FF0F1115"/>
      <name val="Abadi"/>
      <charset val="134"/>
    </font>
    <font>
      <b/>
      <sz val="9"/>
      <color theme="1"/>
      <name val="Abadi"/>
      <charset val="134"/>
    </font>
    <font>
      <sz val="9"/>
      <color rgb="FF0070C0"/>
      <name val="Abadi"/>
      <charset val="134"/>
    </font>
    <font>
      <sz val="9"/>
      <name val="Abadi"/>
      <charset val="134"/>
    </font>
    <font>
      <sz val="9"/>
      <color theme="1"/>
      <name val="Abadi"/>
      <charset val="134"/>
    </font>
    <font>
      <sz val="9"/>
      <color rgb="FF0F1115"/>
      <name val="Abadi"/>
      <charset val="134"/>
    </font>
    <font>
      <b/>
      <sz val="11"/>
      <color rgb="FF0F1115"/>
      <name val="Abadi"/>
      <charset val="134"/>
    </font>
    <font>
      <sz val="11"/>
      <color theme="1"/>
      <name val="Aptos Narrow"/>
      <charset val="134"/>
      <scheme val="minor"/>
    </font>
    <font>
      <u/>
      <sz val="11"/>
      <color rgb="FF0000FF"/>
      <name val="Aptos Narrow"/>
      <charset val="0"/>
      <scheme val="minor"/>
    </font>
    <font>
      <u/>
      <sz val="11"/>
      <color rgb="FF800080"/>
      <name val="Aptos Narrow"/>
      <charset val="0"/>
      <scheme val="minor"/>
    </font>
    <font>
      <sz val="11"/>
      <color rgb="FFFF0000"/>
      <name val="Aptos Narrow"/>
      <charset val="0"/>
      <scheme val="minor"/>
    </font>
    <font>
      <b/>
      <sz val="18"/>
      <color theme="3"/>
      <name val="Aptos Narrow"/>
      <charset val="134"/>
      <scheme val="minor"/>
    </font>
    <font>
      <i/>
      <sz val="11"/>
      <color rgb="FF7F7F7F"/>
      <name val="Aptos Narrow"/>
      <charset val="0"/>
      <scheme val="minor"/>
    </font>
    <font>
      <b/>
      <sz val="15"/>
      <color theme="3"/>
      <name val="Aptos Narrow"/>
      <charset val="134"/>
      <scheme val="minor"/>
    </font>
    <font>
      <b/>
      <sz val="13"/>
      <color theme="3"/>
      <name val="Aptos Narrow"/>
      <charset val="134"/>
      <scheme val="minor"/>
    </font>
    <font>
      <b/>
      <sz val="11"/>
      <color theme="3"/>
      <name val="Aptos Narrow"/>
      <charset val="134"/>
      <scheme val="minor"/>
    </font>
    <font>
      <sz val="11"/>
      <color rgb="FF3F3F76"/>
      <name val="Aptos Narrow"/>
      <charset val="0"/>
      <scheme val="minor"/>
    </font>
    <font>
      <b/>
      <sz val="11"/>
      <color rgb="FF3F3F3F"/>
      <name val="Aptos Narrow"/>
      <charset val="0"/>
      <scheme val="minor"/>
    </font>
    <font>
      <b/>
      <sz val="11"/>
      <color rgb="FFFA7D00"/>
      <name val="Aptos Narrow"/>
      <charset val="0"/>
      <scheme val="minor"/>
    </font>
    <font>
      <b/>
      <sz val="11"/>
      <color rgb="FFFFFFFF"/>
      <name val="Aptos Narrow"/>
      <charset val="0"/>
      <scheme val="minor"/>
    </font>
    <font>
      <sz val="11"/>
      <color rgb="FFFA7D00"/>
      <name val="Aptos Narrow"/>
      <charset val="0"/>
      <scheme val="minor"/>
    </font>
    <font>
      <b/>
      <sz val="11"/>
      <color theme="1"/>
      <name val="Aptos Narrow"/>
      <charset val="0"/>
      <scheme val="minor"/>
    </font>
    <font>
      <sz val="11"/>
      <color rgb="FF006100"/>
      <name val="Aptos Narrow"/>
      <charset val="0"/>
      <scheme val="minor"/>
    </font>
    <font>
      <sz val="11"/>
      <color rgb="FF9C0006"/>
      <name val="Aptos Narrow"/>
      <charset val="0"/>
      <scheme val="minor"/>
    </font>
    <font>
      <sz val="11"/>
      <color rgb="FF9C6500"/>
      <name val="Aptos Narrow"/>
      <charset val="0"/>
      <scheme val="minor"/>
    </font>
    <font>
      <sz val="11"/>
      <color theme="0"/>
      <name val="Aptos Narrow"/>
      <charset val="0"/>
      <scheme val="minor"/>
    </font>
    <font>
      <sz val="11"/>
      <color theme="1"/>
      <name val="Aptos Narrow"/>
      <charset val="0"/>
      <scheme val="minor"/>
    </font>
    <font>
      <b/>
      <sz val="11"/>
      <color theme="7" tint="-0.249977111117893"/>
      <name val="Biome"/>
      <charset val="134"/>
    </font>
    <font>
      <i/>
      <sz val="11"/>
      <color theme="7" tint="-0.249977111117893"/>
      <name val="Biome"/>
      <charset val="134"/>
    </font>
    <font>
      <b/>
      <sz val="11"/>
      <color rgb="FF0070C0"/>
      <name val="Biome"/>
      <charset val="134"/>
    </font>
    <font>
      <b/>
      <sz val="11"/>
      <color rgb="FF7030A0"/>
      <name val="Biome"/>
      <charset val="134"/>
    </font>
    <font>
      <i/>
      <sz val="11"/>
      <color rgb="FF7030A0"/>
      <name val="Biome"/>
      <charset val="134"/>
    </font>
    <font>
      <b/>
      <i/>
      <sz val="11"/>
      <color rgb="FF7030A0"/>
      <name val="Biome"/>
      <charset val="134"/>
    </font>
    <font>
      <b/>
      <sz val="11"/>
      <color theme="9" tint="-0.249977111117893"/>
      <name val="Biome"/>
      <charset val="134"/>
    </font>
    <font>
      <i/>
      <sz val="11"/>
      <color theme="9" tint="-0.249977111117893"/>
      <name val="Biome"/>
      <charset val="134"/>
    </font>
    <font>
      <i/>
      <sz val="11"/>
      <color rgb="FF0070C0"/>
      <name val="Biome"/>
      <charset val="134"/>
    </font>
    <font>
      <b/>
      <i/>
      <sz val="11"/>
      <color rgb="FF0070C0"/>
      <name val="Biome"/>
      <charset val="134"/>
    </font>
    <font>
      <b/>
      <sz val="11"/>
      <color theme="5" tint="-0.499984740745262"/>
      <name val="Biome"/>
      <charset val="134"/>
    </font>
    <font>
      <i/>
      <sz val="11"/>
      <color theme="5" tint="-0.499984740745262"/>
      <name val="Biome"/>
      <charset val="134"/>
    </font>
    <font>
      <b/>
      <i/>
      <sz val="11"/>
      <color theme="5" tint="-0.499984740745262"/>
      <name val="Biome"/>
      <charset val="134"/>
    </font>
    <font>
      <b/>
      <sz val="11"/>
      <color rgb="FF806000"/>
      <name val="Biome"/>
      <charset val="134"/>
    </font>
    <font>
      <i/>
      <sz val="11"/>
      <color rgb="FF806000"/>
      <name val="Biome"/>
      <charset val="134"/>
    </font>
    <font>
      <b/>
      <sz val="11"/>
      <color rgb="FF375623"/>
      <name val="Biome"/>
      <charset val="134"/>
    </font>
    <font>
      <i/>
      <sz val="11"/>
      <color rgb="FF375623"/>
      <name val="Biome"/>
      <charset val="134"/>
    </font>
    <font>
      <b/>
      <sz val="11"/>
      <color rgb="FF548235"/>
      <name val="Biome"/>
      <charset val="134"/>
    </font>
    <font>
      <i/>
      <sz val="11"/>
      <color rgb="FF548235"/>
      <name val="Biome"/>
      <charset val="134"/>
    </font>
    <font>
      <i/>
      <sz val="11"/>
      <color rgb="FF833C0C"/>
      <name val="Biome"/>
      <charset val="134"/>
    </font>
    <font>
      <b/>
      <i/>
      <sz val="11"/>
      <color rgb="FF833C0C"/>
      <name val="Biome"/>
      <charset val="134"/>
    </font>
    <font>
      <b/>
      <i/>
      <sz val="11"/>
      <color theme="9" tint="-0.249977111117893"/>
      <name val="Biome"/>
      <charset val="134"/>
    </font>
    <font>
      <b/>
      <sz val="11"/>
      <color theme="7" tint="-0.499984740745262"/>
      <name val="Biome"/>
      <charset val="134"/>
    </font>
    <font>
      <i/>
      <sz val="11"/>
      <color theme="7" tint="-0.499984740745262"/>
      <name val="Biome"/>
      <charset val="134"/>
    </font>
    <font>
      <b/>
      <i/>
      <sz val="11"/>
      <color rgb="FF548235"/>
      <name val="Biome"/>
      <charset val="134"/>
    </font>
  </fonts>
  <fills count="61">
    <fill>
      <patternFill patternType="none"/>
    </fill>
    <fill>
      <patternFill patternType="gray125"/>
    </fill>
    <fill>
      <patternFill patternType="solid">
        <fgColor theme="4" tint="0.799981688894314"/>
        <bgColor indexed="64"/>
      </patternFill>
    </fill>
    <fill>
      <patternFill patternType="solid">
        <fgColor theme="2" tint="-0.0999786370433668"/>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rgb="FFE2CFF1"/>
        <bgColor indexed="64"/>
      </patternFill>
    </fill>
    <fill>
      <patternFill patternType="solid">
        <fgColor theme="0" tint="-0.149998474074526"/>
        <bgColor indexed="64"/>
      </patternFill>
    </fill>
    <fill>
      <patternFill patternType="solid">
        <fgColor theme="8" tint="0.799981688894314"/>
        <bgColor indexed="64"/>
      </patternFill>
    </fill>
    <fill>
      <patternFill patternType="solid">
        <fgColor theme="6" tint="0.799981688894314"/>
        <bgColor indexed="64"/>
      </patternFill>
    </fill>
    <fill>
      <patternFill patternType="solid">
        <fgColor theme="7" tint="0.799981688894314"/>
        <bgColor indexed="64"/>
      </patternFill>
    </fill>
    <fill>
      <patternFill patternType="solid">
        <fgColor rgb="FFFFFFFF"/>
        <bgColor indexed="64"/>
      </patternFill>
    </fill>
    <fill>
      <patternFill patternType="solid">
        <fgColor theme="1"/>
        <bgColor indexed="64"/>
      </patternFill>
    </fill>
    <fill>
      <patternFill patternType="solid">
        <fgColor rgb="FF1F4E78"/>
        <bgColor indexed="64"/>
      </patternFill>
    </fill>
    <fill>
      <patternFill patternType="solid">
        <fgColor rgb="FF5B9BD5"/>
        <bgColor indexed="64"/>
      </patternFill>
    </fill>
    <fill>
      <patternFill patternType="solid">
        <fgColor rgb="FFF8FBFD"/>
        <bgColor indexed="64"/>
      </patternFill>
    </fill>
    <fill>
      <patternFill patternType="solid">
        <fgColor rgb="FFD9EAF7"/>
        <bgColor indexed="64"/>
      </patternFill>
    </fill>
    <fill>
      <patternFill patternType="solid">
        <fgColor theme="4" tint="0.799981688894314"/>
        <bgColor theme="4" tint="0.799981688894314"/>
      </patternFill>
    </fill>
    <fill>
      <patternFill patternType="solid">
        <fgColor theme="7" tint="-0.499984740745262"/>
        <bgColor indexed="64"/>
      </patternFill>
    </fill>
    <fill>
      <patternFill patternType="solid">
        <fgColor theme="8" tint="-0.499984740745262"/>
        <bgColor indexed="64"/>
      </patternFill>
    </fill>
    <fill>
      <patternFill patternType="solid">
        <fgColor theme="9" tint="-0.499984740745262"/>
        <bgColor indexed="64"/>
      </patternFill>
    </fill>
    <fill>
      <patternFill patternType="solid">
        <fgColor theme="6" tint="0.399975585192419"/>
        <bgColor indexed="64"/>
      </patternFill>
    </fill>
    <fill>
      <patternFill patternType="solid">
        <fgColor theme="3" tint="0.749992370372631"/>
        <bgColor indexed="64"/>
      </patternFill>
    </fill>
    <fill>
      <patternFill patternType="solid">
        <fgColor theme="5" tint="0.599993896298105"/>
        <bgColor indexed="64"/>
      </patternFill>
    </fill>
    <fill>
      <patternFill patternType="solid">
        <fgColor rgb="FFFF8B8B"/>
        <bgColor indexed="64"/>
      </patternFill>
    </fill>
    <fill>
      <patternFill patternType="solid">
        <fgColor rgb="FFB2E6A2"/>
        <bgColor indexed="64"/>
      </patternFill>
    </fill>
    <fill>
      <patternFill patternType="solid">
        <fgColor rgb="FFD3E4F5"/>
        <bgColor indexed="64"/>
      </patternFill>
    </fill>
    <fill>
      <patternFill patternType="solid">
        <fgColor rgb="FFFBE4D9"/>
        <bgColor indexed="64"/>
      </patternFill>
    </fill>
    <fill>
      <patternFill patternType="solid">
        <fgColor rgb="FFFFC9C9"/>
        <bgColor indexed="64"/>
      </patternFill>
    </fill>
    <fill>
      <patternFill patternType="solid">
        <fgColor theme="3" tint="0.89999084444715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1">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hair">
        <color auto="1"/>
      </top>
      <bottom/>
      <diagonal/>
    </border>
    <border>
      <left style="thin">
        <color auto="1"/>
      </left>
      <right style="thin">
        <color auto="1"/>
      </right>
      <top/>
      <bottom style="thin">
        <color auto="1"/>
      </bottom>
      <diagonal/>
    </border>
    <border>
      <left style="thin">
        <color auto="1"/>
      </left>
      <right style="thin">
        <color auto="1"/>
      </right>
      <top/>
      <bottom style="hair">
        <color auto="1"/>
      </bottom>
      <diagonal/>
    </border>
    <border>
      <left/>
      <right/>
      <top style="thin">
        <color theme="4" tint="0.399975585192419"/>
      </top>
      <bottom style="thin">
        <color theme="4" tint="0.399975585192419"/>
      </bottom>
      <diagonal/>
    </border>
    <border>
      <left/>
      <right style="thin">
        <color theme="4" tint="0.399975585192419"/>
      </right>
      <top style="thin">
        <color theme="4" tint="0.399975585192419"/>
      </top>
      <bottom style="thin">
        <color theme="4" tint="0.399975585192419"/>
      </bottom>
      <diagonal/>
    </border>
    <border>
      <left style="thin">
        <color auto="1"/>
      </left>
      <right style="thin">
        <color auto="1"/>
      </right>
      <top/>
      <bottom/>
      <diagonal/>
    </border>
    <border>
      <left style="thin">
        <color theme="4" tint="0.399975585192419"/>
      </left>
      <right/>
      <top style="thin">
        <color theme="4" tint="0.399975585192419"/>
      </top>
      <bottom style="thin">
        <color theme="4" tint="0.399975585192419"/>
      </bottom>
      <diagonal/>
    </border>
    <border>
      <left style="thin">
        <color theme="4" tint="0.399975585192419"/>
      </left>
      <right/>
      <top style="double">
        <color theme="4"/>
      </top>
      <bottom style="thin">
        <color theme="4" tint="0.399975585192419"/>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68" fillId="0" borderId="0" applyFont="0" applyFill="0" applyBorder="0" applyAlignment="0" applyProtection="0">
      <alignment vertical="center"/>
    </xf>
    <xf numFmtId="177" fontId="68" fillId="0" borderId="0" applyFont="0" applyFill="0" applyBorder="0" applyAlignment="0" applyProtection="0">
      <alignment vertical="center"/>
    </xf>
    <xf numFmtId="9" fontId="0" fillId="0" borderId="0" applyFont="0" applyFill="0" applyBorder="0" applyAlignment="0" applyProtection="0"/>
    <xf numFmtId="178" fontId="68" fillId="0" borderId="0" applyFont="0" applyFill="0" applyBorder="0" applyAlignment="0" applyProtection="0">
      <alignment vertical="center"/>
    </xf>
    <xf numFmtId="179" fontId="68" fillId="0" borderId="0" applyFont="0" applyFill="0" applyBorder="0" applyAlignment="0" applyProtection="0">
      <alignment vertical="center"/>
    </xf>
    <xf numFmtId="0" fontId="69" fillId="0" borderId="0" applyNumberFormat="0" applyFill="0" applyBorder="0" applyAlignment="0" applyProtection="0">
      <alignment vertical="center"/>
    </xf>
    <xf numFmtId="0" fontId="70" fillId="0" borderId="0" applyNumberFormat="0" applyFill="0" applyBorder="0" applyAlignment="0" applyProtection="0">
      <alignment vertical="center"/>
    </xf>
    <xf numFmtId="0" fontId="68" fillId="30" borderId="13" applyNumberFormat="0" applyFont="0" applyAlignment="0" applyProtection="0">
      <alignment vertical="center"/>
    </xf>
    <xf numFmtId="0" fontId="71" fillId="0" borderId="0" applyNumberFormat="0" applyFill="0" applyBorder="0" applyAlignment="0" applyProtection="0">
      <alignment vertical="center"/>
    </xf>
    <xf numFmtId="0" fontId="72" fillId="0" borderId="0" applyNumberFormat="0" applyFill="0" applyBorder="0" applyAlignment="0" applyProtection="0">
      <alignment vertical="center"/>
    </xf>
    <xf numFmtId="0" fontId="73" fillId="0" borderId="0" applyNumberFormat="0" applyFill="0" applyBorder="0" applyAlignment="0" applyProtection="0">
      <alignment vertical="center"/>
    </xf>
    <xf numFmtId="0" fontId="74" fillId="0" borderId="14" applyNumberFormat="0" applyFill="0" applyAlignment="0" applyProtection="0">
      <alignment vertical="center"/>
    </xf>
    <xf numFmtId="0" fontId="75" fillId="0" borderId="14" applyNumberFormat="0" applyFill="0" applyAlignment="0" applyProtection="0">
      <alignment vertical="center"/>
    </xf>
    <xf numFmtId="0" fontId="76" fillId="0" borderId="15" applyNumberFormat="0" applyFill="0" applyAlignment="0" applyProtection="0">
      <alignment vertical="center"/>
    </xf>
    <xf numFmtId="0" fontId="76" fillId="0" borderId="0" applyNumberFormat="0" applyFill="0" applyBorder="0" applyAlignment="0" applyProtection="0">
      <alignment vertical="center"/>
    </xf>
    <xf numFmtId="0" fontId="77" fillId="31" borderId="16" applyNumberFormat="0" applyAlignment="0" applyProtection="0">
      <alignment vertical="center"/>
    </xf>
    <xf numFmtId="0" fontId="78" fillId="32" borderId="17" applyNumberFormat="0" applyAlignment="0" applyProtection="0">
      <alignment vertical="center"/>
    </xf>
    <xf numFmtId="0" fontId="79" fillId="32" borderId="16" applyNumberFormat="0" applyAlignment="0" applyProtection="0">
      <alignment vertical="center"/>
    </xf>
    <xf numFmtId="0" fontId="80" fillId="33" borderId="18" applyNumberFormat="0" applyAlignment="0" applyProtection="0">
      <alignment vertical="center"/>
    </xf>
    <xf numFmtId="0" fontId="81" fillId="0" borderId="19" applyNumberFormat="0" applyFill="0" applyAlignment="0" applyProtection="0">
      <alignment vertical="center"/>
    </xf>
    <xf numFmtId="0" fontId="82" fillId="0" borderId="20" applyNumberFormat="0" applyFill="0" applyAlignment="0" applyProtection="0">
      <alignment vertical="center"/>
    </xf>
    <xf numFmtId="0" fontId="83" fillId="34" borderId="0" applyNumberFormat="0" applyBorder="0" applyAlignment="0" applyProtection="0">
      <alignment vertical="center"/>
    </xf>
    <xf numFmtId="0" fontId="84" fillId="35" borderId="0" applyNumberFormat="0" applyBorder="0" applyAlignment="0" applyProtection="0">
      <alignment vertical="center"/>
    </xf>
    <xf numFmtId="0" fontId="85" fillId="36" borderId="0" applyNumberFormat="0" applyBorder="0" applyAlignment="0" applyProtection="0">
      <alignment vertical="center"/>
    </xf>
    <xf numFmtId="0" fontId="86" fillId="37" borderId="0" applyNumberFormat="0" applyBorder="0" applyAlignment="0" applyProtection="0">
      <alignment vertical="center"/>
    </xf>
    <xf numFmtId="0" fontId="87" fillId="38" borderId="0" applyNumberFormat="0" applyBorder="0" applyAlignment="0" applyProtection="0">
      <alignment vertical="center"/>
    </xf>
    <xf numFmtId="0" fontId="87" fillId="39" borderId="0" applyNumberFormat="0" applyBorder="0" applyAlignment="0" applyProtection="0">
      <alignment vertical="center"/>
    </xf>
    <xf numFmtId="0" fontId="86" fillId="40" borderId="0" applyNumberFormat="0" applyBorder="0" applyAlignment="0" applyProtection="0">
      <alignment vertical="center"/>
    </xf>
    <xf numFmtId="0" fontId="86" fillId="41" borderId="0" applyNumberFormat="0" applyBorder="0" applyAlignment="0" applyProtection="0">
      <alignment vertical="center"/>
    </xf>
    <xf numFmtId="0" fontId="87" fillId="42" borderId="0" applyNumberFormat="0" applyBorder="0" applyAlignment="0" applyProtection="0">
      <alignment vertical="center"/>
    </xf>
    <xf numFmtId="0" fontId="87" fillId="43" borderId="0" applyNumberFormat="0" applyBorder="0" applyAlignment="0" applyProtection="0">
      <alignment vertical="center"/>
    </xf>
    <xf numFmtId="0" fontId="86" fillId="44" borderId="0" applyNumberFormat="0" applyBorder="0" applyAlignment="0" applyProtection="0">
      <alignment vertical="center"/>
    </xf>
    <xf numFmtId="0" fontId="86" fillId="45" borderId="0" applyNumberFormat="0" applyBorder="0" applyAlignment="0" applyProtection="0">
      <alignment vertical="center"/>
    </xf>
    <xf numFmtId="0" fontId="87" fillId="46" borderId="0" applyNumberFormat="0" applyBorder="0" applyAlignment="0" applyProtection="0">
      <alignment vertical="center"/>
    </xf>
    <xf numFmtId="0" fontId="87" fillId="47" borderId="0" applyNumberFormat="0" applyBorder="0" applyAlignment="0" applyProtection="0">
      <alignment vertical="center"/>
    </xf>
    <xf numFmtId="0" fontId="86" fillId="48" borderId="0" applyNumberFormat="0" applyBorder="0" applyAlignment="0" applyProtection="0">
      <alignment vertical="center"/>
    </xf>
    <xf numFmtId="0" fontId="86" fillId="49" borderId="0" applyNumberFormat="0" applyBorder="0" applyAlignment="0" applyProtection="0">
      <alignment vertical="center"/>
    </xf>
    <xf numFmtId="0" fontId="87" fillId="50" borderId="0" applyNumberFormat="0" applyBorder="0" applyAlignment="0" applyProtection="0">
      <alignment vertical="center"/>
    </xf>
    <xf numFmtId="0" fontId="87" fillId="51" borderId="0" applyNumberFormat="0" applyBorder="0" applyAlignment="0" applyProtection="0">
      <alignment vertical="center"/>
    </xf>
    <xf numFmtId="0" fontId="86" fillId="52" borderId="0" applyNumberFormat="0" applyBorder="0" applyAlignment="0" applyProtection="0">
      <alignment vertical="center"/>
    </xf>
    <xf numFmtId="0" fontId="86" fillId="53" borderId="0" applyNumberFormat="0" applyBorder="0" applyAlignment="0" applyProtection="0">
      <alignment vertical="center"/>
    </xf>
    <xf numFmtId="0" fontId="87" fillId="54" borderId="0" applyNumberFormat="0" applyBorder="0" applyAlignment="0" applyProtection="0">
      <alignment vertical="center"/>
    </xf>
    <xf numFmtId="0" fontId="87" fillId="55" borderId="0" applyNumberFormat="0" applyBorder="0" applyAlignment="0" applyProtection="0">
      <alignment vertical="center"/>
    </xf>
    <xf numFmtId="0" fontId="86" fillId="56" borderId="0" applyNumberFormat="0" applyBorder="0" applyAlignment="0" applyProtection="0">
      <alignment vertical="center"/>
    </xf>
    <xf numFmtId="0" fontId="86" fillId="57" borderId="0" applyNumberFormat="0" applyBorder="0" applyAlignment="0" applyProtection="0">
      <alignment vertical="center"/>
    </xf>
    <xf numFmtId="0" fontId="87" fillId="58" borderId="0" applyNumberFormat="0" applyBorder="0" applyAlignment="0" applyProtection="0">
      <alignment vertical="center"/>
    </xf>
    <xf numFmtId="0" fontId="87" fillId="59" borderId="0" applyNumberFormat="0" applyBorder="0" applyAlignment="0" applyProtection="0">
      <alignment vertical="center"/>
    </xf>
    <xf numFmtId="0" fontId="86" fillId="60" borderId="0" applyNumberFormat="0" applyBorder="0" applyAlignment="0" applyProtection="0">
      <alignment vertical="center"/>
    </xf>
  </cellStyleXfs>
  <cellXfs count="293">
    <xf numFmtId="0" fontId="0" fillId="0" borderId="0" xfId="0"/>
    <xf numFmtId="0" fontId="1" fillId="0" borderId="1" xfId="0" applyFont="1" applyBorder="1"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1" fillId="0" borderId="1" xfId="0" applyFont="1" applyBorder="1" applyAlignment="1">
      <alignment horizontal="left" vertical="center" wrapText="1"/>
    </xf>
    <xf numFmtId="0" fontId="2" fillId="0" borderId="1" xfId="0" applyFont="1" applyBorder="1" applyAlignment="1">
      <alignment horizontal="left"/>
    </xf>
    <xf numFmtId="0" fontId="2" fillId="0" borderId="1" xfId="0" applyFont="1" applyBorder="1" applyAlignment="1">
      <alignment horizontal="left" vertical="center" wrapText="1"/>
    </xf>
    <xf numFmtId="0" fontId="3" fillId="2" borderId="1" xfId="0" applyFont="1" applyFill="1" applyBorder="1" applyAlignment="1">
      <alignment vertical="center" wrapText="1"/>
    </xf>
    <xf numFmtId="0" fontId="3" fillId="2" borderId="1" xfId="0" applyFont="1" applyFill="1" applyBorder="1" applyAlignment="1">
      <alignment horizontal="left" vertical="center" wrapText="1"/>
    </xf>
    <xf numFmtId="0" fontId="2" fillId="0" borderId="2" xfId="0" applyFont="1" applyBorder="1" applyAlignment="1">
      <alignment horizontal="left" vertical="center" wrapText="1"/>
    </xf>
    <xf numFmtId="0" fontId="4" fillId="3" borderId="2" xfId="0" applyFont="1" applyFill="1" applyBorder="1" applyAlignment="1">
      <alignment horizontal="left" vertical="center" wrapText="1"/>
    </xf>
    <xf numFmtId="0" fontId="4" fillId="3" borderId="3" xfId="0" applyFont="1" applyFill="1" applyBorder="1" applyAlignment="1">
      <alignment horizontal="left" vertical="center" wrapText="1"/>
    </xf>
    <xf numFmtId="0" fontId="4"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6" fillId="4" borderId="2" xfId="0" applyFont="1" applyFill="1" applyBorder="1" applyAlignment="1">
      <alignment horizontal="left" vertical="center" wrapText="1"/>
    </xf>
    <xf numFmtId="9" fontId="0" fillId="0" borderId="0" xfId="0" applyNumberFormat="1" applyAlignment="1">
      <alignment horizontal="right" vertical="center" wrapText="1"/>
    </xf>
    <xf numFmtId="0" fontId="3" fillId="2" borderId="2" xfId="0" applyFont="1" applyFill="1" applyBorder="1" applyAlignment="1">
      <alignment horizontal="left" vertical="center" wrapText="1"/>
    </xf>
    <xf numFmtId="0" fontId="3" fillId="2" borderId="4" xfId="0" applyFont="1" applyFill="1" applyBorder="1" applyAlignment="1">
      <alignment horizontal="left" vertical="center" wrapText="1"/>
    </xf>
    <xf numFmtId="0" fontId="3" fillId="2" borderId="5" xfId="0" applyFont="1" applyFill="1" applyBorder="1" applyAlignment="1">
      <alignment horizontal="left" vertical="center" wrapText="1"/>
    </xf>
    <xf numFmtId="0" fontId="2" fillId="0" borderId="6" xfId="0" applyFont="1" applyBorder="1" applyAlignment="1">
      <alignment horizontal="left" vertical="center" wrapText="1"/>
    </xf>
    <xf numFmtId="0" fontId="3" fillId="2" borderId="6" xfId="0" applyFont="1" applyFill="1" applyBorder="1" applyAlignment="1">
      <alignment horizontal="left" vertical="center" wrapText="1"/>
    </xf>
    <xf numFmtId="0" fontId="3" fillId="2" borderId="3" xfId="0" applyFont="1" applyFill="1" applyBorder="1" applyAlignment="1">
      <alignment horizontal="left" vertical="center" wrapText="1"/>
    </xf>
    <xf numFmtId="10" fontId="0" fillId="0" borderId="0" xfId="0" applyNumberFormat="1" applyAlignment="1">
      <alignment horizontal="right" vertical="center" wrapText="1"/>
    </xf>
    <xf numFmtId="0" fontId="7" fillId="4" borderId="1" xfId="0" applyFont="1" applyFill="1" applyBorder="1" applyAlignment="1">
      <alignment horizontal="left" vertical="center" wrapText="1"/>
    </xf>
    <xf numFmtId="0" fontId="8" fillId="4" borderId="1" xfId="0" applyFont="1" applyFill="1" applyBorder="1" applyAlignment="1">
      <alignment horizontal="left" vertical="center" wrapText="1"/>
    </xf>
    <xf numFmtId="0" fontId="9" fillId="4" borderId="1" xfId="0" applyFont="1" applyFill="1" applyBorder="1" applyAlignment="1">
      <alignment horizontal="left" vertical="center" wrapText="1"/>
    </xf>
    <xf numFmtId="0" fontId="10" fillId="5" borderId="7" xfId="0" applyFont="1" applyFill="1" applyBorder="1" applyAlignment="1">
      <alignment horizontal="left" vertical="center" wrapText="1"/>
    </xf>
    <xf numFmtId="0" fontId="11" fillId="5" borderId="7" xfId="0" applyFont="1" applyFill="1" applyBorder="1" applyAlignment="1">
      <alignment horizontal="left" vertical="center" wrapText="1"/>
    </xf>
    <xf numFmtId="0" fontId="11" fillId="5" borderId="2" xfId="0" applyFont="1" applyFill="1" applyBorder="1" applyAlignment="1">
      <alignment horizontal="left" vertical="center" wrapText="1"/>
    </xf>
    <xf numFmtId="0" fontId="12" fillId="5" borderId="2" xfId="0" applyFont="1" applyFill="1" applyBorder="1" applyAlignment="1">
      <alignment horizontal="left" vertical="center" wrapText="1"/>
    </xf>
    <xf numFmtId="0" fontId="10" fillId="5" borderId="5" xfId="0" applyFont="1" applyFill="1" applyBorder="1" applyAlignment="1">
      <alignment vertical="center" wrapText="1"/>
    </xf>
    <xf numFmtId="0" fontId="12" fillId="5" borderId="5" xfId="0" applyFont="1" applyFill="1" applyBorder="1" applyAlignment="1">
      <alignment vertical="center" wrapText="1"/>
    </xf>
    <xf numFmtId="0" fontId="11" fillId="5" borderId="6" xfId="0" applyFont="1" applyFill="1" applyBorder="1" applyAlignment="1">
      <alignment horizontal="left" vertical="center" wrapText="1"/>
    </xf>
    <xf numFmtId="0" fontId="12" fillId="5" borderId="6" xfId="0" applyFont="1" applyFill="1" applyBorder="1" applyAlignment="1">
      <alignment horizontal="left" vertical="center" wrapText="1"/>
    </xf>
    <xf numFmtId="0" fontId="11" fillId="5" borderId="1" xfId="0" applyFont="1" applyFill="1" applyBorder="1" applyAlignment="1">
      <alignment vertical="center" wrapText="1"/>
    </xf>
    <xf numFmtId="0" fontId="11" fillId="5" borderId="1" xfId="0" applyFont="1" applyFill="1" applyBorder="1" applyAlignment="1">
      <alignment horizontal="left" vertical="center" wrapText="1"/>
    </xf>
    <xf numFmtId="0" fontId="13" fillId="6" borderId="1" xfId="0" applyFont="1" applyFill="1" applyBorder="1" applyAlignment="1">
      <alignment horizontal="left" vertical="center" wrapText="1"/>
    </xf>
    <xf numFmtId="0" fontId="4" fillId="3" borderId="4" xfId="0" applyFont="1" applyFill="1" applyBorder="1" applyAlignment="1">
      <alignment horizontal="left" vertical="center" wrapText="1"/>
    </xf>
    <xf numFmtId="0" fontId="14" fillId="0" borderId="1" xfId="0" applyFont="1" applyBorder="1" applyAlignment="1">
      <alignment horizontal="center" vertical="center"/>
    </xf>
    <xf numFmtId="0" fontId="14" fillId="0" borderId="1" xfId="0" applyFont="1" applyBorder="1" applyAlignment="1">
      <alignment horizontal="center" vertical="center" wrapText="1"/>
    </xf>
    <xf numFmtId="0" fontId="14" fillId="4" borderId="1" xfId="0" applyFont="1" applyFill="1" applyBorder="1" applyAlignment="1">
      <alignment horizontal="center" vertical="center" wrapText="1"/>
    </xf>
    <xf numFmtId="0" fontId="14" fillId="6" borderId="1" xfId="0" applyFont="1" applyFill="1" applyBorder="1" applyAlignment="1">
      <alignment horizontal="center" vertical="center" wrapText="1"/>
    </xf>
    <xf numFmtId="0" fontId="14" fillId="5" borderId="1" xfId="0" applyFont="1" applyFill="1" applyBorder="1" applyAlignment="1">
      <alignment horizontal="center" vertical="center" wrapText="1"/>
    </xf>
    <xf numFmtId="0" fontId="14" fillId="2" borderId="1" xfId="0" applyFont="1" applyFill="1" applyBorder="1" applyAlignment="1">
      <alignment horizontal="center" vertical="center" wrapText="1"/>
    </xf>
    <xf numFmtId="0" fontId="14" fillId="3" borderId="1" xfId="0" applyFont="1" applyFill="1" applyBorder="1" applyAlignment="1">
      <alignment horizontal="center" vertical="center" wrapText="1"/>
    </xf>
    <xf numFmtId="0" fontId="15" fillId="0" borderId="1" xfId="0" applyFont="1" applyBorder="1" applyAlignment="1">
      <alignment horizontal="center" vertical="center"/>
    </xf>
    <xf numFmtId="0" fontId="15" fillId="7" borderId="2" xfId="0" applyFont="1" applyFill="1" applyBorder="1" applyAlignment="1">
      <alignment horizontal="center" vertical="center" wrapText="1"/>
    </xf>
    <xf numFmtId="0" fontId="12" fillId="5" borderId="1" xfId="0" applyFont="1" applyFill="1" applyBorder="1" applyAlignment="1">
      <alignment vertical="center" wrapText="1"/>
    </xf>
    <xf numFmtId="0" fontId="15" fillId="7" borderId="6" xfId="0" applyFont="1" applyFill="1" applyBorder="1" applyAlignment="1">
      <alignment horizontal="center" vertical="center" wrapText="1"/>
    </xf>
    <xf numFmtId="0" fontId="15" fillId="0" borderId="2" xfId="0" applyFont="1" applyBorder="1" applyAlignment="1">
      <alignment horizontal="center" vertical="center" wrapText="1"/>
    </xf>
    <xf numFmtId="0" fontId="15" fillId="0" borderId="6" xfId="0" applyFont="1" applyBorder="1" applyAlignment="1">
      <alignment horizontal="center" vertical="center" wrapText="1"/>
    </xf>
    <xf numFmtId="0" fontId="13" fillId="6" borderId="1" xfId="0" applyFont="1" applyFill="1" applyBorder="1" applyAlignment="1">
      <alignment vertical="center" wrapText="1"/>
    </xf>
    <xf numFmtId="0" fontId="15" fillId="7" borderId="1" xfId="0" applyFont="1" applyFill="1" applyBorder="1" applyAlignment="1">
      <alignment horizontal="center" vertical="center" wrapText="1"/>
    </xf>
    <xf numFmtId="0" fontId="15" fillId="0" borderId="1" xfId="0" applyFont="1" applyBorder="1" applyAlignment="1">
      <alignment horizontal="center" vertical="center" wrapText="1"/>
    </xf>
    <xf numFmtId="0" fontId="9" fillId="4" borderId="6" xfId="0" applyFont="1" applyFill="1" applyBorder="1" applyAlignment="1">
      <alignment horizontal="left" vertical="center" wrapText="1"/>
    </xf>
    <xf numFmtId="0" fontId="16" fillId="0" borderId="0" xfId="0" applyFont="1" applyAlignment="1">
      <alignment horizontal="center" vertical="center" wrapText="1"/>
    </xf>
    <xf numFmtId="0" fontId="0" fillId="0" borderId="0" xfId="0" applyAlignment="1">
      <alignment vertical="center" wrapText="1"/>
    </xf>
    <xf numFmtId="0" fontId="0" fillId="0" borderId="0" xfId="0" applyAlignment="1">
      <alignment horizontal="center"/>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16" fillId="4" borderId="1" xfId="0" applyFont="1" applyFill="1" applyBorder="1" applyAlignment="1">
      <alignment wrapText="1"/>
    </xf>
    <xf numFmtId="0" fontId="16" fillId="4" borderId="1" xfId="0" applyFont="1" applyFill="1" applyBorder="1" applyAlignment="1">
      <alignment horizontal="center" vertical="center"/>
    </xf>
    <xf numFmtId="0" fontId="0" fillId="0" borderId="1" xfId="0" applyBorder="1" applyAlignment="1">
      <alignment wrapText="1"/>
    </xf>
    <xf numFmtId="0" fontId="0" fillId="0" borderId="1" xfId="0" applyBorder="1" applyAlignment="1">
      <alignment horizontal="center" vertical="center"/>
    </xf>
    <xf numFmtId="0" fontId="16" fillId="8" borderId="1" xfId="0" applyFont="1" applyFill="1" applyBorder="1" applyAlignment="1">
      <alignment wrapText="1"/>
    </xf>
    <xf numFmtId="0" fontId="16" fillId="8" borderId="1" xfId="0" applyFont="1" applyFill="1" applyBorder="1" applyAlignment="1">
      <alignment horizontal="center" vertical="center"/>
    </xf>
    <xf numFmtId="0" fontId="16" fillId="9" borderId="1" xfId="0" applyFont="1" applyFill="1" applyBorder="1" applyAlignment="1">
      <alignment wrapText="1"/>
    </xf>
    <xf numFmtId="0" fontId="16" fillId="9" borderId="1" xfId="0" applyFont="1" applyFill="1" applyBorder="1" applyAlignment="1">
      <alignment horizontal="center" vertical="center"/>
    </xf>
    <xf numFmtId="0" fontId="16" fillId="10" borderId="1" xfId="0" applyFont="1" applyFill="1" applyBorder="1" applyAlignment="1">
      <alignment wrapText="1"/>
    </xf>
    <xf numFmtId="0" fontId="16" fillId="10" borderId="1" xfId="0" applyFont="1" applyFill="1" applyBorder="1" applyAlignment="1">
      <alignment horizontal="center" vertical="center"/>
    </xf>
    <xf numFmtId="0" fontId="16" fillId="7" borderId="1" xfId="0" applyFont="1" applyFill="1" applyBorder="1" applyAlignment="1">
      <alignment wrapText="1"/>
    </xf>
    <xf numFmtId="0" fontId="16" fillId="7" borderId="1" xfId="0" applyFont="1" applyFill="1" applyBorder="1" applyAlignment="1">
      <alignment horizontal="center" vertical="center"/>
    </xf>
    <xf numFmtId="0" fontId="17" fillId="0" borderId="0" xfId="0" applyFont="1" applyAlignment="1">
      <alignment horizontal="left" vertical="center" wrapText="1" indent="1"/>
    </xf>
    <xf numFmtId="0" fontId="17" fillId="0" borderId="0" xfId="0" applyFont="1" applyAlignment="1">
      <alignment horizontal="right" vertical="center" wrapText="1" indent="1"/>
    </xf>
    <xf numFmtId="0" fontId="18" fillId="11" borderId="0" xfId="0" applyFont="1" applyFill="1" applyAlignment="1">
      <alignment horizontal="right" vertical="center" wrapText="1" indent="1"/>
    </xf>
    <xf numFmtId="0" fontId="19" fillId="0" borderId="0" xfId="0" applyFont="1" applyAlignment="1">
      <alignment horizontal="left" vertical="center" wrapText="1" indent="1"/>
    </xf>
    <xf numFmtId="0" fontId="18" fillId="11" borderId="1" xfId="0" applyFont="1" applyFill="1" applyBorder="1" applyAlignment="1">
      <alignment horizontal="left" vertical="center" wrapText="1" indent="1"/>
    </xf>
    <xf numFmtId="0" fontId="18" fillId="11" borderId="1" xfId="0" applyFont="1" applyFill="1" applyBorder="1" applyAlignment="1">
      <alignment horizontal="right" vertical="center" wrapText="1" indent="1"/>
    </xf>
    <xf numFmtId="0" fontId="20" fillId="0" borderId="0" xfId="0" applyFont="1" applyAlignment="1">
      <alignment horizontal="center" vertical="center" wrapText="1"/>
    </xf>
    <xf numFmtId="0" fontId="20" fillId="0" borderId="0" xfId="0" applyFont="1" applyAlignment="1">
      <alignment horizontal="center" vertical="center"/>
    </xf>
    <xf numFmtId="0" fontId="20" fillId="12" borderId="1" xfId="0" applyFont="1" applyFill="1" applyBorder="1"/>
    <xf numFmtId="0" fontId="20" fillId="0" borderId="1" xfId="0" applyFont="1" applyBorder="1" applyAlignment="1">
      <alignment wrapText="1"/>
    </xf>
    <xf numFmtId="0" fontId="20" fillId="0" borderId="0" xfId="0" applyFont="1"/>
    <xf numFmtId="0" fontId="20" fillId="0" borderId="0" xfId="0" applyFont="1" applyAlignment="1">
      <alignment horizontal="center"/>
    </xf>
    <xf numFmtId="0" fontId="20" fillId="0" borderId="1" xfId="0" applyFont="1" applyBorder="1" applyAlignment="1">
      <alignment vertical="center" wrapText="1"/>
    </xf>
    <xf numFmtId="0" fontId="21" fillId="0" borderId="1" xfId="0" applyFont="1" applyBorder="1" applyAlignment="1">
      <alignment vertical="center" wrapText="1"/>
    </xf>
    <xf numFmtId="0" fontId="22" fillId="0" borderId="1" xfId="0" applyFont="1" applyBorder="1" applyAlignment="1">
      <alignment vertical="center" wrapText="1"/>
    </xf>
    <xf numFmtId="0" fontId="23" fillId="0" borderId="1" xfId="0" applyFont="1" applyBorder="1" applyAlignment="1">
      <alignment vertical="center" wrapText="1"/>
    </xf>
    <xf numFmtId="0" fontId="24" fillId="0" borderId="1" xfId="0" applyFont="1" applyBorder="1" applyAlignment="1">
      <alignment vertical="center" wrapText="1"/>
    </xf>
    <xf numFmtId="0" fontId="20" fillId="0" borderId="1" xfId="0" applyFont="1" applyBorder="1" applyAlignment="1">
      <alignment horizontal="left" vertical="center" wrapText="1"/>
    </xf>
    <xf numFmtId="0" fontId="25" fillId="0" borderId="1" xfId="0" applyFont="1" applyBorder="1" applyAlignment="1">
      <alignment vertical="center" wrapText="1"/>
    </xf>
    <xf numFmtId="0" fontId="26" fillId="0" borderId="0" xfId="0" applyFont="1" applyAlignment="1">
      <alignment wrapText="1"/>
    </xf>
    <xf numFmtId="0" fontId="26" fillId="0" borderId="0" xfId="0" applyFont="1" applyAlignment="1">
      <alignment vertical="center" wrapText="1"/>
    </xf>
    <xf numFmtId="0" fontId="26" fillId="0" borderId="0" xfId="0" applyFont="1"/>
    <xf numFmtId="0" fontId="26" fillId="0" borderId="0" xfId="0" applyFont="1" applyAlignment="1">
      <alignment horizontal="center" vertical="center"/>
    </xf>
    <xf numFmtId="0" fontId="27" fillId="13" borderId="0" xfId="0" applyFont="1" applyFill="1" applyAlignment="1">
      <alignment horizontal="center" vertical="top" wrapText="1"/>
    </xf>
    <xf numFmtId="0" fontId="26" fillId="0" borderId="0" xfId="0" applyFont="1" applyAlignment="1">
      <alignment vertical="top" wrapText="1"/>
    </xf>
    <xf numFmtId="0" fontId="28" fillId="14" borderId="0" xfId="0" applyFont="1" applyFill="1" applyAlignment="1">
      <alignment horizontal="left" vertical="center" wrapText="1"/>
    </xf>
    <xf numFmtId="0" fontId="26" fillId="15" borderId="0" xfId="0" applyFont="1" applyFill="1" applyAlignment="1">
      <alignment wrapText="1"/>
    </xf>
    <xf numFmtId="0" fontId="28" fillId="0" borderId="0" xfId="0" applyFont="1" applyAlignment="1">
      <alignment horizontal="left" vertical="center" wrapText="1"/>
    </xf>
    <xf numFmtId="0" fontId="29" fillId="16" borderId="0" xfId="0" applyFont="1" applyFill="1" applyAlignment="1">
      <alignment horizontal="center" vertical="center" wrapText="1"/>
    </xf>
    <xf numFmtId="0" fontId="26" fillId="0" borderId="0" xfId="0" applyFont="1" applyAlignment="1">
      <alignment horizontal="center" vertical="center" wrapText="1"/>
    </xf>
    <xf numFmtId="0" fontId="29" fillId="16" borderId="8" xfId="0" applyFont="1" applyFill="1" applyBorder="1" applyAlignment="1">
      <alignment horizontal="center" vertical="center" wrapText="1"/>
    </xf>
    <xf numFmtId="0" fontId="29" fillId="16" borderId="9" xfId="0" applyFont="1" applyFill="1" applyBorder="1" applyAlignment="1">
      <alignment horizontal="center" vertical="center" wrapText="1"/>
    </xf>
    <xf numFmtId="1" fontId="20" fillId="17" borderId="8" xfId="0" applyNumberFormat="1" applyFont="1" applyFill="1" applyBorder="1" applyAlignment="1">
      <alignment horizontal="center" vertical="center"/>
    </xf>
    <xf numFmtId="180" fontId="20" fillId="17" borderId="8" xfId="0" applyNumberFormat="1" applyFont="1" applyFill="1" applyBorder="1" applyAlignment="1">
      <alignment horizontal="center" vertical="center"/>
    </xf>
    <xf numFmtId="2" fontId="20" fillId="17" borderId="8" xfId="0" applyNumberFormat="1" applyFont="1" applyFill="1" applyBorder="1" applyAlignment="1">
      <alignment horizontal="center" vertical="center"/>
    </xf>
    <xf numFmtId="0" fontId="20" fillId="17" borderId="9" xfId="0" applyFont="1" applyFill="1" applyBorder="1" applyAlignment="1">
      <alignment vertical="center"/>
    </xf>
    <xf numFmtId="1" fontId="20" fillId="0" borderId="8" xfId="0" applyNumberFormat="1" applyFont="1" applyBorder="1" applyAlignment="1">
      <alignment horizontal="center" vertical="center"/>
    </xf>
    <xf numFmtId="180" fontId="20" fillId="0" borderId="8" xfId="0" applyNumberFormat="1" applyFont="1" applyBorder="1" applyAlignment="1">
      <alignment horizontal="center" vertical="center"/>
    </xf>
    <xf numFmtId="2" fontId="20" fillId="0" borderId="8" xfId="0" applyNumberFormat="1" applyFont="1" applyBorder="1" applyAlignment="1">
      <alignment horizontal="center" vertical="center"/>
    </xf>
    <xf numFmtId="0" fontId="20" fillId="0" borderId="9" xfId="0" applyFont="1" applyBorder="1" applyAlignment="1">
      <alignment vertical="center"/>
    </xf>
    <xf numFmtId="0" fontId="26" fillId="0" borderId="0" xfId="0" applyFont="1" applyAlignment="1">
      <alignment vertical="center"/>
    </xf>
    <xf numFmtId="0" fontId="20" fillId="0" borderId="8" xfId="0" applyFont="1" applyBorder="1" applyAlignment="1">
      <alignment horizontal="center" vertical="center"/>
    </xf>
    <xf numFmtId="0" fontId="30" fillId="0" borderId="0" xfId="0" applyFont="1" applyAlignment="1">
      <alignment wrapText="1"/>
    </xf>
    <xf numFmtId="0" fontId="31" fillId="0" borderId="0" xfId="0" applyFont="1" applyAlignment="1">
      <alignment wrapText="1"/>
    </xf>
    <xf numFmtId="0" fontId="27" fillId="13" borderId="0" xfId="0" applyFont="1" applyFill="1" applyAlignment="1">
      <alignment horizontal="center" vertical="center" wrapText="1"/>
    </xf>
    <xf numFmtId="0" fontId="31" fillId="0" borderId="0" xfId="0" applyFont="1" applyAlignment="1">
      <alignment vertical="top" wrapText="1"/>
    </xf>
    <xf numFmtId="0" fontId="31" fillId="0" borderId="0" xfId="0" applyFont="1"/>
    <xf numFmtId="0" fontId="32" fillId="18" borderId="1" xfId="0" applyFont="1" applyFill="1" applyBorder="1" applyAlignment="1">
      <alignment horizontal="center" vertical="center" wrapText="1"/>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wrapText="1"/>
    </xf>
    <xf numFmtId="0" fontId="26" fillId="0" borderId="2" xfId="0" applyFont="1" applyBorder="1" applyAlignment="1">
      <alignment horizontal="center" vertical="center" wrapText="1"/>
    </xf>
    <xf numFmtId="0" fontId="30" fillId="0" borderId="1" xfId="0" applyFont="1" applyBorder="1" applyAlignment="1">
      <alignment horizontal="center" vertical="center" wrapText="1"/>
    </xf>
    <xf numFmtId="2" fontId="30" fillId="0" borderId="1" xfId="0" applyNumberFormat="1" applyFont="1" applyBorder="1" applyAlignment="1">
      <alignment horizontal="center" vertical="center" wrapText="1"/>
    </xf>
    <xf numFmtId="2" fontId="31" fillId="0" borderId="0" xfId="0" applyNumberFormat="1" applyFont="1" applyAlignment="1">
      <alignment wrapText="1"/>
    </xf>
    <xf numFmtId="0" fontId="26" fillId="0" borderId="10" xfId="0" applyFont="1" applyBorder="1" applyAlignment="1">
      <alignment horizontal="center" vertical="center" wrapText="1"/>
    </xf>
    <xf numFmtId="0" fontId="26" fillId="0" borderId="6" xfId="0" applyFont="1" applyBorder="1" applyAlignment="1">
      <alignment horizontal="center" vertical="center" wrapText="1"/>
    </xf>
    <xf numFmtId="0" fontId="33" fillId="11" borderId="1" xfId="0" applyFont="1" applyFill="1" applyBorder="1" applyAlignment="1">
      <alignment horizontal="left" vertical="center" wrapText="1" indent="1"/>
    </xf>
    <xf numFmtId="0" fontId="33" fillId="11" borderId="1" xfId="0" applyFont="1" applyFill="1" applyBorder="1" applyAlignment="1">
      <alignment vertical="center" wrapText="1"/>
    </xf>
    <xf numFmtId="2" fontId="26" fillId="0" borderId="1" xfId="0" applyNumberFormat="1" applyFont="1" applyBorder="1" applyAlignment="1">
      <alignment wrapText="1"/>
    </xf>
    <xf numFmtId="0" fontId="23" fillId="0" borderId="0" xfId="0" applyFont="1"/>
    <xf numFmtId="0" fontId="22" fillId="0" borderId="0" xfId="0" applyFont="1"/>
    <xf numFmtId="0" fontId="29" fillId="16" borderId="11" xfId="0" applyFont="1" applyFill="1" applyBorder="1" applyAlignment="1">
      <alignment horizontal="center" vertical="center" wrapText="1"/>
    </xf>
    <xf numFmtId="0" fontId="34" fillId="16" borderId="0" xfId="0" applyFont="1" applyFill="1" applyAlignment="1">
      <alignment horizontal="center" vertical="center" wrapText="1"/>
    </xf>
    <xf numFmtId="0" fontId="23" fillId="17" borderId="11" xfId="0" applyFont="1" applyFill="1" applyBorder="1" applyAlignment="1">
      <alignment horizontal="center" vertical="center" wrapText="1"/>
    </xf>
    <xf numFmtId="0" fontId="23" fillId="0" borderId="0" xfId="0" applyFont="1" applyAlignment="1">
      <alignment horizontal="center" vertical="center" wrapText="1"/>
    </xf>
    <xf numFmtId="0" fontId="23" fillId="0" borderId="0" xfId="0" applyFont="1" applyAlignment="1">
      <alignment horizontal="left" vertical="center" wrapText="1"/>
    </xf>
    <xf numFmtId="9" fontId="23" fillId="0" borderId="0" xfId="3" applyFont="1" applyAlignment="1">
      <alignment horizontal="center" vertical="center" wrapText="1"/>
    </xf>
    <xf numFmtId="2" fontId="23" fillId="0" borderId="0" xfId="3" applyNumberFormat="1" applyFont="1" applyAlignment="1">
      <alignment horizontal="center" vertical="center" wrapText="1"/>
    </xf>
    <xf numFmtId="0" fontId="23" fillId="0" borderId="0" xfId="0" applyFont="1" applyAlignment="1">
      <alignment vertical="center" wrapText="1"/>
    </xf>
    <xf numFmtId="0" fontId="26" fillId="17" borderId="11" xfId="0" applyFont="1" applyFill="1" applyBorder="1" applyAlignment="1">
      <alignment horizontal="center" vertical="center" wrapText="1"/>
    </xf>
    <xf numFmtId="9" fontId="26" fillId="0" borderId="0" xfId="0" applyNumberFormat="1" applyFont="1" applyAlignment="1">
      <alignment horizontal="center" vertical="center" wrapText="1"/>
    </xf>
    <xf numFmtId="9" fontId="26" fillId="0" borderId="0" xfId="3" applyFont="1" applyAlignment="1">
      <alignment horizontal="center" vertical="center" wrapText="1"/>
    </xf>
    <xf numFmtId="2" fontId="26" fillId="0" borderId="0" xfId="3" applyNumberFormat="1" applyFont="1" applyAlignment="1">
      <alignment horizontal="center" vertical="center" wrapText="1"/>
    </xf>
    <xf numFmtId="0" fontId="26" fillId="0" borderId="0" xfId="0" applyFont="1" applyAlignment="1">
      <alignment horizontal="left" vertical="center" wrapText="1"/>
    </xf>
    <xf numFmtId="9" fontId="23" fillId="0" borderId="0" xfId="0" applyNumberFormat="1" applyFont="1" applyAlignment="1">
      <alignment horizontal="center" vertical="center" wrapText="1"/>
    </xf>
    <xf numFmtId="0" fontId="20" fillId="17" borderId="0" xfId="0" applyFont="1" applyFill="1" applyAlignment="1">
      <alignment horizontal="center" vertical="center" wrapText="1"/>
    </xf>
    <xf numFmtId="0" fontId="22" fillId="0" borderId="0" xfId="0" applyFont="1" applyAlignment="1">
      <alignment horizontal="center" vertical="center" wrapText="1"/>
    </xf>
    <xf numFmtId="0" fontId="26" fillId="0" borderId="0" xfId="3" applyNumberFormat="1" applyFont="1" applyAlignment="1">
      <alignment horizontal="center" vertical="center" wrapText="1"/>
    </xf>
    <xf numFmtId="0" fontId="35" fillId="0" borderId="0" xfId="0" applyFont="1"/>
    <xf numFmtId="9" fontId="0" fillId="0" borderId="0" xfId="0" applyNumberFormat="1"/>
    <xf numFmtId="2" fontId="0" fillId="0" borderId="0" xfId="0" applyNumberFormat="1"/>
    <xf numFmtId="0" fontId="32" fillId="19" borderId="11" xfId="0" applyFont="1" applyFill="1" applyBorder="1" applyAlignment="1">
      <alignment horizontal="center" vertical="center" wrapText="1"/>
    </xf>
    <xf numFmtId="0" fontId="32" fillId="19" borderId="0" xfId="0" applyFont="1" applyFill="1" applyAlignment="1">
      <alignment horizontal="center" vertical="center" wrapText="1"/>
    </xf>
    <xf numFmtId="0" fontId="20" fillId="17" borderId="11" xfId="0" applyFont="1" applyFill="1" applyBorder="1" applyAlignment="1">
      <alignment horizontal="center" vertical="center" wrapText="1"/>
    </xf>
    <xf numFmtId="0" fontId="16" fillId="0" borderId="12" xfId="0" applyFont="1" applyBorder="1"/>
    <xf numFmtId="0" fontId="36" fillId="0" borderId="0" xfId="0" applyFont="1" applyAlignment="1">
      <alignment vertical="center"/>
    </xf>
    <xf numFmtId="0" fontId="26" fillId="15" borderId="0" xfId="0" applyFont="1" applyFill="1" applyAlignment="1">
      <alignment vertical="center" wrapText="1"/>
    </xf>
    <xf numFmtId="9" fontId="26" fillId="0" borderId="0" xfId="0" applyNumberFormat="1" applyFont="1" applyAlignment="1">
      <alignment horizontal="center" vertical="center"/>
    </xf>
    <xf numFmtId="2" fontId="26" fillId="0" borderId="0" xfId="0" applyNumberFormat="1" applyFont="1" applyAlignment="1">
      <alignment horizontal="center" vertical="center"/>
    </xf>
    <xf numFmtId="0" fontId="37" fillId="0" borderId="0" xfId="0" applyFont="1" applyAlignment="1">
      <alignment vertical="center" wrapText="1"/>
    </xf>
    <xf numFmtId="0" fontId="38" fillId="0" borderId="0" xfId="0" applyFont="1" applyAlignment="1">
      <alignment horizontal="right"/>
    </xf>
    <xf numFmtId="2" fontId="38" fillId="0" borderId="0" xfId="0" applyNumberFormat="1" applyFont="1" applyAlignment="1">
      <alignment horizontal="center"/>
    </xf>
    <xf numFmtId="0" fontId="39" fillId="0" borderId="0" xfId="0" applyFont="1" applyAlignment="1">
      <alignment horizontal="left" vertical="center" wrapText="1"/>
    </xf>
    <xf numFmtId="0" fontId="39" fillId="0" borderId="0" xfId="0" applyFont="1" applyAlignment="1">
      <alignment vertical="center"/>
    </xf>
    <xf numFmtId="2" fontId="39" fillId="0" borderId="0" xfId="0" applyNumberFormat="1" applyFont="1" applyAlignment="1">
      <alignment vertical="center"/>
    </xf>
    <xf numFmtId="0" fontId="40" fillId="0" borderId="0" xfId="0" applyFont="1" applyAlignment="1">
      <alignment vertical="center"/>
    </xf>
    <xf numFmtId="2" fontId="26" fillId="0" borderId="0" xfId="0" applyNumberFormat="1" applyFont="1" applyAlignment="1">
      <alignment horizontal="left" vertical="center"/>
    </xf>
    <xf numFmtId="0" fontId="41" fillId="0" borderId="0" xfId="0" applyFont="1" applyAlignment="1">
      <alignment vertical="center"/>
    </xf>
    <xf numFmtId="2" fontId="41" fillId="0" borderId="0" xfId="0" applyNumberFormat="1" applyFont="1" applyAlignment="1">
      <alignment horizontal="left" vertical="center"/>
    </xf>
    <xf numFmtId="0" fontId="41" fillId="0" borderId="0" xfId="0" applyFont="1" applyAlignment="1">
      <alignment horizontal="left" vertical="top"/>
    </xf>
    <xf numFmtId="0" fontId="42" fillId="0" borderId="0" xfId="0" applyFont="1" applyAlignment="1">
      <alignment vertical="center"/>
    </xf>
    <xf numFmtId="0" fontId="40" fillId="0" borderId="0" xfId="0" applyFont="1" applyAlignment="1">
      <alignment horizontal="left" vertical="top"/>
    </xf>
    <xf numFmtId="2" fontId="41" fillId="0" borderId="0" xfId="0" applyNumberFormat="1" applyFont="1" applyAlignment="1">
      <alignment vertical="center"/>
    </xf>
    <xf numFmtId="0" fontId="0" fillId="0" borderId="0" xfId="0" applyAlignment="1">
      <alignment horizontal="center" vertical="center" wrapText="1"/>
    </xf>
    <xf numFmtId="0" fontId="0" fillId="0" borderId="0" xfId="0" applyAlignment="1">
      <alignment wrapText="1"/>
    </xf>
    <xf numFmtId="0" fontId="43" fillId="0" borderId="0" xfId="0" applyFont="1"/>
    <xf numFmtId="0" fontId="20" fillId="0" borderId="0" xfId="0" applyFont="1" applyAlignment="1">
      <alignment wrapText="1"/>
    </xf>
    <xf numFmtId="0" fontId="20" fillId="0" borderId="0" xfId="0" applyFont="1" applyAlignment="1">
      <alignment vertical="center" wrapText="1"/>
    </xf>
    <xf numFmtId="0" fontId="20" fillId="0" borderId="0" xfId="0" applyFont="1" applyAlignment="1">
      <alignment horizontal="left"/>
    </xf>
    <xf numFmtId="0" fontId="43" fillId="0" borderId="1" xfId="0" applyFont="1" applyBorder="1" applyAlignment="1">
      <alignment horizontal="center" vertical="center" wrapText="1"/>
    </xf>
    <xf numFmtId="0" fontId="43" fillId="8" borderId="1" xfId="0" applyFont="1" applyFill="1" applyBorder="1" applyAlignment="1">
      <alignment horizontal="center" vertical="center" wrapText="1"/>
    </xf>
    <xf numFmtId="0" fontId="43" fillId="2" borderId="1" xfId="0" applyFont="1" applyFill="1" applyBorder="1" applyAlignment="1">
      <alignment horizontal="center" vertical="center" wrapText="1"/>
    </xf>
    <xf numFmtId="0" fontId="43" fillId="7" borderId="1" xfId="0" applyFont="1" applyFill="1" applyBorder="1" applyAlignment="1">
      <alignment horizontal="center" vertical="center" wrapText="1"/>
    </xf>
    <xf numFmtId="0" fontId="43" fillId="9" borderId="1" xfId="0" applyFont="1" applyFill="1" applyBorder="1" applyAlignment="1">
      <alignment horizontal="center" vertical="center" wrapText="1"/>
    </xf>
    <xf numFmtId="0" fontId="43" fillId="9" borderId="1" xfId="0" applyFont="1" applyFill="1" applyBorder="1" applyAlignment="1">
      <alignment horizontal="center" vertical="center"/>
    </xf>
    <xf numFmtId="0" fontId="20" fillId="9" borderId="1" xfId="0" applyFont="1" applyFill="1" applyBorder="1" applyAlignment="1">
      <alignment vertical="center" wrapText="1"/>
    </xf>
    <xf numFmtId="0" fontId="44" fillId="9" borderId="1" xfId="0" applyFont="1" applyFill="1" applyBorder="1" applyAlignment="1">
      <alignment horizontal="center" vertical="center"/>
    </xf>
    <xf numFmtId="0" fontId="20" fillId="8" borderId="1" xfId="0" applyFont="1" applyFill="1" applyBorder="1" applyAlignment="1">
      <alignment horizontal="center" vertical="center"/>
    </xf>
    <xf numFmtId="0" fontId="20" fillId="2" borderId="1" xfId="0" applyFont="1" applyFill="1" applyBorder="1" applyAlignment="1">
      <alignment horizontal="center" vertical="center"/>
    </xf>
    <xf numFmtId="0" fontId="20" fillId="7" borderId="1" xfId="0" applyFont="1" applyFill="1" applyBorder="1" applyAlignment="1">
      <alignment horizontal="center" vertical="center"/>
    </xf>
    <xf numFmtId="0" fontId="20" fillId="0" borderId="1" xfId="0" applyFont="1" applyBorder="1" applyAlignment="1">
      <alignment horizontal="center" vertical="center"/>
    </xf>
    <xf numFmtId="0" fontId="20" fillId="0" borderId="1" xfId="0" applyFont="1" applyBorder="1" applyAlignment="1">
      <alignment horizontal="center" vertical="center" wrapText="1"/>
    </xf>
    <xf numFmtId="0" fontId="45" fillId="10" borderId="1" xfId="0" applyFont="1" applyFill="1" applyBorder="1" applyAlignment="1">
      <alignment horizontal="center" vertical="center" wrapText="1"/>
    </xf>
    <xf numFmtId="0" fontId="45" fillId="10" borderId="1" xfId="0" applyFont="1" applyFill="1" applyBorder="1" applyAlignment="1">
      <alignment horizontal="center" vertical="center"/>
    </xf>
    <xf numFmtId="2" fontId="20" fillId="0" borderId="1" xfId="0" applyNumberFormat="1" applyFont="1" applyBorder="1" applyAlignment="1">
      <alignment horizontal="center"/>
    </xf>
    <xf numFmtId="0" fontId="43" fillId="2" borderId="1" xfId="0" applyFont="1" applyFill="1" applyBorder="1"/>
    <xf numFmtId="2" fontId="43" fillId="2" borderId="1" xfId="0" applyNumberFormat="1" applyFont="1" applyFill="1" applyBorder="1" applyAlignment="1">
      <alignment horizontal="center"/>
    </xf>
    <xf numFmtId="0" fontId="43" fillId="2" borderId="1" xfId="0" applyFont="1" applyFill="1" applyBorder="1" applyAlignment="1">
      <alignment horizontal="center" vertical="center"/>
    </xf>
    <xf numFmtId="0" fontId="43" fillId="0" borderId="0" xfId="0" applyFont="1" applyAlignment="1">
      <alignment wrapText="1"/>
    </xf>
    <xf numFmtId="0" fontId="43" fillId="0" borderId="0" xfId="0" applyFont="1" applyAlignment="1">
      <alignment vertical="center" wrapText="1"/>
    </xf>
    <xf numFmtId="0" fontId="43" fillId="0" borderId="0" xfId="0" applyFont="1" applyAlignment="1">
      <alignment horizontal="center"/>
    </xf>
    <xf numFmtId="0" fontId="43" fillId="0" borderId="0" xfId="0" applyFont="1" applyAlignment="1">
      <alignment horizontal="center" vertical="center"/>
    </xf>
    <xf numFmtId="0" fontId="46" fillId="0" borderId="0" xfId="0" applyFont="1"/>
    <xf numFmtId="0" fontId="47" fillId="0" borderId="0" xfId="0" applyFont="1"/>
    <xf numFmtId="0" fontId="45" fillId="0" borderId="0" xfId="0" applyFont="1" applyAlignment="1">
      <alignment horizontal="center" vertical="center"/>
    </xf>
    <xf numFmtId="0" fontId="47" fillId="0" borderId="0" xfId="0" applyFont="1" applyAlignment="1">
      <alignment horizontal="center" vertical="center"/>
    </xf>
    <xf numFmtId="0" fontId="45" fillId="0" borderId="0" xfId="0" applyFont="1"/>
    <xf numFmtId="0" fontId="48" fillId="0" borderId="0" xfId="0" applyFont="1"/>
    <xf numFmtId="0" fontId="0" fillId="0" borderId="0" xfId="0" applyAlignment="1">
      <alignment vertical="top"/>
    </xf>
    <xf numFmtId="0" fontId="49" fillId="0" borderId="0" xfId="0" applyFont="1" applyAlignment="1">
      <alignment vertical="center"/>
    </xf>
    <xf numFmtId="0" fontId="46" fillId="0" borderId="0" xfId="0" applyFont="1" applyAlignment="1">
      <alignment vertical="top"/>
    </xf>
    <xf numFmtId="0" fontId="50" fillId="4" borderId="1" xfId="0" applyFont="1" applyFill="1" applyBorder="1" applyAlignment="1">
      <alignment horizontal="center" vertical="center" wrapText="1"/>
    </xf>
    <xf numFmtId="0" fontId="51" fillId="20" borderId="1" xfId="0" applyFont="1" applyFill="1" applyBorder="1" applyAlignment="1">
      <alignment horizontal="center" vertical="center" wrapText="1"/>
    </xf>
    <xf numFmtId="0" fontId="50" fillId="21" borderId="1" xfId="0" applyFont="1" applyFill="1" applyBorder="1" applyAlignment="1">
      <alignment horizontal="center" vertical="center" wrapText="1"/>
    </xf>
    <xf numFmtId="0" fontId="50" fillId="22" borderId="1" xfId="0" applyFont="1" applyFill="1" applyBorder="1" applyAlignment="1">
      <alignment horizontal="center" vertical="center" wrapText="1"/>
    </xf>
    <xf numFmtId="0" fontId="52" fillId="23" borderId="1" xfId="0" applyFont="1" applyFill="1" applyBorder="1" applyAlignment="1">
      <alignment horizontal="center" vertical="center" wrapText="1"/>
    </xf>
    <xf numFmtId="0" fontId="52" fillId="24" borderId="1" xfId="0" applyFont="1" applyFill="1" applyBorder="1" applyAlignment="1">
      <alignment horizontal="center" vertical="center" wrapText="1"/>
    </xf>
    <xf numFmtId="0" fontId="53" fillId="0" borderId="1" xfId="0" applyFont="1" applyBorder="1" applyAlignment="1">
      <alignment horizontal="right" vertical="center" wrapText="1" indent="1"/>
    </xf>
    <xf numFmtId="2" fontId="54" fillId="0" borderId="1" xfId="0" applyNumberFormat="1" applyFont="1" applyBorder="1" applyAlignment="1">
      <alignment horizontal="center" vertical="center" wrapText="1"/>
    </xf>
    <xf numFmtId="0" fontId="54" fillId="0" borderId="1" xfId="0" applyFont="1" applyBorder="1" applyAlignment="1">
      <alignment horizontal="right" vertical="center" wrapText="1" indent="1"/>
    </xf>
    <xf numFmtId="0" fontId="54" fillId="25" borderId="1" xfId="0" applyFont="1" applyFill="1" applyBorder="1" applyAlignment="1">
      <alignment horizontal="left" vertical="top" wrapText="1"/>
    </xf>
    <xf numFmtId="0" fontId="54" fillId="9" borderId="1" xfId="0" applyFont="1" applyFill="1" applyBorder="1" applyAlignment="1">
      <alignment horizontal="left" vertical="top" wrapText="1"/>
    </xf>
    <xf numFmtId="0" fontId="54" fillId="26" borderId="1" xfId="0" applyFont="1" applyFill="1" applyBorder="1" applyAlignment="1">
      <alignment horizontal="left" vertical="top" wrapText="1"/>
    </xf>
    <xf numFmtId="0" fontId="54" fillId="27" borderId="1" xfId="0" applyFont="1" applyFill="1" applyBorder="1" applyAlignment="1">
      <alignment horizontal="left" vertical="top" wrapText="1"/>
    </xf>
    <xf numFmtId="0" fontId="54" fillId="28" borderId="1" xfId="0" applyFont="1" applyFill="1" applyBorder="1" applyAlignment="1">
      <alignment horizontal="left" vertical="top" wrapText="1"/>
    </xf>
    <xf numFmtId="0" fontId="55" fillId="25" borderId="1" xfId="0" applyFont="1" applyFill="1" applyBorder="1" applyAlignment="1">
      <alignment horizontal="left" vertical="top" wrapText="1"/>
    </xf>
    <xf numFmtId="0" fontId="55" fillId="9" borderId="1" xfId="0" applyFont="1" applyFill="1" applyBorder="1" applyAlignment="1">
      <alignment horizontal="left" vertical="top" wrapText="1"/>
    </xf>
    <xf numFmtId="0" fontId="56" fillId="4" borderId="1" xfId="0" applyFont="1" applyFill="1" applyBorder="1" applyAlignment="1">
      <alignment horizontal="right" vertical="center" wrapText="1" indent="1"/>
    </xf>
    <xf numFmtId="0" fontId="57" fillId="4" borderId="1" xfId="0" applyFont="1" applyFill="1" applyBorder="1" applyAlignment="1">
      <alignment horizontal="center" vertical="center" wrapText="1"/>
    </xf>
    <xf numFmtId="0" fontId="57" fillId="4" borderId="1" xfId="0" applyFont="1" applyFill="1" applyBorder="1" applyAlignment="1">
      <alignment vertical="center" wrapText="1"/>
    </xf>
    <xf numFmtId="0" fontId="58" fillId="0" borderId="0" xfId="0" applyFont="1"/>
    <xf numFmtId="0" fontId="53" fillId="0" borderId="0" xfId="0" applyFont="1" applyAlignment="1">
      <alignment horizontal="right" vertical="top" wrapText="1"/>
    </xf>
    <xf numFmtId="0" fontId="57" fillId="0" borderId="0" xfId="0" applyFont="1" applyAlignment="1">
      <alignment vertical="center" wrapText="1"/>
    </xf>
    <xf numFmtId="0" fontId="47" fillId="0" borderId="0" xfId="0" applyFont="1" applyAlignment="1">
      <alignment horizontal="center"/>
    </xf>
    <xf numFmtId="0" fontId="45" fillId="9" borderId="1" xfId="0" applyFont="1" applyFill="1" applyBorder="1" applyAlignment="1">
      <alignment horizontal="center" vertical="center"/>
    </xf>
    <xf numFmtId="0" fontId="45" fillId="9" borderId="1" xfId="0" applyFont="1" applyFill="1" applyBorder="1" applyAlignment="1">
      <alignment horizontal="center" vertical="center" wrapText="1"/>
    </xf>
    <xf numFmtId="0" fontId="45" fillId="9" borderId="1" xfId="0" applyFont="1" applyFill="1" applyBorder="1" applyAlignment="1">
      <alignment horizontal="center" wrapText="1"/>
    </xf>
    <xf numFmtId="0" fontId="47" fillId="0" borderId="1" xfId="0" applyFont="1" applyBorder="1" applyAlignment="1">
      <alignment horizontal="center" vertical="center" wrapText="1"/>
    </xf>
    <xf numFmtId="0" fontId="47" fillId="0" borderId="1" xfId="0" applyFont="1" applyBorder="1" applyAlignment="1">
      <alignment horizontal="center" vertical="center"/>
    </xf>
    <xf numFmtId="0" fontId="47" fillId="0" borderId="1" xfId="0" applyFont="1" applyBorder="1" applyAlignment="1">
      <alignment vertical="center"/>
    </xf>
    <xf numFmtId="0" fontId="45" fillId="8" borderId="1" xfId="0" applyFont="1" applyFill="1" applyBorder="1" applyAlignment="1">
      <alignment horizontal="center" vertical="center"/>
    </xf>
    <xf numFmtId="0" fontId="45" fillId="8" borderId="1" xfId="0" applyFont="1" applyFill="1" applyBorder="1" applyAlignment="1">
      <alignment horizontal="center" wrapText="1"/>
    </xf>
    <xf numFmtId="0" fontId="45" fillId="8" borderId="1" xfId="0" applyFont="1" applyFill="1" applyBorder="1" applyAlignment="1">
      <alignment horizontal="center" vertical="center" wrapText="1"/>
    </xf>
    <xf numFmtId="0" fontId="45" fillId="4" borderId="1" xfId="0" applyFont="1" applyFill="1" applyBorder="1" applyAlignment="1">
      <alignment horizontal="center" vertical="center"/>
    </xf>
    <xf numFmtId="0" fontId="45" fillId="4" borderId="1" xfId="0" applyFont="1" applyFill="1" applyBorder="1" applyAlignment="1">
      <alignment horizontal="center" wrapText="1"/>
    </xf>
    <xf numFmtId="0" fontId="47" fillId="0" borderId="1" xfId="0" applyFont="1" applyBorder="1" applyAlignment="1">
      <alignment horizontal="center" wrapText="1"/>
    </xf>
    <xf numFmtId="0" fontId="47" fillId="0" borderId="1" xfId="0" applyFont="1" applyBorder="1" applyAlignment="1">
      <alignment horizontal="center"/>
    </xf>
    <xf numFmtId="0" fontId="47" fillId="0" borderId="1" xfId="0" applyFont="1" applyBorder="1"/>
    <xf numFmtId="0" fontId="45" fillId="4" borderId="1" xfId="0" applyFont="1" applyFill="1" applyBorder="1" applyAlignment="1">
      <alignment horizontal="center" vertical="center" wrapText="1"/>
    </xf>
    <xf numFmtId="2" fontId="45" fillId="4" borderId="1" xfId="0" applyNumberFormat="1" applyFont="1" applyFill="1" applyBorder="1" applyAlignment="1">
      <alignment horizontal="center" vertical="center" wrapText="1"/>
    </xf>
    <xf numFmtId="2" fontId="45" fillId="4" borderId="1" xfId="0" applyNumberFormat="1" applyFont="1" applyFill="1" applyBorder="1" applyAlignment="1">
      <alignment horizontal="center" vertical="center"/>
    </xf>
    <xf numFmtId="0" fontId="45" fillId="3" borderId="1" xfId="0" applyFont="1" applyFill="1" applyBorder="1" applyAlignment="1">
      <alignment horizontal="center" vertical="center"/>
    </xf>
    <xf numFmtId="0" fontId="45" fillId="3" borderId="1" xfId="0" applyFont="1" applyFill="1" applyBorder="1" applyAlignment="1">
      <alignment horizontal="center" wrapText="1"/>
    </xf>
    <xf numFmtId="0" fontId="47" fillId="0" borderId="1" xfId="0" applyFont="1" applyBorder="1" applyAlignment="1">
      <alignment vertical="center" wrapText="1"/>
    </xf>
    <xf numFmtId="0" fontId="45" fillId="3" borderId="1" xfId="0" applyFont="1" applyFill="1" applyBorder="1" applyAlignment="1">
      <alignment horizontal="center" vertical="center" wrapText="1"/>
    </xf>
    <xf numFmtId="2" fontId="45" fillId="3" borderId="1" xfId="0" applyNumberFormat="1" applyFont="1" applyFill="1" applyBorder="1" applyAlignment="1">
      <alignment horizontal="center" vertical="center" wrapText="1"/>
    </xf>
    <xf numFmtId="2" fontId="45" fillId="3" borderId="1" xfId="0" applyNumberFormat="1" applyFont="1" applyFill="1" applyBorder="1" applyAlignment="1">
      <alignment horizontal="center" vertical="center"/>
    </xf>
    <xf numFmtId="0" fontId="45" fillId="10" borderId="1" xfId="0" applyFont="1" applyFill="1" applyBorder="1" applyAlignment="1">
      <alignment horizontal="center" wrapText="1"/>
    </xf>
    <xf numFmtId="2" fontId="45" fillId="10" borderId="1" xfId="0" applyNumberFormat="1" applyFont="1" applyFill="1" applyBorder="1" applyAlignment="1">
      <alignment horizontal="center" vertical="center" wrapText="1"/>
    </xf>
    <xf numFmtId="2" fontId="45" fillId="10" borderId="1" xfId="0" applyNumberFormat="1" applyFont="1" applyFill="1" applyBorder="1" applyAlignment="1">
      <alignment horizontal="center" vertical="center"/>
    </xf>
    <xf numFmtId="0" fontId="45" fillId="0" borderId="0" xfId="0" applyFont="1" applyAlignment="1">
      <alignment horizontal="center" vertical="center" wrapText="1"/>
    </xf>
    <xf numFmtId="0" fontId="48" fillId="0" borderId="1" xfId="0" applyFont="1" applyBorder="1" applyAlignment="1">
      <alignment horizontal="center" vertical="center" wrapText="1"/>
    </xf>
    <xf numFmtId="2" fontId="47" fillId="0" borderId="1" xfId="0" applyNumberFormat="1" applyFont="1" applyBorder="1" applyAlignment="1">
      <alignment horizontal="center" wrapText="1"/>
    </xf>
    <xf numFmtId="0" fontId="59" fillId="2" borderId="1" xfId="0" applyFont="1" applyFill="1" applyBorder="1" applyAlignment="1">
      <alignment horizontal="center" vertical="center" wrapText="1"/>
    </xf>
    <xf numFmtId="2" fontId="45" fillId="2" borderId="1" xfId="0" applyNumberFormat="1" applyFont="1" applyFill="1" applyBorder="1" applyAlignment="1">
      <alignment horizontal="center" wrapText="1"/>
    </xf>
    <xf numFmtId="0" fontId="45" fillId="2" borderId="1" xfId="0" applyFont="1" applyFill="1" applyBorder="1" applyAlignment="1">
      <alignment horizontal="center" wrapText="1"/>
    </xf>
    <xf numFmtId="0" fontId="60" fillId="0" borderId="0" xfId="0" applyFont="1" applyAlignment="1">
      <alignment vertical="center"/>
    </xf>
    <xf numFmtId="0" fontId="59" fillId="29" borderId="1" xfId="0" applyFont="1" applyFill="1" applyBorder="1" applyAlignment="1">
      <alignment horizontal="center" vertical="center" wrapText="1"/>
    </xf>
    <xf numFmtId="0" fontId="48" fillId="0" borderId="1" xfId="0" applyFont="1" applyBorder="1" applyAlignment="1">
      <alignment horizontal="right" vertical="center" wrapText="1" indent="1"/>
    </xf>
    <xf numFmtId="2" fontId="48" fillId="0" borderId="1" xfId="0" applyNumberFormat="1" applyFont="1" applyBorder="1" applyAlignment="1">
      <alignment horizontal="center"/>
    </xf>
    <xf numFmtId="0" fontId="20" fillId="0" borderId="0" xfId="0" applyFont="1" applyAlignment="1">
      <alignment horizontal="center" wrapText="1"/>
    </xf>
    <xf numFmtId="0" fontId="61" fillId="7" borderId="1" xfId="0" applyFont="1" applyFill="1" applyBorder="1" applyAlignment="1">
      <alignment horizontal="center" vertical="center" wrapText="1"/>
    </xf>
    <xf numFmtId="0" fontId="62" fillId="7" borderId="1" xfId="0" applyFont="1" applyFill="1" applyBorder="1" applyAlignment="1">
      <alignment horizontal="center" vertical="center" wrapText="1"/>
    </xf>
    <xf numFmtId="0" fontId="63" fillId="11" borderId="1" xfId="0" applyFont="1" applyFill="1" applyBorder="1" applyAlignment="1">
      <alignment horizontal="right" vertical="center" wrapText="1" indent="1"/>
    </xf>
    <xf numFmtId="0" fontId="64" fillId="0" borderId="1" xfId="0" applyFont="1" applyBorder="1" applyAlignment="1">
      <alignment horizontal="left" vertical="center" wrapText="1"/>
    </xf>
    <xf numFmtId="0" fontId="65" fillId="0" borderId="1" xfId="0" applyFont="1" applyBorder="1" applyAlignment="1">
      <alignment horizontal="left" vertical="center" wrapText="1"/>
    </xf>
    <xf numFmtId="0" fontId="66" fillId="11" borderId="1" xfId="0" applyFont="1" applyFill="1" applyBorder="1" applyAlignment="1">
      <alignment horizontal="center" vertical="center" wrapText="1"/>
    </xf>
    <xf numFmtId="0" fontId="66" fillId="11" borderId="1" xfId="0" applyFont="1" applyFill="1" applyBorder="1" applyAlignment="1">
      <alignment horizontal="right" vertical="center" wrapText="1" indent="1"/>
    </xf>
    <xf numFmtId="0" fontId="66" fillId="11" borderId="1" xfId="0" applyFont="1" applyFill="1" applyBorder="1" applyAlignment="1">
      <alignment vertical="center" wrapText="1"/>
    </xf>
    <xf numFmtId="0" fontId="66" fillId="11" borderId="1" xfId="0" applyFont="1" applyFill="1" applyBorder="1" applyAlignment="1">
      <alignment horizontal="left" vertical="center" wrapText="1" indent="1"/>
    </xf>
    <xf numFmtId="0" fontId="67" fillId="11" borderId="1" xfId="0" applyFont="1" applyFill="1" applyBorder="1" applyAlignment="1">
      <alignment horizontal="left" vertical="center" indent="1"/>
    </xf>
    <xf numFmtId="0" fontId="67" fillId="11" borderId="1" xfId="0" applyFont="1" applyFill="1" applyBorder="1" applyAlignment="1">
      <alignment horizontal="right" vertical="center" wrapText="1" indent="1"/>
    </xf>
    <xf numFmtId="2" fontId="67" fillId="11" borderId="1" xfId="0" applyNumberFormat="1" applyFont="1" applyFill="1" applyBorder="1" applyAlignment="1">
      <alignment horizontal="center" vertical="center" wrapText="1"/>
    </xf>
    <xf numFmtId="2" fontId="43" fillId="11" borderId="1" xfId="0" applyNumberFormat="1" applyFont="1" applyFill="1" applyBorder="1"/>
    <xf numFmtId="2" fontId="43" fillId="0" borderId="1" xfId="0" applyNumberFormat="1" applyFont="1" applyBorder="1" applyAlignment="1">
      <alignment horizontal="center" vertical="center"/>
    </xf>
    <xf numFmtId="0" fontId="43" fillId="0" borderId="1" xfId="0" applyFont="1" applyBorder="1" applyAlignment="1">
      <alignment horizontal="center" vertical="center"/>
    </xf>
    <xf numFmtId="0" fontId="40" fillId="0" borderId="1" xfId="0" applyFont="1" applyBorder="1" applyAlignment="1">
      <alignment vertical="center" wrapText="1"/>
    </xf>
    <xf numFmtId="2" fontId="67" fillId="11" borderId="1" xfId="0" applyNumberFormat="1" applyFont="1" applyFill="1" applyBorder="1" applyAlignment="1">
      <alignment horizontal="right" vertical="center" wrapText="1" indent="1"/>
    </xf>
    <xf numFmtId="0" fontId="63" fillId="11" borderId="1" xfId="0" applyFont="1" applyFill="1" applyBorder="1" applyAlignment="1">
      <alignment horizontal="center" vertical="center"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61">
    <dxf>
      <font>
        <color rgb="FF9C0006"/>
      </font>
      <fill>
        <patternFill patternType="solid">
          <bgColor rgb="FFFFC7CE"/>
        </patternFill>
      </fill>
    </dxf>
    <dxf>
      <font>
        <color theme="5"/>
      </font>
      <fill>
        <patternFill patternType="solid">
          <bgColor theme="5" tint="0.799981688894314"/>
        </patternFill>
      </fill>
    </dxf>
    <dxf>
      <font>
        <color rgb="FF002060"/>
      </font>
      <fill>
        <patternFill patternType="solid">
          <bgColor rgb="FFFFC1E0"/>
        </patternFill>
      </fill>
    </dxf>
    <dxf>
      <font>
        <color rgb="FF7030A0"/>
      </font>
      <fill>
        <patternFill patternType="solid">
          <bgColor theme="8" tint="0.799981688894314"/>
        </patternFill>
      </fill>
    </dxf>
    <dxf>
      <font>
        <color rgb="FF9C5700"/>
      </font>
      <fill>
        <patternFill patternType="solid">
          <bgColor rgb="FFFFEB9C"/>
        </patternFill>
      </fill>
    </dxf>
    <dxf>
      <font>
        <color rgb="FF7030A0"/>
      </font>
      <fill>
        <patternFill patternType="solid">
          <bgColor rgb="FFFFB9DC"/>
        </patternFill>
      </fill>
    </dxf>
    <dxf>
      <font>
        <color rgb="FF9C0006"/>
      </font>
      <fill>
        <patternFill patternType="solid">
          <bgColor rgb="FFFFC7CE"/>
        </patternFill>
      </fill>
    </dxf>
    <dxf>
      <font>
        <color rgb="FF9C5700"/>
      </font>
      <fill>
        <patternFill patternType="solid">
          <bgColor rgb="FFFFEB9C"/>
        </patternFill>
      </fill>
    </dxf>
    <dxf>
      <font>
        <color rgb="FF006100"/>
      </font>
      <fill>
        <patternFill patternType="solid">
          <bgColor rgb="FFC6EFCE"/>
        </patternFill>
      </fill>
    </dxf>
    <dxf>
      <font>
        <color theme="0"/>
      </font>
      <fill>
        <patternFill patternType="solid">
          <bgColor rgb="FFC00000"/>
        </patternFill>
      </fill>
    </dxf>
    <dxf>
      <font>
        <color theme="0"/>
      </font>
      <fill>
        <patternFill patternType="solid">
          <bgColor rgb="FFFF2525"/>
        </patternFill>
      </fill>
    </dxf>
    <dxf>
      <fill>
        <patternFill patternType="solid">
          <bgColor rgb="FFFF7575"/>
        </patternFill>
      </fill>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2" formatCode="0.00"/>
      <alignment horizontal="center" vertical="center"/>
    </dxf>
    <dxf>
      <font>
        <name val="Abadi"/>
        <scheme val="none"/>
        <family val="2"/>
        <strike val="0"/>
        <u val="none"/>
      </font>
      <numFmt numFmtId="0" formatCode="General"/>
      <alignment vertical="center"/>
    </dxf>
    <dxf>
      <font>
        <name val="Abadi"/>
        <scheme val="none"/>
        <family val="2"/>
        <strike val="0"/>
        <u val="none"/>
      </font>
      <numFmt numFmtId="0" formatCode="General"/>
      <alignment vertical="center"/>
    </dxf>
    <dxf>
      <font>
        <name val="Abadi"/>
        <scheme val="none"/>
        <family val="2"/>
        <b val="0"/>
        <i val="0"/>
        <strike val="0"/>
        <u val="none"/>
        <sz val="11"/>
        <color auto="1"/>
      </font>
      <alignment vertical="center"/>
    </dxf>
    <dxf>
      <font>
        <name val="Abadi"/>
        <scheme val="none"/>
        <family val="2"/>
        <b val="0"/>
        <i val="0"/>
        <strike val="0"/>
        <u val="none"/>
        <sz val="11"/>
        <color auto="1"/>
      </font>
      <numFmt numFmtId="2" formatCode="0.00"/>
      <alignment horizontal="left" vertical="center"/>
    </dxf>
    <dxf>
      <font>
        <name val="Abadi"/>
        <scheme val="none"/>
        <family val="2"/>
        <b val="0"/>
        <i val="0"/>
        <strike val="0"/>
        <u val="none"/>
        <sz val="11"/>
        <color auto="1"/>
      </font>
      <alignment vertical="center"/>
    </dxf>
    <dxf>
      <font>
        <name val="Abadi"/>
        <scheme val="none"/>
        <family val="2"/>
        <b val="0"/>
        <i val="0"/>
        <strike val="0"/>
        <u val="none"/>
        <sz val="11"/>
        <color auto="1"/>
      </font>
      <alignment vertical="center"/>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numFmt numFmtId="0" formatCode="General"/>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auto="1"/>
      </font>
      <alignment horizontal="center" vertical="center" wrapText="1"/>
    </dxf>
    <dxf>
      <font>
        <name val="Abadi"/>
        <scheme val="none"/>
        <family val="2"/>
        <b val="0"/>
        <i val="0"/>
        <strike val="0"/>
        <u val="none"/>
        <sz val="11"/>
        <color rgb="FF00B050"/>
      </font>
      <alignment horizontal="center" vertical="center" wrapText="1"/>
    </dxf>
    <dxf>
      <font>
        <name val="Abadi"/>
        <scheme val="none"/>
        <family val="2"/>
        <b val="0"/>
        <i val="0"/>
        <strike val="0"/>
        <u val="none"/>
        <sz val="11"/>
        <color auto="1"/>
      </font>
      <numFmt numFmtId="0" formatCode="General"/>
      <alignment horizontal="center" vertical="center" wrapText="1"/>
    </dxf>
    <dxf>
      <font>
        <name val="Abadi"/>
        <scheme val="none"/>
        <family val="2"/>
        <b val="0"/>
        <i val="0"/>
        <strike val="0"/>
        <u val="none"/>
        <sz val="11"/>
        <color auto="1"/>
      </font>
      <numFmt numFmtId="2" formatCode="0.00"/>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wrapText="1"/>
    </dxf>
    <dxf>
      <font>
        <name val="Abadi"/>
        <scheme val="none"/>
        <family val="2"/>
        <strike val="0"/>
        <u val="none"/>
      </font>
      <alignment horizontal="center" vertical="center"/>
    </dxf>
    <dxf>
      <font>
        <name val="Abadi"/>
        <scheme val="none"/>
        <family val="2"/>
        <strike val="0"/>
        <u val="none"/>
      </font>
      <alignment vertical="center" wrapText="1"/>
    </dxf>
    <dxf>
      <font>
        <name val="Abadi"/>
        <scheme val="none"/>
        <family val="2"/>
        <strike val="0"/>
        <u val="none"/>
      </font>
      <alignment vertical="center" wrapText="1"/>
    </dxf>
    <dxf>
      <font>
        <name val="Abadi"/>
        <scheme val="none"/>
        <family val="2"/>
        <strike val="0"/>
        <u val="none"/>
      </font>
      <alignment vertical="center"/>
    </dxf>
    <dxf>
      <font>
        <name val="Abadi"/>
        <scheme val="none"/>
        <family val="2"/>
        <strike val="0"/>
        <u val="none"/>
      </font>
      <alignment horizontal="center" vertical="center"/>
    </dxf>
    <dxf>
      <font>
        <name val="Abadi"/>
        <scheme val="none"/>
        <family val="2"/>
        <strike val="0"/>
        <u val="none"/>
      </font>
      <alignment horizontal="center" vertical="center"/>
    </dxf>
    <dxf>
      <font>
        <name val="Abadi"/>
        <scheme val="none"/>
        <family val="2"/>
        <strike val="0"/>
        <u val="none"/>
      </font>
      <numFmt numFmtId="0" formatCode="General"/>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
      <font>
        <name val="Abadi"/>
        <scheme val="none"/>
        <family val="2"/>
        <strike val="0"/>
        <u val="none"/>
      </font>
      <alignment vertical="center"/>
    </dxf>
  </dxfs>
  <tableStyles count="0" defaultTableStyle="TableStyleMedium2" defaultPivotStyle="PivotStyleLight16"/>
  <colors>
    <mruColors>
      <color rgb="00FF2525"/>
      <color rgb="00FFB9DC"/>
      <color rgb="00FFC1E0"/>
      <color rgb="00FF99CC"/>
      <color rgb="00FF8B8B"/>
      <color rgb="00FFC9C9"/>
      <color rgb="00FF7575"/>
      <color rgb="00B2E6A2"/>
      <color rgb="00D3E4F5"/>
      <color rgb="008DD975"/>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5" Type="http://schemas.openxmlformats.org/officeDocument/2006/relationships/styles" Target="styles.xml"/><Relationship Id="rId24" Type="http://schemas.openxmlformats.org/officeDocument/2006/relationships/sheetMetadata" Target="metadata.xml"/><Relationship Id="rId23" Type="http://schemas.openxmlformats.org/officeDocument/2006/relationships/sharedStrings" Target="sharedStrings.xml"/><Relationship Id="rId22" Type="http://schemas.openxmlformats.org/officeDocument/2006/relationships/theme" Target="theme/theme1.xml"/><Relationship Id="rId21" Type="http://schemas.openxmlformats.org/officeDocument/2006/relationships/externalLink" Target="externalLinks/externalLink3.xml"/><Relationship Id="rId20" Type="http://schemas.openxmlformats.org/officeDocument/2006/relationships/externalLink" Target="externalLinks/externalLink2.xml"/><Relationship Id="rId2" Type="http://schemas.openxmlformats.org/officeDocument/2006/relationships/worksheet" Target="worksheets/sheet2.xml"/><Relationship Id="rId19" Type="http://schemas.openxmlformats.org/officeDocument/2006/relationships/externalLink" Target="externalLinks/externalLink1.xml"/><Relationship Id="rId18" Type="http://schemas.openxmlformats.org/officeDocument/2006/relationships/customXml" Target="../customXml/item3.xml"/><Relationship Id="rId17" Type="http://schemas.openxmlformats.org/officeDocument/2006/relationships/customXml" Target="../customXml/item2.xml"/><Relationship Id="rId16" Type="http://schemas.openxmlformats.org/officeDocument/2006/relationships/customXml" Target="../customXml/item1.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r>
              <a:rPr lang="en-US" b="1"/>
              <a:t>Learning</a:t>
            </a:r>
            <a:r>
              <a:rPr lang="en-US" b="1" baseline="0"/>
              <a:t> Agility</a:t>
            </a:r>
            <a:endParaRPr lang="en-US" b="1"/>
          </a:p>
        </c:rich>
      </c:tx>
      <c:layout>
        <c:manualLayout>
          <c:xMode val="edge"/>
          <c:yMode val="edge"/>
          <c:x val="0.0216066960163341"/>
          <c:y val="0.0234978143332227"/>
        </c:manualLayout>
      </c:layout>
      <c:overlay val="0"/>
      <c:spPr>
        <a:noFill/>
        <a:ln>
          <a:noFill/>
        </a:ln>
        <a:effectLst/>
      </c:spPr>
    </c:title>
    <c:autoTitleDeleted val="0"/>
    <c:plotArea>
      <c:layout>
        <c:manualLayout>
          <c:layoutTarget val="inner"/>
          <c:xMode val="edge"/>
          <c:yMode val="edge"/>
          <c:x val="0.245803409657798"/>
          <c:y val="0.107247910082191"/>
          <c:w val="0.585881323683111"/>
          <c:h val="0.866939648361684"/>
        </c:manualLayout>
      </c:layout>
      <c:radarChart>
        <c:radarStyle val="marker"/>
        <c:varyColors val="0"/>
        <c:ser>
          <c:idx val="0"/>
          <c:order val="0"/>
          <c:spPr>
            <a:ln w="28575" cap="rnd">
              <a:solidFill>
                <a:schemeClr val="accent2"/>
              </a:solidFill>
              <a:round/>
            </a:ln>
            <a:effectLst/>
          </c:spPr>
          <c:marker>
            <c:symbol val="none"/>
          </c:marker>
          <c:dLbls>
            <c:dLbl>
              <c:idx val="0"/>
              <c:layout>
                <c:manualLayout>
                  <c:x val="0.0296588993045338"/>
                  <c:y val="0.0502772589590595"/>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0296588993045339"/>
                  <c:y val="-7.68115916311687e-17"/>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0.0211608192269536"/>
                  <c:y val="-0.0422778218821256"/>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0.0183342607811505"/>
                  <c:y val="-0.0285490178447418"/>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0.0197725995363559"/>
                  <c:y val="0.00837954315984325"/>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lang="en-US" sz="900" b="1" i="0" u="none" strike="noStrike" kern="1200" baseline="0">
                    <a:ln>
                      <a:noFill/>
                    </a:ln>
                    <a:solidFill>
                      <a:schemeClr val="accent2"/>
                    </a:solidFill>
                    <a:latin typeface="+mn-lt"/>
                    <a:ea typeface="+mn-ea"/>
                    <a:cs typeface="+mn-cs"/>
                  </a:defRPr>
                </a:pPr>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'Profile Summary'!$A$109:$A$113</c:f>
              <c:strCache>
                <c:ptCount val="5"/>
                <c:pt idx="0">
                  <c:v>Mental Agility</c:v>
                </c:pt>
                <c:pt idx="1">
                  <c:v>People Agility</c:v>
                </c:pt>
                <c:pt idx="2">
                  <c:v>Change Agility</c:v>
                </c:pt>
                <c:pt idx="3">
                  <c:v>Result Agility</c:v>
                </c:pt>
                <c:pt idx="4">
                  <c:v>Self Awareness</c:v>
                </c:pt>
              </c:strCache>
            </c:strRef>
          </c:cat>
          <c:val>
            <c:numRef>
              <c:f>'Profile Summary'!$B$109:$B$113</c:f>
              <c:numCache>
                <c:formatCode>0.00</c:formatCode>
                <c:ptCount val="5"/>
                <c:pt idx="0">
                  <c:v>3</c:v>
                </c:pt>
                <c:pt idx="1">
                  <c:v>3</c:v>
                </c:pt>
                <c:pt idx="2">
                  <c:v>3</c:v>
                </c:pt>
                <c:pt idx="3">
                  <c:v>3</c:v>
                </c:pt>
                <c:pt idx="4">
                  <c:v>3</c:v>
                </c:pt>
              </c:numCache>
            </c:numRef>
          </c:val>
        </c:ser>
        <c:dLbls>
          <c:showLegendKey val="0"/>
          <c:showVal val="0"/>
          <c:showCatName val="0"/>
          <c:showSerName val="0"/>
          <c:showPercent val="0"/>
          <c:showBubbleSize val="0"/>
        </c:dLbls>
        <c:axId val="68449584"/>
        <c:axId val="68449104"/>
      </c:radarChart>
      <c:catAx>
        <c:axId val="68449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rgbClr val="00B0F0"/>
                </a:solidFill>
                <a:latin typeface="+mn-lt"/>
                <a:ea typeface="+mn-ea"/>
                <a:cs typeface="+mn-cs"/>
              </a:defRPr>
            </a:pPr>
          </a:p>
        </c:txPr>
        <c:crossAx val="68449104"/>
        <c:crosses val="autoZero"/>
        <c:auto val="1"/>
        <c:lblAlgn val="ctr"/>
        <c:lblOffset val="100"/>
        <c:noMultiLvlLbl val="0"/>
      </c:catAx>
      <c:valAx>
        <c:axId val="68449104"/>
        <c:scaling>
          <c:orientation val="minMax"/>
          <c:max val="5"/>
          <c:min val="1"/>
        </c:scaling>
        <c:delete val="0"/>
        <c:axPos val="l"/>
        <c:majorGridlines>
          <c:spPr>
            <a:ln w="9525" cap="flat" cmpd="sng" algn="ctr">
              <a:solidFill>
                <a:schemeClr val="tx1">
                  <a:lumMod val="15000"/>
                  <a:lumOff val="85000"/>
                </a:schemeClr>
              </a:solidFill>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lang="en-US" sz="900" b="1" i="0" u="none" strike="noStrike" kern="1200" baseline="0">
                <a:solidFill>
                  <a:schemeClr val="tx1">
                    <a:lumMod val="65000"/>
                    <a:lumOff val="35000"/>
                  </a:schemeClr>
                </a:solidFill>
                <a:latin typeface="+mn-lt"/>
                <a:ea typeface="+mn-ea"/>
                <a:cs typeface="+mn-cs"/>
              </a:defRPr>
            </a:pPr>
          </a:p>
        </c:txPr>
        <c:crossAx val="68449584"/>
        <c:crosses val="autoZero"/>
        <c:crossBetween val="between"/>
        <c:majorUnit val="0.5"/>
      </c:valAx>
      <c:spPr>
        <a:noFill/>
        <a:ln>
          <a:noFill/>
        </a:ln>
        <a:effectLst/>
      </c:spPr>
    </c:plotArea>
    <c:plotVisOnly val="1"/>
    <c:dispBlanksAs val="gap"/>
    <c:showDLblsOverMax val="0"/>
    <c:extLst>
      <c:ext uri="{0b15fc19-7d7d-44ad-8c2d-2c3a37ce22c3}">
        <chartProps xmlns="https://web.wps.cn/et/2018/main" chartId="{f7d3fac0-1dce-4867-84f6-6b1d5365a45d}"/>
      </c:ext>
    </c:extLst>
  </c:chart>
  <c:spPr>
    <a:solidFill>
      <a:schemeClr val="bg1"/>
    </a:solidFill>
    <a:ln w="9525" cap="flat" cmpd="sng" algn="ctr">
      <a:solidFill>
        <a:schemeClr val="tx1">
          <a:lumMod val="15000"/>
          <a:lumOff val="85000"/>
        </a:schemeClr>
      </a:solidFill>
      <a:round/>
    </a:ln>
    <a:effectLst/>
  </c:spPr>
  <c:txPr>
    <a:bodyPr/>
    <a:lstStyle/>
    <a:p>
      <a:pPr>
        <a:defRPr lang="en-US"/>
      </a:pP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zh-CN"/>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0418373000855171"/>
          <c:y val="0.0350302299142989"/>
          <c:w val="0.940902466613837"/>
          <c:h val="0.809942332612532"/>
        </c:manualLayout>
      </c:layout>
      <c:barChart>
        <c:barDir val="col"/>
        <c:grouping val="clustered"/>
        <c:varyColors val="0"/>
        <c:ser>
          <c:idx val="0"/>
          <c:order val="0"/>
          <c:tx>
            <c:strRef>
              <c:f>Dasboard!$A$13:$A$16</c:f>
              <c:strCache>
                <c:ptCount val="1"/>
                <c:pt idx="0">
                  <c:v>Personal Development Education-Based Development Relation-Based Development Experience-Based Development</c:v>
                </c:pt>
              </c:strCache>
            </c:strRef>
          </c:tx>
          <c:spPr>
            <a:solidFill>
              <a:srgbClr val="ED7D31"/>
            </a:solidFill>
            <a:ln>
              <a:noFill/>
            </a:ln>
            <a:effectLst/>
          </c:spPr>
          <c:invertIfNegative val="1"/>
          <c:dLbls>
            <c:spPr>
              <a:noFill/>
              <a:ln>
                <a:noFill/>
              </a:ln>
              <a:effectLst/>
            </c:spPr>
            <c:txPr>
              <a:bodyPr rot="0" spcFirstLastPara="1" vertOverflow="ellipsis" vert="horz" wrap="square" lIns="38100" tIns="19050" rIns="38100" bIns="19050" anchor="ctr" anchorCtr="1">
                <a:spAutoFit/>
              </a:bodyPr>
              <a:lstStyle/>
              <a:p>
                <a:pPr>
                  <a:defRPr lang="en-US" sz="1000" b="0" i="0" u="none" strike="noStrike" kern="1200" baseline="0">
                    <a:solidFill>
                      <a:schemeClr val="tx1"/>
                    </a:solidFill>
                    <a:latin typeface="+mn-lt"/>
                    <a:ea typeface="+mn-ea"/>
                    <a:cs typeface="+mn-cs"/>
                  </a:defRPr>
                </a:pPr>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6350" cap="flat" cmpd="sng" algn="ctr">
                      <a:solidFill>
                        <a:schemeClr val="tx1"/>
                      </a:solidFill>
                      <a:prstDash val="solid"/>
                      <a:round/>
                    </a:ln>
                    <a:effectLst/>
                  </c:spPr>
                </c15:leaderLines>
              </c:ext>
            </c:extLst>
          </c:dLbls>
          <c:cat>
            <c:strRef>
              <c:f>[2]Dashboard!$A$13:$A$16</c:f>
              <c:strCache>
                <c:ptCount val="4"/>
                <c:pt idx="0">
                  <c:v>Personal Development</c:v>
                </c:pt>
                <c:pt idx="1">
                  <c:v>Education-Based Development</c:v>
                </c:pt>
                <c:pt idx="2">
                  <c:v>Relation-Based Development</c:v>
                </c:pt>
                <c:pt idx="3">
                  <c:v>Experience-Based Development</c:v>
                </c:pt>
              </c:strCache>
            </c:strRef>
          </c:cat>
          <c:val>
            <c:numRef>
              <c:f>Dasboard!$C$13:$C$16</c:f>
              <c:numCache>
                <c:formatCode>0.00</c:formatCode>
                <c:ptCount val="4"/>
                <c:pt idx="0">
                  <c:v>2.775</c:v>
                </c:pt>
                <c:pt idx="1">
                  <c:v>3.45</c:v>
                </c:pt>
                <c:pt idx="2">
                  <c:v>4.06666666666667</c:v>
                </c:pt>
                <c:pt idx="3">
                  <c:v>3.75</c:v>
                </c:pt>
              </c:numCache>
            </c:numRef>
          </c:val>
          <c:extLst>
            <c:ext xmlns:c14="http://schemas.microsoft.com/office/drawing/2007/8/2/chart" uri="{6F2FDCE9-48DA-4B69-8628-5D25D57E5C99}">
              <c14:invertSolidFillFmt>
                <c14:spPr xmlns:c14="http://schemas.microsoft.com/office/drawing/2007/8/2/chart">
                  <a:solidFill>
                    <a:srgbClr val="FFFFFF"/>
                  </a:solidFill>
                </c14:spPr>
              </c14:invertSolidFillFmt>
            </c:ext>
          </c:extLst>
        </c:ser>
        <c:dLbls>
          <c:showLegendKey val="0"/>
          <c:showVal val="1"/>
          <c:showCatName val="0"/>
          <c:showSerName val="0"/>
          <c:showPercent val="0"/>
          <c:showBubbleSize val="0"/>
        </c:dLbls>
        <c:gapWidth val="150"/>
        <c:axId val="48650112"/>
        <c:axId val="48672768"/>
      </c:barChart>
      <c:catAx>
        <c:axId val="48650112"/>
        <c:scaling>
          <c:orientation val="minMax"/>
        </c:scaling>
        <c:delete val="0"/>
        <c:axPos val="b"/>
        <c:majorGridlines>
          <c:spPr>
            <a:ln w="9525" cap="flat" cmpd="sng" algn="ctr">
              <a:solidFill>
                <a:srgbClr val="CCCCCC"/>
              </a:solidFill>
              <a:prstDash val="dash"/>
              <a:round/>
            </a:ln>
            <a:effectLst/>
          </c:spPr>
        </c:majorGridlines>
        <c:numFmt formatCode="General"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72768"/>
        <c:crosses val="autoZero"/>
        <c:auto val="1"/>
        <c:lblAlgn val="ctr"/>
        <c:lblOffset val="100"/>
        <c:noMultiLvlLbl val="0"/>
      </c:catAx>
      <c:valAx>
        <c:axId val="48672768"/>
        <c:scaling>
          <c:orientation val="minMax"/>
          <c:max val="5"/>
          <c:min val="1"/>
        </c:scaling>
        <c:delete val="0"/>
        <c:axPos val="l"/>
        <c:majorGridlines>
          <c:spPr>
            <a:ln w="9525" cap="flat" cmpd="sng" algn="ctr">
              <a:solidFill>
                <a:srgbClr val="CCCCCC"/>
              </a:solidFill>
              <a:prstDash val="dash"/>
              <a:round/>
            </a:ln>
            <a:effectLst/>
          </c:spPr>
        </c:majorGridlines>
        <c:numFmt formatCode="0.00" sourceLinked="1"/>
        <c:majorTickMark val="none"/>
        <c:minorTickMark val="none"/>
        <c:tickLblPos val="nextTo"/>
        <c:spPr>
          <a:noFill/>
          <a:ln w="12700" cap="flat" cmpd="sng" algn="ctr">
            <a:solidFill>
              <a:schemeClr val="tx1"/>
            </a:solidFill>
            <a:prstDash val="solid"/>
            <a:round/>
          </a:ln>
          <a:effectLst/>
        </c:spPr>
        <c:txPr>
          <a:bodyPr rot="-60000000" spcFirstLastPara="1" vertOverflow="ellipsis" vert="horz" wrap="square" anchor="ctr" anchorCtr="1"/>
          <a:lstStyle/>
          <a:p>
            <a:pPr>
              <a:defRPr lang="en-US" sz="1000" b="0" i="0" u="none" strike="noStrike" kern="1200" baseline="0">
                <a:solidFill>
                  <a:schemeClr val="tx1"/>
                </a:solidFill>
                <a:latin typeface="+mn-lt"/>
                <a:ea typeface="+mn-ea"/>
                <a:cs typeface="+mn-cs"/>
              </a:defRPr>
            </a:pPr>
          </a:p>
        </c:txPr>
        <c:crossAx val="48650112"/>
        <c:crosses val="autoZero"/>
        <c:crossBetween val="between"/>
      </c:valAx>
      <c:spPr>
        <a:solidFill>
          <a:schemeClr val="bg1"/>
        </a:solidFill>
        <a:ln>
          <a:noFill/>
        </a:ln>
        <a:effectLst/>
      </c:spPr>
    </c:plotArea>
    <c:plotVisOnly val="1"/>
    <c:dispBlanksAs val="zero"/>
    <c:showDLblsOverMax val="1"/>
    <c:extLst>
      <c:ext uri="{0b15fc19-7d7d-44ad-8c2d-2c3a37ce22c3}">
        <chartProps xmlns="https://web.wps.cn/et/2018/main" chartId="{715e61ce-4d09-4c8f-83d1-36f7dbd47a85}"/>
      </c:ext>
    </c:extLst>
  </c:chart>
  <c:spPr>
    <a:solidFill>
      <a:schemeClr val="bg1"/>
    </a:solidFill>
    <a:ln w="9525" cap="flat" cmpd="sng" algn="ctr">
      <a:solidFill>
        <a:srgbClr val="D9D9D9"/>
      </a:solidFill>
      <a:prstDash val="solid"/>
      <a:round/>
    </a:ln>
    <a:effectLst/>
  </c:spPr>
  <c:txPr>
    <a:bodyPr/>
    <a:lstStyle/>
    <a:p>
      <a:pPr>
        <a:defRPr lang="en-US"/>
      </a:pP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
  <cs:axisTitle>
    <cs:lnRef idx="0"/>
    <cs:fillRef idx="0"/>
    <cs:effectRef idx="0"/>
    <cs:fontRef idx="minor">
      <a:schemeClr val="tx1"/>
    </cs:fontRef>
    <cs:defRPr sz="1000" b="1" kern="1200"/>
  </cs:axisTitle>
  <cs:categoryAxis>
    <cs:lnRef idx="1">
      <a:schemeClr val="tx1"/>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0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119741</xdr:colOff>
      <xdr:row>114</xdr:row>
      <xdr:rowOff>103414</xdr:rowOff>
    </xdr:from>
    <xdr:to>
      <xdr:col>4</xdr:col>
      <xdr:colOff>326571</xdr:colOff>
      <xdr:row>146</xdr:row>
      <xdr:rowOff>141514</xdr:rowOff>
    </xdr:to>
    <xdr:graphicFrame>
      <xdr:nvGraphicFramePr>
        <xdr:cNvPr id="3" name="Bagan 2"/>
        <xdr:cNvGraphicFramePr/>
      </xdr:nvGraphicFramePr>
      <xdr:xfrm>
        <a:off x="119380" y="52220495"/>
        <a:ext cx="9160510" cy="572770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xdr:from>
      <xdr:col>0</xdr:col>
      <xdr:colOff>74921</xdr:colOff>
      <xdr:row>19</xdr:row>
      <xdr:rowOff>23692</xdr:rowOff>
    </xdr:from>
    <xdr:to>
      <xdr:col>5</xdr:col>
      <xdr:colOff>4710</xdr:colOff>
      <xdr:row>31</xdr:row>
      <xdr:rowOff>124691</xdr:rowOff>
    </xdr:to>
    <xdr:graphicFrame>
      <xdr:nvGraphicFramePr>
        <xdr:cNvPr id="2" name="Chart"/>
        <xdr:cNvGraphicFramePr/>
      </xdr:nvGraphicFramePr>
      <xdr:xfrm>
        <a:off x="74295" y="6000750"/>
        <a:ext cx="11502390" cy="2412365"/>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https://mapfiberstar.sharepoint.com/personal/enny_haryanto_fiberstar_co_id/Documents/Data%20Baru%20-%20Enny/Enny.Haryanto/FiberStar/Human%20Capital/2025/HCBP/Talent%20management/silabus%202026/penilaian%20hasil%20pengembangan%20talenta/communication%20&amp;%20deal%20with%20others_penilaian/El-O-Com.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learning%20agility/juli%202026/Master_semifinal.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ttps://mapfiberstar.sharepoint.com/sites/HCBP/Shared%20Documents/HCBP%202025/Talent%20Management/Silabus%20Kompetensi/katalog%20silabus%20pengembangan%20talenta/MC/A-UH_MC.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Data Validasi"/>
      <sheetName val="Panduan"/>
    </sheetNames>
    <sheetDataSet>
      <sheetData sheetId="0"/>
      <sheetData sheetId="1"/>
      <sheetData sheetId="2"/>
      <sheetData sheetId="3"/>
      <sheetData sheetId="4">
        <row r="3">
          <cell r="A3" t="str">
            <v>Nama </v>
          </cell>
        </row>
        <row r="7">
          <cell r="A7" t="str">
            <v>Tanggal Penilaian 1</v>
          </cell>
        </row>
        <row r="8">
          <cell r="A8" t="str">
            <v>Tanggal Penilaian 2</v>
          </cell>
        </row>
      </sheetData>
      <sheetData sheetId="5"/>
      <sheetData sheetId="6"/>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Presentasi"/>
      <sheetName val="Master_semifinal"/>
    </sheetNames>
    <sheetDataSet>
      <sheetData sheetId="0">
        <row r="13">
          <cell r="A13" t="str">
            <v>Personal Development</v>
          </cell>
        </row>
        <row r="14">
          <cell r="A14" t="str">
            <v>Education-Based Development</v>
          </cell>
        </row>
        <row r="15">
          <cell r="A15" t="str">
            <v>Relation-Based Development</v>
          </cell>
        </row>
        <row r="16">
          <cell r="A16" t="str">
            <v>Experience-Based Development</v>
          </cell>
        </row>
      </sheetData>
      <sheetData sheetId="1"/>
      <sheetData sheetId="2"/>
      <sheetData sheetId="3"/>
      <sheetData sheetId="4"/>
      <sheetData sheetId="5"/>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Dashboard"/>
      <sheetName val="Aktivitas pengembangan"/>
      <sheetName val="Bukti Aktivitas Pengembangan"/>
      <sheetName val="Penilaian Perilaku"/>
      <sheetName val="Form Penilaian Akhir"/>
      <sheetName val="A-UH_MC"/>
    </sheetNames>
    <sheetDataSet>
      <sheetData sheetId="0">
        <row r="3">
          <cell r="B3" t="str">
            <v>bbbbb</v>
          </cell>
        </row>
        <row r="4">
          <cell r="B4" t="str">
            <v>Analyst</v>
          </cell>
        </row>
        <row r="5">
          <cell r="B5" t="str">
            <v>Unit Head/Specialist</v>
          </cell>
        </row>
        <row r="6">
          <cell r="B6" t="str">
            <v>Juli 2026 - Juli 2027</v>
          </cell>
        </row>
        <row r="7">
          <cell r="B7" t="str">
            <v>Desember 2026</v>
          </cell>
        </row>
        <row r="8">
          <cell r="B8" t="str">
            <v>Juli 2027</v>
          </cell>
        </row>
      </sheetData>
      <sheetData sheetId="1" refreshError="1"/>
      <sheetData sheetId="2"/>
      <sheetData sheetId="3" refreshError="1"/>
      <sheetData sheetId="4" refreshError="1"/>
      <sheetData sheetId="5" refreshError="1"/>
    </sheetDataSet>
  </externalBook>
</externalLink>
</file>

<file path=xl/tables/table1.xml><?xml version="1.0" encoding="utf-8"?>
<table xmlns="http://schemas.openxmlformats.org/spreadsheetml/2006/main" id="5" name="RingkasanKomponenTable" displayName="RingkasanKomponenTable" ref="A12:F17" totalsRowCount="1">
  <tableColumns count="6">
    <tableColumn id="1" name="Aktivitas Pengembangan" dataDxfId="12"/>
    <tableColumn id="2" name="Bobot" dataDxfId="13" totalsRowLabel="Nilai akhir Aktivitas Pengembangan"/>
    <tableColumn id="3" name="Skor Rata - rata&#10;Bukti Aktivitas Pengembangan" dataDxfId="14">
      <calculatedColumnFormula>AVERAGE('[2]Bukti Aktivitas Pengembangan'!P9:P15)</calculatedColumnFormula>
    </tableColumn>
    <tableColumn id="7" name="Nilai Tertimbang Aktivitas" dataDxfId="15" totalsRowFunction="sum">
      <calculatedColumnFormula>RingkasanKomponenTable[[#This Row],[Skor Rata - rata
Bukti Aktivitas Pengembangan]]*RingkasanKomponenTable[[#This Row],[Bobot]]</calculatedColumnFormula>
    </tableColumn>
    <tableColumn id="5" name="Kompetensi" dataDxfId="16">
      <calculatedColumnFormula>_xlfn.CONCAT('[2]Aktivitas pengembangan'!A9,"-",'[2]Aktivitas pengembangan'!A10,"-",'[2]Aktivitas pengembangan'!A11)</calculatedColumnFormula>
    </tableColumn>
    <tableColumn id="8" name="Catatan" dataDxfId="17">
      <calculatedColumnFormula>_xlfn.CONCAT('[2]Aktivitas pengembangan'!D9,"-",'[2]Aktivitas pengembangan'!D10,"-",'[2]Aktivitas pengembangan'!D11)</calculatedColumnFormula>
    </tableColumn>
  </tableColumns>
  <tableStyleInfo name="TableStyleMedium2" showFirstColumn="0" showLastColumn="0" showRowStripes="1" showColumnStripes="0"/>
</table>
</file>

<file path=xl/tables/table2.xml><?xml version="1.0" encoding="utf-8"?>
<table xmlns="http://schemas.openxmlformats.org/spreadsheetml/2006/main" id="6" name="Tabel92" displayName="Tabel92" ref="A35:E42" totalsRowShown="0">
  <autoFilter xmlns:etc="http://www.wps.cn/officeDocument/2017/etCustomData" ref="A35:E42" etc:filterBottomFollowUsedRange="0"/>
  <tableColumns count="5">
    <tableColumn id="1" name="Kriteria"/>
    <tableColumn id="2" name="Standar" dataDxfId="18"/>
    <tableColumn id="3" name="Hasil" dataDxfId="19"/>
    <tableColumn id="4" name="Status" dataDxfId="20"/>
    <tableColumn id="5" name="Catatan" dataDxfId="21"/>
  </tableColumns>
  <tableStyleInfo name="TableStyleLight2" showFirstColumn="0" showLastColumn="0" showRowStripes="1" showColumnStripes="0"/>
</table>
</file>

<file path=xl/tables/table3.xml><?xml version="1.0" encoding="utf-8"?>
<table xmlns="http://schemas.openxmlformats.org/spreadsheetml/2006/main" id="4" name="AktivitasTable" displayName="AktivitasTable" ref="B8:K21" totalsRowCount="1">
  <tableColumns count="10">
    <tableColumn id="1" name="Metode Pengembangan" dataDxfId="22"/>
    <tableColumn id="3" name="No" dataDxfId="23"/>
    <tableColumn id="4" name="Aktivitas" dataDxfId="24"/>
    <tableColumn id="5" name="Tujuan" dataDxfId="25"/>
    <tableColumn id="6" name="Deskripsi Aktivitas" dataDxfId="26"/>
    <tableColumn id="7" name="Output/Bukti" dataDxfId="27"/>
    <tableColumn id="8" name="Timeline" dataDxfId="28"/>
    <tableColumn id="9" name="Frekuensi" dataDxfId="29"/>
    <tableColumn id="10" name="KPI/Standar Keberhasilan" dataDxfId="30"/>
    <tableColumn id="14" name="Catatan Evaluator" dataDxfId="31">
      <calculatedColumnFormula>_xlfn.CONCAT([2]!AktivitasTable8[[#This Row],[Catatan Evaluator]],",",'[2]Bukti Aktivitas Pengembangan'!R10)</calculatedColumnFormula>
    </tableColumn>
  </tableColumns>
  <tableStyleInfo name="TableStyleMedium2" showFirstColumn="0" showLastColumn="0" showRowStripes="1" showColumnStripes="0"/>
</table>
</file>

<file path=xl/tables/table4.xml><?xml version="1.0" encoding="utf-8"?>
<table xmlns="http://schemas.openxmlformats.org/spreadsheetml/2006/main" id="3" name="AktivitasTable8" displayName="AktivitasTable8" ref="B8:R33" totalsRowCount="1">
  <tableColumns count="17">
    <tableColumn id="1" name="Metode Pengembangan" dataDxfId="32"/>
    <tableColumn id="3" name="No" dataDxfId="33"/>
    <tableColumn id="4" name="Aktivitas" dataDxfId="34"/>
    <tableColumn id="5" name="Tujuan" dataDxfId="35"/>
    <tableColumn id="6" name="Deskripsi Aktivitas" dataDxfId="36"/>
    <tableColumn id="7" name="Output" dataDxfId="37"/>
    <tableColumn id="8" name="Timeline" dataDxfId="38"/>
    <tableColumn id="9" name="Frekuensi" dataDxfId="39"/>
    <tableColumn id="10" name="KPI/Standar Keberhasilan" dataDxfId="40"/>
    <tableColumn id="15" name="Bukti" dataDxfId="41"/>
    <tableColumn id="12" name="Evaluator" dataDxfId="42"/>
    <tableColumn id="16" name="target" dataDxfId="43"/>
    <tableColumn id="17" name="aktual" dataDxfId="44"/>
    <tableColumn id="18" name="%" dataDxfId="45" totalsRowFunction="average">
      <calculatedColumnFormula>AktivitasTable8[[#This Row],[aktual]]/AktivitasTable8[[#This Row],[target]]</calculatedColumnFormula>
    </tableColumn>
    <tableColumn id="19" name="Skor" dataDxfId="46" totalsRowFunction="average">
      <calculatedColumnFormula>IF(AktivitasTable8[[#This Row],[%]]*5&gt;5,5,MAX(AktivitasTable8[[#This Row],[%]]*5,1))</calculatedColumnFormula>
    </tableColumn>
    <tableColumn id="13" name="Status" dataDxfId="47"/>
    <tableColumn id="14" name="Catatan Evaluator" dataDxfId="48"/>
  </tableColumns>
  <tableStyleInfo name="TableStyleMedium2" showFirstColumn="0" showLastColumn="0" showRowStripes="1" showColumnStripes="0"/>
</table>
</file>

<file path=xl/tables/table5.xml><?xml version="1.0" encoding="utf-8"?>
<table xmlns="http://schemas.openxmlformats.org/spreadsheetml/2006/main" id="1" name="FormPenilaianTable3" displayName="FormPenilaianTable3" ref="A11:L17" totalsRowShown="0">
  <tableColumns count="12">
    <tableColumn id="1" name="No" dataDxfId="49"/>
    <tableColumn id="2" name="Aspek Penilaian" dataDxfId="50"/>
    <tableColumn id="3" name="Fokus Penilaian" dataDxfId="51"/>
    <tableColumn id="7" name="Level 1&#10;Belum Tampak" dataDxfId="52"/>
    <tableColumn id="8" name="Level 2&#10;Mulai Berkembang" dataDxfId="53"/>
    <tableColumn id="9" name="Level 3&#10;Sesuai Harapan" dataDxfId="54"/>
    <tableColumn id="10" name="Level 4&#10;Baik" dataDxfId="55"/>
    <tableColumn id="4" name="Level 5&#10;Sangat Baik" dataDxfId="56"/>
    <tableColumn id="5" name="Skor Panel" dataDxfId="57"/>
    <tableColumn id="6" name="Bobot Perilaku" dataDxfId="58"/>
    <tableColumn id="11" name="Nilai Tertimbang" dataDxfId="59"/>
    <tableColumn id="12" name="Catatan Evaluator" dataDxfId="6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4.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5" tint="0.599993896298105"/>
  </sheetPr>
  <dimension ref="B2:D12"/>
  <sheetViews>
    <sheetView workbookViewId="0">
      <selection activeCell="N13" sqref="A12:P23"/>
    </sheetView>
  </sheetViews>
  <sheetFormatPr defaultColWidth="8.83636363636364" defaultRowHeight="14" outlineLevelCol="3"/>
  <cols>
    <col min="1" max="1" width="8.83636363636364" style="83"/>
    <col min="2" max="2" width="23.8363636363636" style="83" customWidth="1"/>
    <col min="3" max="3" width="2.41818181818182" style="84" customWidth="1"/>
    <col min="4" max="4" width="39" style="83" customWidth="1"/>
    <col min="5" max="16384" width="8.83636363636364" style="83"/>
  </cols>
  <sheetData>
    <row r="2" spans="2:4">
      <c r="B2" s="83" t="s">
        <v>0</v>
      </c>
      <c r="C2" s="84" t="s">
        <v>1</v>
      </c>
      <c r="D2" s="83" t="s">
        <v>2</v>
      </c>
    </row>
    <row r="3" spans="2:4">
      <c r="B3" s="83" t="s">
        <v>3</v>
      </c>
      <c r="C3" s="84" t="s">
        <v>1</v>
      </c>
      <c r="D3" s="83" t="s">
        <v>4</v>
      </c>
    </row>
    <row r="4" spans="2:4">
      <c r="B4" s="83" t="s">
        <v>5</v>
      </c>
      <c r="C4" s="84" t="s">
        <v>1</v>
      </c>
      <c r="D4" s="83" t="s">
        <v>6</v>
      </c>
    </row>
    <row r="5" spans="2:4">
      <c r="B5" s="83" t="s">
        <v>7</v>
      </c>
      <c r="C5" s="84" t="s">
        <v>1</v>
      </c>
      <c r="D5" s="83" t="s">
        <v>8</v>
      </c>
    </row>
    <row r="6" spans="2:4">
      <c r="B6" s="83" t="s">
        <v>9</v>
      </c>
      <c r="C6" s="84" t="s">
        <v>1</v>
      </c>
      <c r="D6" s="83">
        <v>46045.7212152778</v>
      </c>
    </row>
    <row r="7" spans="2:4">
      <c r="B7" s="83" t="s">
        <v>10</v>
      </c>
      <c r="C7" s="84" t="s">
        <v>1</v>
      </c>
      <c r="D7" s="83" t="s">
        <v>11</v>
      </c>
    </row>
    <row r="8" spans="2:4">
      <c r="B8" s="83" t="s">
        <v>12</v>
      </c>
      <c r="C8" s="84" t="s">
        <v>1</v>
      </c>
      <c r="D8" s="83" t="s">
        <v>13</v>
      </c>
    </row>
    <row r="9" spans="2:4">
      <c r="B9" s="83" t="s">
        <v>14</v>
      </c>
      <c r="C9" s="84" t="s">
        <v>1</v>
      </c>
    </row>
    <row r="10" spans="2:4">
      <c r="B10" s="83" t="s">
        <v>15</v>
      </c>
      <c r="C10" s="84" t="s">
        <v>1</v>
      </c>
      <c r="D10" s="83" t="s">
        <v>16</v>
      </c>
    </row>
    <row r="12" spans="2:4">
      <c r="B12" s="83" t="s">
        <v>17</v>
      </c>
      <c r="C12" s="84" t="s">
        <v>1</v>
      </c>
      <c r="D12" s="83" t="s">
        <v>18</v>
      </c>
    </row>
  </sheetData>
  <dataValidations count="1">
    <dataValidation type="list" allowBlank="1" showInputMessage="1" showErrorMessage="1" sqref="D12 D4:D5">
      <formula1>panduan!$B$87:$B$91</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C1" workbookViewId="0">
      <selection activeCell="F7" sqref="F7"/>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11" style="84" customWidth="1"/>
    <col min="12" max="12" width="30.7545454545455" style="83" hidden="1" customWidth="1"/>
    <col min="13" max="13" width="17.2545454545455" style="80" customWidth="1"/>
    <col min="14" max="14" width="21.8363636363636" style="80" customWidth="1"/>
    <col min="15" max="15" width="46" style="180" customWidth="1"/>
    <col min="16" max="16" width="36.5818181818182" style="83" customWidth="1"/>
    <col min="17" max="16384" width="8.83636363636364" style="83"/>
  </cols>
  <sheetData>
    <row r="2" spans="1:16">
      <c r="B2" s="83" t="str">
        <f>Identitas!B2</f>
        <v>Nama </v>
      </c>
      <c r="C2" s="182" t="str">
        <f>Identitas!D2</f>
        <v>Febrian Dwi Christian</v>
      </c>
      <c r="I2" s="83"/>
      <c r="K2" s="83"/>
      <c r="M2" s="83"/>
      <c r="N2" s="83"/>
      <c r="O2" s="83"/>
    </row>
    <row r="3" spans="1:16">
      <c r="B3" s="83" t="str">
        <f>Identitas!B3</f>
        <v>Nama Atasan yang menilai</v>
      </c>
      <c r="C3" s="182" t="str">
        <f>Identitas!D3</f>
        <v>Julia Edwita</v>
      </c>
      <c r="I3" s="83"/>
      <c r="K3" s="83"/>
      <c r="M3" s="83"/>
      <c r="N3" s="83"/>
      <c r="O3" s="83"/>
    </row>
    <row r="4" spans="1:16">
      <c r="B4" s="83" t="str">
        <f>Identitas!B4</f>
        <v>Level Saat Ini</v>
      </c>
      <c r="C4" s="182" t="str">
        <f>Identitas!D4</f>
        <v>Officer</v>
      </c>
      <c r="I4" s="83"/>
      <c r="K4" s="83"/>
      <c r="M4" s="83"/>
      <c r="N4" s="83"/>
      <c r="O4" s="83"/>
    </row>
    <row r="5" spans="1:16">
      <c r="B5" s="83" t="str">
        <f>Identitas!B5</f>
        <v>Level Tujuan</v>
      </c>
      <c r="C5" s="182" t="str">
        <f>Identitas!D5</f>
        <v>Analyst</v>
      </c>
      <c r="I5" s="83"/>
      <c r="K5" s="83"/>
      <c r="M5" s="83"/>
      <c r="N5" s="83"/>
      <c r="O5" s="83"/>
    </row>
    <row r="6" spans="1:16">
      <c r="B6" s="83" t="str">
        <f>Identitas!B6</f>
        <v>Tanggal Assesment</v>
      </c>
      <c r="C6" s="182">
        <f>Identitas!D6</f>
        <v>46045.7212152778</v>
      </c>
      <c r="I6" s="83"/>
      <c r="K6" s="83"/>
      <c r="M6" s="83"/>
      <c r="N6" s="83"/>
      <c r="O6" s="83"/>
    </row>
    <row r="7" spans="1:16">
      <c r="B7" s="83" t="str">
        <f>Identitas!B7</f>
        <v>Unit</v>
      </c>
      <c r="C7" s="182" t="str">
        <f>Identitas!D7</f>
        <v>Human Capital Operation &amp; Service</v>
      </c>
      <c r="I7" s="83"/>
      <c r="K7" s="83"/>
      <c r="M7" s="83"/>
      <c r="N7" s="83"/>
      <c r="O7" s="83"/>
    </row>
    <row r="8" spans="1:16">
      <c r="B8" s="83" t="str">
        <f>Identitas!B8</f>
        <v>Departemen</v>
      </c>
      <c r="C8" s="182" t="str">
        <f>Identitas!D8</f>
        <v>Human Capital Shared Service</v>
      </c>
      <c r="I8" s="83"/>
      <c r="K8" s="83"/>
      <c r="M8" s="83"/>
      <c r="N8" s="83"/>
      <c r="O8" s="83"/>
    </row>
    <row r="9" spans="1:16">
      <c r="B9" s="83" t="str">
        <f>Identitas!B9</f>
        <v>Divisi</v>
      </c>
      <c r="C9" s="182">
        <f>Identitas!D9</f>
        <v>0</v>
      </c>
      <c r="I9" s="83"/>
      <c r="K9" s="83"/>
      <c r="M9" s="83"/>
      <c r="N9" s="83"/>
      <c r="O9" s="83"/>
    </row>
    <row r="10" spans="1:16">
      <c r="B10" s="83" t="str">
        <f>Identitas!B10</f>
        <v>Direktorat</v>
      </c>
      <c r="C10" s="182" t="str">
        <f>Identitas!D10</f>
        <v>Resources &amp; Innovation</v>
      </c>
      <c r="I10" s="83"/>
      <c r="K10" s="83"/>
      <c r="M10" s="83"/>
      <c r="N10" s="83"/>
      <c r="O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9" customHeight="1" spans="1:16">
      <c r="A13" s="280">
        <v>1</v>
      </c>
      <c r="B13" s="278" t="s">
        <v>34</v>
      </c>
      <c r="C13" s="278" t="s">
        <v>35</v>
      </c>
      <c r="D13" s="279" t="s">
        <v>36</v>
      </c>
      <c r="E13" s="279" t="s">
        <v>37</v>
      </c>
      <c r="F13" s="279" t="s">
        <v>38</v>
      </c>
      <c r="G13" s="279" t="s">
        <v>39</v>
      </c>
      <c r="H13" s="279" t="s">
        <v>40</v>
      </c>
      <c r="I13" s="280">
        <v>5</v>
      </c>
      <c r="J13" s="281" t="s">
        <v>40</v>
      </c>
      <c r="K13" s="280">
        <v>1</v>
      </c>
      <c r="L13" s="281" t="s">
        <v>36</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6.9" customHeight="1" spans="1:16">
      <c r="A14" s="280">
        <f>A13+1</f>
        <v>2</v>
      </c>
      <c r="B14" s="278" t="s">
        <v>41</v>
      </c>
      <c r="C14" s="278" t="s">
        <v>42</v>
      </c>
      <c r="D14" s="279" t="s">
        <v>43</v>
      </c>
      <c r="E14" s="279" t="s">
        <v>44</v>
      </c>
      <c r="F14" s="279" t="s">
        <v>45</v>
      </c>
      <c r="G14" s="279" t="s">
        <v>46</v>
      </c>
      <c r="H14" s="279" t="s">
        <v>47</v>
      </c>
      <c r="I14" s="280">
        <v>1</v>
      </c>
      <c r="J14" s="281" t="s">
        <v>43</v>
      </c>
      <c r="K14" s="280">
        <v>2</v>
      </c>
      <c r="L14" s="281" t="s">
        <v>44</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60.65" customHeight="1" spans="1:16">
      <c r="A15" s="280">
        <f t="shared" ref="A15:A22" si="1">A14+1</f>
        <v>3</v>
      </c>
      <c r="B15" s="278" t="s">
        <v>48</v>
      </c>
      <c r="C15" s="278" t="s">
        <v>49</v>
      </c>
      <c r="D15" s="279" t="s">
        <v>50</v>
      </c>
      <c r="E15" s="279" t="s">
        <v>51</v>
      </c>
      <c r="F15" s="279" t="s">
        <v>52</v>
      </c>
      <c r="G15" s="279" t="s">
        <v>53</v>
      </c>
      <c r="H15" s="279" t="s">
        <v>54</v>
      </c>
      <c r="I15" s="280">
        <v>2</v>
      </c>
      <c r="J15" s="281" t="s">
        <v>51</v>
      </c>
      <c r="K15" s="280">
        <v>3</v>
      </c>
      <c r="L15" s="281" t="s">
        <v>52</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46.15" customHeight="1" spans="1:16">
      <c r="A16" s="280">
        <f t="shared" si="1"/>
        <v>4</v>
      </c>
      <c r="B16" s="278" t="s">
        <v>55</v>
      </c>
      <c r="C16" s="278" t="s">
        <v>56</v>
      </c>
      <c r="D16" s="279" t="s">
        <v>57</v>
      </c>
      <c r="E16" s="279" t="s">
        <v>58</v>
      </c>
      <c r="F16" s="279" t="s">
        <v>59</v>
      </c>
      <c r="G16" s="279" t="s">
        <v>60</v>
      </c>
      <c r="H16" s="279" t="s">
        <v>61</v>
      </c>
      <c r="I16" s="280">
        <v>3</v>
      </c>
      <c r="J16" s="281" t="s">
        <v>59</v>
      </c>
      <c r="K16" s="280">
        <v>4</v>
      </c>
      <c r="L16" s="281" t="s">
        <v>60</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8.9" customHeight="1" spans="1:16">
      <c r="A17" s="280">
        <f t="shared" si="1"/>
        <v>5</v>
      </c>
      <c r="B17" s="278" t="s">
        <v>62</v>
      </c>
      <c r="C17" s="278" t="s">
        <v>63</v>
      </c>
      <c r="D17" s="279" t="s">
        <v>64</v>
      </c>
      <c r="E17" s="279" t="s">
        <v>65</v>
      </c>
      <c r="F17" s="279" t="s">
        <v>66</v>
      </c>
      <c r="G17" s="279" t="s">
        <v>67</v>
      </c>
      <c r="H17" s="279" t="s">
        <v>68</v>
      </c>
      <c r="I17" s="280">
        <v>4</v>
      </c>
      <c r="J17" s="281" t="s">
        <v>67</v>
      </c>
      <c r="K17" s="280">
        <v>5</v>
      </c>
      <c r="L17" s="281" t="s">
        <v>68</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102.65" customHeight="1" spans="1:16">
      <c r="A18" s="280">
        <f t="shared" si="1"/>
        <v>6</v>
      </c>
      <c r="B18" s="278" t="s">
        <v>69</v>
      </c>
      <c r="C18" s="278" t="s">
        <v>70</v>
      </c>
      <c r="D18" s="279" t="s">
        <v>71</v>
      </c>
      <c r="E18" s="279" t="s">
        <v>72</v>
      </c>
      <c r="F18" s="279" t="s">
        <v>73</v>
      </c>
      <c r="G18" s="279" t="s">
        <v>74</v>
      </c>
      <c r="H18" s="279" t="s">
        <v>75</v>
      </c>
      <c r="I18" s="280">
        <v>5</v>
      </c>
      <c r="J18" s="281" t="s">
        <v>75</v>
      </c>
      <c r="K18" s="280">
        <v>1</v>
      </c>
      <c r="L18" s="281" t="s">
        <v>71</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64.15" customHeight="1" spans="1:16">
      <c r="A19" s="280">
        <f t="shared" si="1"/>
        <v>7</v>
      </c>
      <c r="B19" s="278" t="s">
        <v>76</v>
      </c>
      <c r="C19" s="278" t="s">
        <v>77</v>
      </c>
      <c r="D19" s="279" t="s">
        <v>78</v>
      </c>
      <c r="E19" s="279" t="s">
        <v>79</v>
      </c>
      <c r="F19" s="279" t="s">
        <v>80</v>
      </c>
      <c r="G19" s="279" t="s">
        <v>81</v>
      </c>
      <c r="H19" s="279" t="s">
        <v>82</v>
      </c>
      <c r="I19" s="280">
        <v>1</v>
      </c>
      <c r="J19" s="281" t="s">
        <v>78</v>
      </c>
      <c r="K19" s="280">
        <v>2</v>
      </c>
      <c r="L19" s="281" t="s">
        <v>79</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50.5" customHeight="1" spans="1:16">
      <c r="A20" s="280">
        <f t="shared" si="1"/>
        <v>8</v>
      </c>
      <c r="B20" s="278" t="s">
        <v>83</v>
      </c>
      <c r="C20" s="278" t="s">
        <v>84</v>
      </c>
      <c r="D20" s="279" t="s">
        <v>85</v>
      </c>
      <c r="E20" s="279" t="s">
        <v>86</v>
      </c>
      <c r="F20" s="279" t="s">
        <v>87</v>
      </c>
      <c r="G20" s="279" t="s">
        <v>88</v>
      </c>
      <c r="H20" s="279" t="s">
        <v>89</v>
      </c>
      <c r="I20" s="280">
        <v>2</v>
      </c>
      <c r="J20" s="281" t="s">
        <v>86</v>
      </c>
      <c r="K20" s="280">
        <v>3</v>
      </c>
      <c r="L20" s="281" t="s">
        <v>87</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51" customHeight="1" spans="1:16">
      <c r="A21" s="280">
        <f t="shared" si="1"/>
        <v>9</v>
      </c>
      <c r="B21" s="278" t="s">
        <v>90</v>
      </c>
      <c r="C21" s="278" t="s">
        <v>91</v>
      </c>
      <c r="D21" s="279" t="s">
        <v>92</v>
      </c>
      <c r="E21" s="279" t="s">
        <v>93</v>
      </c>
      <c r="F21" s="279" t="s">
        <v>94</v>
      </c>
      <c r="G21" s="279" t="s">
        <v>95</v>
      </c>
      <c r="H21" s="279" t="s">
        <v>96</v>
      </c>
      <c r="I21" s="280">
        <v>3</v>
      </c>
      <c r="J21" s="281" t="s">
        <v>94</v>
      </c>
      <c r="K21" s="280">
        <v>4</v>
      </c>
      <c r="L21" s="281" t="s">
        <v>95</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75" customHeight="1" spans="1:16">
      <c r="A22" s="280">
        <f t="shared" si="1"/>
        <v>10</v>
      </c>
      <c r="B22" s="278" t="s">
        <v>97</v>
      </c>
      <c r="C22" s="278" t="s">
        <v>98</v>
      </c>
      <c r="D22" s="279" t="s">
        <v>99</v>
      </c>
      <c r="E22" s="279" t="s">
        <v>100</v>
      </c>
      <c r="F22" s="279" t="s">
        <v>101</v>
      </c>
      <c r="G22" s="279" t="s">
        <v>102</v>
      </c>
      <c r="H22" s="279" t="s">
        <v>103</v>
      </c>
      <c r="I22" s="280">
        <v>4</v>
      </c>
      <c r="J22" s="281" t="s">
        <v>102</v>
      </c>
      <c r="K22" s="280">
        <v>5</v>
      </c>
      <c r="L22" s="281" t="s">
        <v>103</v>
      </c>
      <c r="M22" s="194">
        <f t="shared" ref="M22:M23" si="2">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35.5" customHeight="1" spans="1:16">
      <c r="A23" s="284" t="s">
        <v>104</v>
      </c>
      <c r="B23" s="285"/>
      <c r="C23" s="285"/>
      <c r="D23" s="285"/>
      <c r="E23" s="285"/>
      <c r="F23" s="285"/>
      <c r="G23" s="285"/>
      <c r="H23" s="285"/>
      <c r="I23" s="286">
        <f>AVERAGE(I13:J22)</f>
        <v>3</v>
      </c>
      <c r="J23" s="286">
        <f>AVERAGE(J13:K22)</f>
        <v>3</v>
      </c>
      <c r="K23" s="286">
        <f>AVERAGE(K13:L22)</f>
        <v>3</v>
      </c>
      <c r="L23" s="291"/>
      <c r="M23" s="288">
        <f t="shared" si="2"/>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pageSetup paperSize="1"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2:P23"/>
  <sheetViews>
    <sheetView zoomScale="70" zoomScaleNormal="70" topLeftCell="G1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1.2545454545455" style="274" customWidth="1"/>
    <col min="10" max="10" width="30.7545454545455" style="274" hidden="1" customWidth="1"/>
    <col min="11" max="11" width="8.83636363636364" style="274"/>
    <col min="12" max="12" width="30.7545454545455" style="274"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2" spans="1:16">
      <c r="B2" s="83" t="str">
        <f>Identitas!B2</f>
        <v>Nama </v>
      </c>
      <c r="C2" s="182" t="str">
        <f>Identitas!D2</f>
        <v>Febrian Dwi Christian</v>
      </c>
      <c r="I2" s="83"/>
      <c r="J2" s="83"/>
      <c r="K2" s="83"/>
      <c r="L2" s="83"/>
      <c r="M2" s="83"/>
      <c r="N2" s="83"/>
    </row>
    <row r="3" spans="1:16">
      <c r="B3" s="83" t="str">
        <f>Identitas!B3</f>
        <v>Nama Atasan yang menilai</v>
      </c>
      <c r="C3" s="182" t="str">
        <f>Identitas!D3</f>
        <v>Julia Edwita</v>
      </c>
      <c r="I3" s="83"/>
      <c r="J3" s="83"/>
      <c r="K3" s="83"/>
      <c r="L3" s="83"/>
      <c r="M3" s="83"/>
      <c r="N3" s="83"/>
    </row>
    <row r="4" spans="1:16">
      <c r="B4" s="83" t="str">
        <f>Identitas!B4</f>
        <v>Level Saat Ini</v>
      </c>
      <c r="C4" s="182" t="str">
        <f>Identitas!D4</f>
        <v>Officer</v>
      </c>
      <c r="I4" s="83"/>
      <c r="J4" s="83"/>
      <c r="K4" s="83"/>
      <c r="L4" s="83"/>
      <c r="M4" s="83"/>
      <c r="N4" s="83"/>
    </row>
    <row r="5" spans="1:16">
      <c r="B5" s="83" t="str">
        <f>Identitas!B5</f>
        <v>Level Tujuan</v>
      </c>
      <c r="C5" s="182" t="str">
        <f>Identitas!D5</f>
        <v>Analyst</v>
      </c>
      <c r="I5" s="83"/>
      <c r="J5" s="83"/>
      <c r="K5" s="83"/>
      <c r="L5" s="83"/>
      <c r="M5" s="83"/>
      <c r="N5" s="83"/>
    </row>
    <row r="6" spans="1:16">
      <c r="B6" s="83" t="str">
        <f>Identitas!B6</f>
        <v>Tanggal Assesment</v>
      </c>
      <c r="C6" s="182">
        <f>Identitas!D6</f>
        <v>46045.7212152778</v>
      </c>
      <c r="I6" s="83"/>
      <c r="J6" s="83"/>
      <c r="K6" s="83"/>
      <c r="L6" s="83"/>
      <c r="M6" s="83"/>
      <c r="N6" s="83"/>
    </row>
    <row r="7" spans="1:16">
      <c r="B7" s="83" t="str">
        <f>Identitas!B7</f>
        <v>Unit</v>
      </c>
      <c r="C7" s="182" t="str">
        <f>Identitas!D7</f>
        <v>Human Capital Operation &amp; Service</v>
      </c>
      <c r="I7" s="83"/>
      <c r="J7" s="83"/>
      <c r="K7" s="83"/>
      <c r="L7" s="83"/>
      <c r="M7" s="83"/>
      <c r="N7" s="83"/>
    </row>
    <row r="8" spans="1:16">
      <c r="B8" s="83" t="str">
        <f>Identitas!B8</f>
        <v>Departemen</v>
      </c>
      <c r="C8" s="182" t="str">
        <f>Identitas!D8</f>
        <v>Human Capital Shared Service</v>
      </c>
      <c r="I8" s="83"/>
      <c r="J8" s="83"/>
      <c r="K8" s="83"/>
      <c r="L8" s="83"/>
      <c r="M8" s="83"/>
      <c r="N8" s="83"/>
    </row>
    <row r="9" spans="1:16">
      <c r="B9" s="83" t="str">
        <f>Identitas!B9</f>
        <v>Divisi</v>
      </c>
      <c r="C9" s="182">
        <f>Identitas!D9</f>
        <v>0</v>
      </c>
      <c r="I9" s="83"/>
      <c r="J9" s="83"/>
      <c r="K9" s="83"/>
      <c r="L9" s="83"/>
      <c r="M9" s="83"/>
      <c r="N9" s="83"/>
    </row>
    <row r="10" spans="1:16">
      <c r="B10" s="83" t="str">
        <f>Identitas!B10</f>
        <v>Direktorat</v>
      </c>
      <c r="C10" s="182" t="str">
        <f>Identitas!D10</f>
        <v>Resources &amp; Innovation</v>
      </c>
      <c r="I10" s="83"/>
      <c r="J10" s="83"/>
      <c r="K10" s="83"/>
      <c r="L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43.15" customHeight="1" spans="1:16">
      <c r="A13" s="280">
        <v>1</v>
      </c>
      <c r="B13" s="278" t="s">
        <v>105</v>
      </c>
      <c r="C13" s="279" t="s">
        <v>106</v>
      </c>
      <c r="D13" s="279" t="s">
        <v>107</v>
      </c>
      <c r="E13" s="279" t="s">
        <v>108</v>
      </c>
      <c r="F13" s="279" t="s">
        <v>109</v>
      </c>
      <c r="G13" s="279" t="s">
        <v>110</v>
      </c>
      <c r="H13" s="279" t="s">
        <v>111</v>
      </c>
      <c r="I13" s="280">
        <v>5</v>
      </c>
      <c r="J13" s="281" t="s">
        <v>111</v>
      </c>
      <c r="K13" s="280">
        <v>1</v>
      </c>
      <c r="L13" s="280" t="s">
        <v>107</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4.5" customHeight="1" spans="1:16">
      <c r="A14" s="292">
        <v>2</v>
      </c>
      <c r="B14" s="278" t="s">
        <v>112</v>
      </c>
      <c r="C14" s="278" t="s">
        <v>113</v>
      </c>
      <c r="D14" s="279" t="s">
        <v>114</v>
      </c>
      <c r="E14" s="279" t="s">
        <v>115</v>
      </c>
      <c r="F14" s="279" t="s">
        <v>116</v>
      </c>
      <c r="G14" s="279" t="s">
        <v>117</v>
      </c>
      <c r="H14" s="279" t="s">
        <v>118</v>
      </c>
      <c r="I14" s="280">
        <v>1</v>
      </c>
      <c r="J14" s="281" t="s">
        <v>114</v>
      </c>
      <c r="K14" s="280">
        <v>2</v>
      </c>
      <c r="L14" s="280" t="s">
        <v>115</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45" customHeight="1" spans="1:16">
      <c r="A15" s="280">
        <v>3</v>
      </c>
      <c r="B15" s="278" t="s">
        <v>119</v>
      </c>
      <c r="C15" s="278" t="s">
        <v>120</v>
      </c>
      <c r="D15" s="279" t="s">
        <v>121</v>
      </c>
      <c r="E15" s="279" t="s">
        <v>122</v>
      </c>
      <c r="F15" s="279" t="s">
        <v>123</v>
      </c>
      <c r="G15" s="279" t="s">
        <v>124</v>
      </c>
      <c r="H15" s="279" t="s">
        <v>125</v>
      </c>
      <c r="I15" s="280">
        <v>2</v>
      </c>
      <c r="J15" s="281" t="s">
        <v>122</v>
      </c>
      <c r="K15" s="280">
        <v>3</v>
      </c>
      <c r="L15" s="280" t="s">
        <v>123</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52.9" customHeight="1" spans="1:16">
      <c r="A16" s="280">
        <v>4</v>
      </c>
      <c r="B16" s="278" t="s">
        <v>126</v>
      </c>
      <c r="C16" s="278" t="s">
        <v>127</v>
      </c>
      <c r="D16" s="279" t="s">
        <v>128</v>
      </c>
      <c r="E16" s="279" t="s">
        <v>129</v>
      </c>
      <c r="F16" s="279" t="s">
        <v>130</v>
      </c>
      <c r="G16" s="279" t="s">
        <v>131</v>
      </c>
      <c r="H16" s="279" t="s">
        <v>132</v>
      </c>
      <c r="I16" s="280">
        <v>3</v>
      </c>
      <c r="J16" s="281" t="s">
        <v>130</v>
      </c>
      <c r="K16" s="280">
        <v>4</v>
      </c>
      <c r="L16" s="280" t="s">
        <v>131</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84" spans="1:16">
      <c r="A17" s="280">
        <v>5</v>
      </c>
      <c r="B17" s="278" t="s">
        <v>133</v>
      </c>
      <c r="C17" s="278" t="s">
        <v>134</v>
      </c>
      <c r="D17" s="279" t="s">
        <v>135</v>
      </c>
      <c r="E17" s="279" t="s">
        <v>136</v>
      </c>
      <c r="F17" s="279" t="s">
        <v>137</v>
      </c>
      <c r="G17" s="279" t="s">
        <v>138</v>
      </c>
      <c r="H17" s="279" t="s">
        <v>139</v>
      </c>
      <c r="I17" s="280">
        <v>4</v>
      </c>
      <c r="J17" s="281" t="s">
        <v>138</v>
      </c>
      <c r="K17" s="280">
        <v>5</v>
      </c>
      <c r="L17" s="280" t="s">
        <v>139</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89.5" customHeight="1" spans="1:16">
      <c r="A18" s="280">
        <v>6</v>
      </c>
      <c r="B18" s="278" t="s">
        <v>140</v>
      </c>
      <c r="C18" s="278" t="s">
        <v>141</v>
      </c>
      <c r="D18" s="279" t="s">
        <v>142</v>
      </c>
      <c r="E18" s="279" t="s">
        <v>143</v>
      </c>
      <c r="F18" s="279" t="s">
        <v>144</v>
      </c>
      <c r="G18" s="279" t="s">
        <v>145</v>
      </c>
      <c r="H18" s="279" t="s">
        <v>146</v>
      </c>
      <c r="I18" s="280">
        <v>5</v>
      </c>
      <c r="J18" s="281" t="s">
        <v>146</v>
      </c>
      <c r="K18" s="280">
        <v>1</v>
      </c>
      <c r="L18" s="280" t="s">
        <v>142</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2" spans="1:16">
      <c r="A19" s="280">
        <v>7</v>
      </c>
      <c r="B19" s="278" t="s">
        <v>147</v>
      </c>
      <c r="C19" s="278" t="s">
        <v>148</v>
      </c>
      <c r="D19" s="279" t="s">
        <v>149</v>
      </c>
      <c r="E19" s="279" t="s">
        <v>150</v>
      </c>
      <c r="F19" s="279" t="s">
        <v>151</v>
      </c>
      <c r="G19" s="279" t="s">
        <v>152</v>
      </c>
      <c r="H19" s="279" t="s">
        <v>153</v>
      </c>
      <c r="I19" s="280">
        <v>1</v>
      </c>
      <c r="J19" s="281" t="s">
        <v>149</v>
      </c>
      <c r="K19" s="280">
        <v>2</v>
      </c>
      <c r="L19" s="280" t="s">
        <v>150</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40.15" customHeight="1" spans="1:16">
      <c r="A20" s="280">
        <v>8</v>
      </c>
      <c r="B20" s="278" t="s">
        <v>154</v>
      </c>
      <c r="C20" s="278" t="s">
        <v>155</v>
      </c>
      <c r="D20" s="279" t="s">
        <v>156</v>
      </c>
      <c r="E20" s="279" t="s">
        <v>157</v>
      </c>
      <c r="F20" s="279" t="s">
        <v>158</v>
      </c>
      <c r="G20" s="279" t="s">
        <v>159</v>
      </c>
      <c r="H20" s="279" t="s">
        <v>160</v>
      </c>
      <c r="I20" s="280">
        <v>2</v>
      </c>
      <c r="J20" s="281" t="s">
        <v>157</v>
      </c>
      <c r="K20" s="280">
        <v>3</v>
      </c>
      <c r="L20" s="280" t="s">
        <v>158</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63" customHeight="1" spans="1:16">
      <c r="A21" s="292">
        <v>9</v>
      </c>
      <c r="B21" s="278" t="s">
        <v>161</v>
      </c>
      <c r="C21" s="278" t="s">
        <v>162</v>
      </c>
      <c r="D21" s="279" t="s">
        <v>163</v>
      </c>
      <c r="E21" s="279" t="s">
        <v>164</v>
      </c>
      <c r="F21" s="279" t="s">
        <v>165</v>
      </c>
      <c r="G21" s="279" t="s">
        <v>166</v>
      </c>
      <c r="H21" s="279" t="s">
        <v>167</v>
      </c>
      <c r="I21" s="280">
        <v>3</v>
      </c>
      <c r="J21" s="281" t="s">
        <v>165</v>
      </c>
      <c r="K21" s="280">
        <v>4</v>
      </c>
      <c r="L21" s="280" t="s">
        <v>166</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2.9" customHeight="1" spans="1:16">
      <c r="A22" s="280">
        <v>10</v>
      </c>
      <c r="B22" s="278" t="s">
        <v>168</v>
      </c>
      <c r="C22" s="278" t="s">
        <v>169</v>
      </c>
      <c r="D22" s="279" t="s">
        <v>170</v>
      </c>
      <c r="E22" s="279" t="s">
        <v>171</v>
      </c>
      <c r="F22" s="279" t="s">
        <v>172</v>
      </c>
      <c r="G22" s="279" t="s">
        <v>173</v>
      </c>
      <c r="H22" s="279" t="s">
        <v>174</v>
      </c>
      <c r="I22" s="280">
        <v>4</v>
      </c>
      <c r="J22" s="281" t="s">
        <v>173</v>
      </c>
      <c r="K22" s="280">
        <v>5</v>
      </c>
      <c r="L22" s="280" t="s">
        <v>174</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6">
        <f>AVERAGE(J13:K22)</f>
        <v>3</v>
      </c>
      <c r="K23" s="286">
        <f>AVERAGE(K13:L22)</f>
        <v>3</v>
      </c>
      <c r="L23" s="286"/>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0"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10.2545454545455" style="84" customWidth="1"/>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Febrian Dwi Christian</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46045.7212152778</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7.65" customHeight="1" spans="1:16">
      <c r="A13" s="281">
        <v>1</v>
      </c>
      <c r="B13" s="278" t="s">
        <v>175</v>
      </c>
      <c r="C13" s="278" t="s">
        <v>176</v>
      </c>
      <c r="D13" s="278" t="s">
        <v>177</v>
      </c>
      <c r="E13" s="278" t="s">
        <v>178</v>
      </c>
      <c r="F13" s="278" t="s">
        <v>179</v>
      </c>
      <c r="G13" s="278" t="s">
        <v>180</v>
      </c>
      <c r="H13" s="278" t="s">
        <v>181</v>
      </c>
      <c r="I13" s="280">
        <v>5</v>
      </c>
      <c r="J13" s="281" t="s">
        <v>181</v>
      </c>
      <c r="K13" s="280">
        <v>1</v>
      </c>
      <c r="L13" s="281" t="s">
        <v>177</v>
      </c>
      <c r="M13" s="194">
        <f t="shared" ref="M13:M23" si="0">I13-K13</f>
        <v>4</v>
      </c>
      <c r="N13" s="194" t="str" cm="1">
        <f t="array" ref="N13">_xlfn.IFS(M13&gt;=2,"Major Positive Gap",M13&gt;=1,"Minor Positive Gap",M13&gt;=0,"No Gap",M13&gt;=-1,"Minor Negative Gap",M13&lt;=-2,"Major Negative Gap")</f>
        <v>Major Positive Gap</v>
      </c>
      <c r="O13" s="85" t="s">
        <v>182</v>
      </c>
      <c r="P13" s="90" t="s">
        <v>183</v>
      </c>
    </row>
    <row r="14" ht="49.9" customHeight="1" spans="1:16">
      <c r="A14" s="281">
        <v>2</v>
      </c>
      <c r="B14" s="278" t="s">
        <v>184</v>
      </c>
      <c r="C14" s="278" t="s">
        <v>185</v>
      </c>
      <c r="D14" s="278" t="s">
        <v>186</v>
      </c>
      <c r="E14" s="278" t="s">
        <v>187</v>
      </c>
      <c r="F14" s="278" t="s">
        <v>188</v>
      </c>
      <c r="G14" s="278" t="s">
        <v>189</v>
      </c>
      <c r="H14" s="278" t="s">
        <v>190</v>
      </c>
      <c r="I14" s="280">
        <v>1</v>
      </c>
      <c r="J14" s="281" t="s">
        <v>186</v>
      </c>
      <c r="K14" s="280">
        <v>2</v>
      </c>
      <c r="L14" s="281" t="s">
        <v>187</v>
      </c>
      <c r="M14" s="194">
        <f t="shared" si="0"/>
        <v>-1</v>
      </c>
      <c r="N14" s="194" t="str" cm="1">
        <f t="array" ref="N14">_xlfn.IFS(M14&gt;=2,"Major Positive Gap",M14&gt;=1,"Minor Positive Gap",M14&gt;=0,"No Gap",M14&gt;=-1,"Minor Negative Gap",M14&lt;=-2,"Major Negative Gap")</f>
        <v>Minor Negative Gap</v>
      </c>
      <c r="O14" s="85" t="s">
        <v>182</v>
      </c>
      <c r="P14" s="90" t="s">
        <v>183</v>
      </c>
    </row>
    <row r="15" ht="84" customHeight="1" spans="1:16">
      <c r="A15" s="281">
        <v>3</v>
      </c>
      <c r="B15" s="278" t="s">
        <v>191</v>
      </c>
      <c r="C15" s="278" t="s">
        <v>192</v>
      </c>
      <c r="D15" s="278" t="s">
        <v>193</v>
      </c>
      <c r="E15" s="278" t="s">
        <v>194</v>
      </c>
      <c r="F15" s="278" t="s">
        <v>195</v>
      </c>
      <c r="G15" s="278" t="s">
        <v>196</v>
      </c>
      <c r="H15" s="278" t="s">
        <v>197</v>
      </c>
      <c r="I15" s="280">
        <v>2</v>
      </c>
      <c r="J15" s="281" t="s">
        <v>194</v>
      </c>
      <c r="K15" s="280">
        <v>3</v>
      </c>
      <c r="L15" s="281" t="s">
        <v>195</v>
      </c>
      <c r="M15" s="194">
        <f t="shared" si="0"/>
        <v>-1</v>
      </c>
      <c r="N15" s="194" t="str" cm="1">
        <f t="array" ref="N15">_xlfn.IFS(M15&gt;=2,"Major Positive Gap",M15&gt;=1,"Minor Positive Gap",M15&gt;=0,"No Gap",M15&gt;=-1,"Minor Negative Gap",M15&lt;=-2,"Major Negative Gap")</f>
        <v>Minor Negative Gap</v>
      </c>
      <c r="O15" s="85" t="s">
        <v>198</v>
      </c>
      <c r="P15" s="90" t="s">
        <v>199</v>
      </c>
    </row>
    <row r="16" ht="71.5" customHeight="1" spans="1:16">
      <c r="A16" s="277">
        <v>4</v>
      </c>
      <c r="B16" s="278" t="s">
        <v>200</v>
      </c>
      <c r="C16" s="278" t="s">
        <v>201</v>
      </c>
      <c r="D16" s="278" t="s">
        <v>202</v>
      </c>
      <c r="E16" s="278" t="s">
        <v>203</v>
      </c>
      <c r="F16" s="278" t="s">
        <v>204</v>
      </c>
      <c r="G16" s="278" t="s">
        <v>205</v>
      </c>
      <c r="H16" s="278" t="s">
        <v>206</v>
      </c>
      <c r="I16" s="280">
        <v>3</v>
      </c>
      <c r="J16" s="281" t="s">
        <v>204</v>
      </c>
      <c r="K16" s="280">
        <v>4</v>
      </c>
      <c r="L16" s="281" t="s">
        <v>205</v>
      </c>
      <c r="M16" s="194">
        <f t="shared" si="0"/>
        <v>-1</v>
      </c>
      <c r="N16" s="194" t="str" cm="1">
        <f t="array" ref="N16">_xlfn.IFS(M16&gt;=2,"Major Positive Gap",M16&gt;=1,"Minor Positive Gap",M16&gt;=0,"No Gap",M16&gt;=-1,"Minor Negative Gap",M16&lt;=-2,"Major Negative Gap")</f>
        <v>Minor Negative Gap</v>
      </c>
      <c r="O16" s="85" t="s">
        <v>207</v>
      </c>
      <c r="P16" s="90" t="s">
        <v>208</v>
      </c>
    </row>
    <row r="17" ht="60.65" customHeight="1" spans="1:16">
      <c r="A17" s="281">
        <v>5</v>
      </c>
      <c r="B17" s="278" t="s">
        <v>209</v>
      </c>
      <c r="C17" s="278" t="s">
        <v>210</v>
      </c>
      <c r="D17" s="278" t="s">
        <v>211</v>
      </c>
      <c r="E17" s="278" t="s">
        <v>212</v>
      </c>
      <c r="F17" s="278" t="s">
        <v>213</v>
      </c>
      <c r="G17" s="278" t="s">
        <v>214</v>
      </c>
      <c r="H17" s="278" t="s">
        <v>215</v>
      </c>
      <c r="I17" s="280">
        <v>4</v>
      </c>
      <c r="J17" s="281" t="s">
        <v>214</v>
      </c>
      <c r="K17" s="280">
        <v>5</v>
      </c>
      <c r="L17" s="281" t="s">
        <v>215</v>
      </c>
      <c r="M17" s="194">
        <f t="shared" si="0"/>
        <v>-1</v>
      </c>
      <c r="N17" s="194" t="str" cm="1">
        <f t="array" ref="N17">_xlfn.IFS(M17&gt;=2,"Major Positive Gap",M17&gt;=1,"Minor Positive Gap",M17&gt;=0,"No Gap",M17&gt;=-1,"Minor Negative Gap",M17&lt;=-2,"Major Negative Gap")</f>
        <v>Minor Negative Gap</v>
      </c>
      <c r="O17" s="85" t="s">
        <v>207</v>
      </c>
      <c r="P17" s="90" t="s">
        <v>208</v>
      </c>
    </row>
    <row r="18" ht="54" customHeight="1" spans="1:16">
      <c r="A18" s="281">
        <v>6</v>
      </c>
      <c r="B18" s="278" t="s">
        <v>216</v>
      </c>
      <c r="C18" s="278" t="s">
        <v>217</v>
      </c>
      <c r="D18" s="278" t="s">
        <v>218</v>
      </c>
      <c r="E18" s="278" t="s">
        <v>219</v>
      </c>
      <c r="F18" s="278" t="s">
        <v>220</v>
      </c>
      <c r="G18" s="278" t="s">
        <v>221</v>
      </c>
      <c r="H18" s="278" t="s">
        <v>222</v>
      </c>
      <c r="I18" s="280">
        <v>5</v>
      </c>
      <c r="J18" s="281" t="s">
        <v>222</v>
      </c>
      <c r="K18" s="280">
        <v>1</v>
      </c>
      <c r="L18" s="281" t="s">
        <v>218</v>
      </c>
      <c r="M18" s="194">
        <f t="shared" si="0"/>
        <v>4</v>
      </c>
      <c r="N18" s="194" t="str" cm="1">
        <f t="array" ref="N18">_xlfn.IFS(M18&gt;=2,"Major Positive Gap",M18&gt;=1,"Minor Positive Gap",M18&gt;=0,"No Gap",M18&gt;=-1,"Minor Negative Gap",M18&lt;=-2,"Major Negative Gap")</f>
        <v>Major Positive Gap</v>
      </c>
      <c r="O18" s="85" t="s">
        <v>223</v>
      </c>
      <c r="P18" s="90" t="s">
        <v>224</v>
      </c>
    </row>
    <row r="19" ht="71.5" customHeight="1" spans="1:16">
      <c r="A19" s="277">
        <v>7</v>
      </c>
      <c r="B19" s="278" t="s">
        <v>225</v>
      </c>
      <c r="C19" s="278" t="s">
        <v>226</v>
      </c>
      <c r="D19" s="278" t="s">
        <v>227</v>
      </c>
      <c r="E19" s="278" t="s">
        <v>228</v>
      </c>
      <c r="F19" s="278" t="s">
        <v>229</v>
      </c>
      <c r="G19" s="278" t="s">
        <v>230</v>
      </c>
      <c r="H19" s="278" t="s">
        <v>231</v>
      </c>
      <c r="I19" s="280">
        <v>1</v>
      </c>
      <c r="J19" s="281" t="s">
        <v>227</v>
      </c>
      <c r="K19" s="280">
        <v>2</v>
      </c>
      <c r="L19" s="281" t="s">
        <v>228</v>
      </c>
      <c r="M19" s="194">
        <f t="shared" si="0"/>
        <v>-1</v>
      </c>
      <c r="N19" s="194" t="str" cm="1">
        <f t="array" ref="N19">_xlfn.IFS(M19&gt;=2,"Major Positive Gap",M19&gt;=1,"Minor Positive Gap",M19&gt;=0,"No Gap",M19&gt;=-1,"Minor Negative Gap",M19&lt;=-2,"Major Negative Gap")</f>
        <v>Minor Negative Gap</v>
      </c>
      <c r="O19" s="85" t="s">
        <v>207</v>
      </c>
      <c r="P19" s="90" t="s">
        <v>208</v>
      </c>
    </row>
    <row r="20" ht="60" customHeight="1" spans="1:16">
      <c r="A20" s="281">
        <v>8</v>
      </c>
      <c r="B20" s="278" t="s">
        <v>232</v>
      </c>
      <c r="C20" s="278" t="s">
        <v>233</v>
      </c>
      <c r="D20" s="278" t="s">
        <v>234</v>
      </c>
      <c r="E20" s="278" t="s">
        <v>235</v>
      </c>
      <c r="F20" s="278" t="s">
        <v>236</v>
      </c>
      <c r="G20" s="278" t="s">
        <v>237</v>
      </c>
      <c r="H20" s="278" t="s">
        <v>238</v>
      </c>
      <c r="I20" s="280">
        <v>2</v>
      </c>
      <c r="J20" s="281" t="s">
        <v>235</v>
      </c>
      <c r="K20" s="280">
        <v>3</v>
      </c>
      <c r="L20" s="281" t="s">
        <v>236</v>
      </c>
      <c r="M20" s="194">
        <f t="shared" si="0"/>
        <v>-1</v>
      </c>
      <c r="N20" s="194" t="str" cm="1">
        <f t="array" ref="N20">_xlfn.IFS(M20&gt;=2,"Major Positive Gap",M20&gt;=1,"Minor Positive Gap",M20&gt;=0,"No Gap",M20&gt;=-1,"Minor Negative Gap",M20&lt;=-2,"Major Negative Gap")</f>
        <v>Minor Negative Gap</v>
      </c>
      <c r="O20" s="85" t="s">
        <v>223</v>
      </c>
      <c r="P20" s="90" t="s">
        <v>224</v>
      </c>
    </row>
    <row r="21" ht="93.65" customHeight="1" spans="1:16">
      <c r="A21" s="281">
        <v>9</v>
      </c>
      <c r="B21" s="278" t="s">
        <v>239</v>
      </c>
      <c r="C21" s="278" t="s">
        <v>240</v>
      </c>
      <c r="D21" s="278" t="s">
        <v>241</v>
      </c>
      <c r="E21" s="278" t="s">
        <v>242</v>
      </c>
      <c r="F21" s="278" t="s">
        <v>243</v>
      </c>
      <c r="G21" s="278" t="s">
        <v>244</v>
      </c>
      <c r="H21" s="278" t="s">
        <v>245</v>
      </c>
      <c r="I21" s="280">
        <v>3</v>
      </c>
      <c r="J21" s="281" t="s">
        <v>243</v>
      </c>
      <c r="K21" s="280">
        <v>4</v>
      </c>
      <c r="L21" s="281" t="s">
        <v>244</v>
      </c>
      <c r="M21" s="194">
        <f t="shared" si="0"/>
        <v>-1</v>
      </c>
      <c r="N21" s="194" t="str" cm="1">
        <f t="array" ref="N21">_xlfn.IFS(M21&gt;=2,"Major Positive Gap",M21&gt;=1,"Minor Positive Gap",M21&gt;=0,"No Gap",M21&gt;=-1,"Minor Negative Gap",M21&lt;=-2,"Major Negative Gap")</f>
        <v>Minor Negative Gap</v>
      </c>
      <c r="O21" s="85" t="s">
        <v>198</v>
      </c>
      <c r="P21" s="90" t="s">
        <v>199</v>
      </c>
    </row>
    <row r="22" ht="48" spans="1:16">
      <c r="A22" s="281">
        <v>10</v>
      </c>
      <c r="B22" s="278" t="s">
        <v>246</v>
      </c>
      <c r="C22" s="278" t="s">
        <v>247</v>
      </c>
      <c r="D22" s="278" t="s">
        <v>248</v>
      </c>
      <c r="E22" s="278" t="s">
        <v>249</v>
      </c>
      <c r="F22" s="278" t="s">
        <v>250</v>
      </c>
      <c r="G22" s="278" t="s">
        <v>251</v>
      </c>
      <c r="H22" s="278" t="s">
        <v>252</v>
      </c>
      <c r="I22" s="280">
        <v>4</v>
      </c>
      <c r="J22" s="281" t="s">
        <v>251</v>
      </c>
      <c r="K22" s="280">
        <v>5</v>
      </c>
      <c r="L22" s="281" t="s">
        <v>252</v>
      </c>
      <c r="M22" s="194">
        <f t="shared" si="0"/>
        <v>-1</v>
      </c>
      <c r="N22" s="194" t="str" cm="1">
        <f t="array" ref="N22">_xlfn.IFS(M22&gt;=2,"Major Positive Gap",M22&gt;=1,"Minor Positive Gap",M22&gt;=0,"No Gap",M22&gt;=-1,"Minor Negative Gap",M22&lt;=-2,"Major Negative Gap")</f>
        <v>Minor Negative Gap</v>
      </c>
      <c r="O22" s="85" t="s">
        <v>182</v>
      </c>
      <c r="P22" s="90" t="s">
        <v>183</v>
      </c>
    </row>
    <row r="23" s="179" customFormat="1" ht="31.15" customHeight="1" spans="1:16">
      <c r="A23" s="284" t="s">
        <v>104</v>
      </c>
      <c r="B23" s="285"/>
      <c r="C23" s="285"/>
      <c r="D23" s="285"/>
      <c r="E23" s="285"/>
      <c r="F23" s="285"/>
      <c r="G23" s="285"/>
      <c r="H23" s="285"/>
      <c r="I23" s="286">
        <f>AVERAGE(I13:J22)</f>
        <v>3</v>
      </c>
      <c r="J23" s="286">
        <f>AVERAGE(J13:K22)</f>
        <v>3</v>
      </c>
      <c r="K23" s="286">
        <f>AVERAGE(K13:L22)</f>
        <v>3</v>
      </c>
      <c r="L23" s="286"/>
      <c r="M23" s="288">
        <f t="shared" si="0"/>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70" zoomScaleNormal="70" topLeftCell="H1"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2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Febrian Dwi Christian</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46045.7212152778</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8.15" customHeight="1" spans="1:16">
      <c r="A13" s="281">
        <v>1</v>
      </c>
      <c r="B13" s="278" t="s">
        <v>253</v>
      </c>
      <c r="C13" s="278" t="s">
        <v>254</v>
      </c>
      <c r="D13" s="278" t="s">
        <v>255</v>
      </c>
      <c r="E13" s="278" t="s">
        <v>256</v>
      </c>
      <c r="F13" s="278" t="s">
        <v>257</v>
      </c>
      <c r="G13" s="278" t="s">
        <v>258</v>
      </c>
      <c r="H13" s="278" t="s">
        <v>259</v>
      </c>
      <c r="I13" s="280">
        <v>5</v>
      </c>
      <c r="J13" s="281" t="s">
        <v>259</v>
      </c>
      <c r="K13" s="280">
        <v>1</v>
      </c>
      <c r="L13" s="281" t="s">
        <v>255</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72.65" customHeight="1" spans="1:16">
      <c r="A14" s="281">
        <v>2</v>
      </c>
      <c r="B14" s="278" t="s">
        <v>260</v>
      </c>
      <c r="C14" s="278" t="s">
        <v>261</v>
      </c>
      <c r="D14" s="278" t="s">
        <v>262</v>
      </c>
      <c r="E14" s="278" t="s">
        <v>263</v>
      </c>
      <c r="F14" s="278" t="s">
        <v>264</v>
      </c>
      <c r="G14" s="278" t="s">
        <v>265</v>
      </c>
      <c r="H14" s="278" t="s">
        <v>266</v>
      </c>
      <c r="I14" s="280">
        <v>1</v>
      </c>
      <c r="J14" s="281" t="s">
        <v>262</v>
      </c>
      <c r="K14" s="280">
        <v>2</v>
      </c>
      <c r="L14" s="281" t="s">
        <v>263</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58.9" customHeight="1" spans="1:16">
      <c r="A15" s="281">
        <v>3</v>
      </c>
      <c r="B15" s="278" t="s">
        <v>267</v>
      </c>
      <c r="C15" s="278" t="s">
        <v>268</v>
      </c>
      <c r="D15" s="278" t="s">
        <v>269</v>
      </c>
      <c r="E15" s="278" t="s">
        <v>270</v>
      </c>
      <c r="F15" s="278" t="s">
        <v>271</v>
      </c>
      <c r="G15" s="278" t="s">
        <v>272</v>
      </c>
      <c r="H15" s="278" t="s">
        <v>273</v>
      </c>
      <c r="I15" s="280">
        <v>2</v>
      </c>
      <c r="J15" s="281" t="s">
        <v>270</v>
      </c>
      <c r="K15" s="280">
        <v>3</v>
      </c>
      <c r="L15" s="281" t="s">
        <v>271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72" customHeight="1" spans="1:16">
      <c r="A16" s="277">
        <v>4</v>
      </c>
      <c r="B16" s="278" t="s">
        <v>274</v>
      </c>
      <c r="C16" s="278" t="s">
        <v>275</v>
      </c>
      <c r="D16" s="278" t="s">
        <v>276</v>
      </c>
      <c r="E16" s="278" t="s">
        <v>277</v>
      </c>
      <c r="F16" s="278" t="s">
        <v>278</v>
      </c>
      <c r="G16" s="278" t="s">
        <v>279</v>
      </c>
      <c r="H16" s="278" t="s">
        <v>280</v>
      </c>
      <c r="I16" s="280">
        <v>3</v>
      </c>
      <c r="J16" s="281" t="s">
        <v>278</v>
      </c>
      <c r="K16" s="280">
        <v>4</v>
      </c>
      <c r="L16" s="281" t="s">
        <v>279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75.65" customHeight="1" spans="1:16">
      <c r="A17" s="281">
        <v>5</v>
      </c>
      <c r="B17" s="278" t="s">
        <v>281</v>
      </c>
      <c r="C17" s="278" t="s">
        <v>282</v>
      </c>
      <c r="D17" s="278" t="s">
        <v>283</v>
      </c>
      <c r="E17" s="278" t="s">
        <v>284</v>
      </c>
      <c r="F17" s="278" t="s">
        <v>285</v>
      </c>
      <c r="G17" s="278" t="s">
        <v>286</v>
      </c>
      <c r="H17" s="278" t="s">
        <v>287</v>
      </c>
      <c r="I17" s="280">
        <v>4</v>
      </c>
      <c r="J17" s="281" t="s">
        <v>286</v>
      </c>
      <c r="K17" s="280">
        <v>5</v>
      </c>
      <c r="L17" s="281" t="s">
        <v>287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90.65" customHeight="1" spans="1:16">
      <c r="A18" s="281">
        <v>6</v>
      </c>
      <c r="B18" s="278" t="s">
        <v>288</v>
      </c>
      <c r="C18" s="278" t="s">
        <v>289</v>
      </c>
      <c r="D18" s="278" t="s">
        <v>290</v>
      </c>
      <c r="E18" s="278" t="s">
        <v>291</v>
      </c>
      <c r="F18" s="278" t="s">
        <v>292</v>
      </c>
      <c r="G18" s="278" t="s">
        <v>293</v>
      </c>
      <c r="H18" s="278" t="s">
        <v>294</v>
      </c>
      <c r="I18" s="280">
        <v>5</v>
      </c>
      <c r="J18" s="281" t="s">
        <v>294</v>
      </c>
      <c r="K18" s="280">
        <v>1</v>
      </c>
      <c r="L18" s="281" t="s">
        <v>290</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87" customHeight="1" spans="1:16">
      <c r="A19" s="281">
        <v>7</v>
      </c>
      <c r="B19" s="278" t="s">
        <v>295</v>
      </c>
      <c r="C19" s="278" t="s">
        <v>296</v>
      </c>
      <c r="D19" s="278" t="s">
        <v>297</v>
      </c>
      <c r="E19" s="278" t="s">
        <v>298</v>
      </c>
      <c r="F19" s="278" t="s">
        <v>299</v>
      </c>
      <c r="G19" s="278" t="s">
        <v>300</v>
      </c>
      <c r="H19" s="278" t="s">
        <v>301</v>
      </c>
      <c r="I19" s="280">
        <v>1</v>
      </c>
      <c r="J19" s="281" t="s">
        <v>297</v>
      </c>
      <c r="K19" s="280">
        <v>2</v>
      </c>
      <c r="L19" s="281" t="s">
        <v>298</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82.9" customHeight="1" spans="1:16">
      <c r="A20" s="281">
        <v>8</v>
      </c>
      <c r="B20" s="278" t="s">
        <v>302</v>
      </c>
      <c r="C20" s="278" t="s">
        <v>303</v>
      </c>
      <c r="D20" s="278" t="s">
        <v>304</v>
      </c>
      <c r="E20" s="278" t="s">
        <v>305</v>
      </c>
      <c r="F20" s="278" t="s">
        <v>306</v>
      </c>
      <c r="G20" s="278" t="s">
        <v>307</v>
      </c>
      <c r="H20" s="278" t="s">
        <v>308</v>
      </c>
      <c r="I20" s="280">
        <v>2</v>
      </c>
      <c r="J20" s="281" t="s">
        <v>305</v>
      </c>
      <c r="K20" s="280">
        <v>3</v>
      </c>
      <c r="L20" s="281" t="s">
        <v>306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82.15" customHeight="1" spans="1:16">
      <c r="A21" s="281">
        <v>9</v>
      </c>
      <c r="B21" s="278" t="s">
        <v>309</v>
      </c>
      <c r="C21" s="278" t="s">
        <v>310</v>
      </c>
      <c r="D21" s="278" t="s">
        <v>311</v>
      </c>
      <c r="E21" s="278" t="s">
        <v>312</v>
      </c>
      <c r="F21" s="278" t="s">
        <v>313</v>
      </c>
      <c r="G21" s="278" t="s">
        <v>314</v>
      </c>
      <c r="H21" s="278" t="s">
        <v>315</v>
      </c>
      <c r="I21" s="280">
        <v>3</v>
      </c>
      <c r="J21" s="281" t="s">
        <v>313</v>
      </c>
      <c r="K21" s="280">
        <v>4</v>
      </c>
      <c r="L21" s="281" t="s">
        <v>314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58.15" customHeight="1" spans="1:16">
      <c r="A22" s="277">
        <v>10</v>
      </c>
      <c r="B22" s="278" t="s">
        <v>316</v>
      </c>
      <c r="C22" s="278" t="s">
        <v>317</v>
      </c>
      <c r="D22" s="278" t="s">
        <v>318</v>
      </c>
      <c r="E22" s="278" t="s">
        <v>319</v>
      </c>
      <c r="F22" s="278" t="s">
        <v>320</v>
      </c>
      <c r="G22" s="278" t="s">
        <v>321</v>
      </c>
      <c r="H22" s="278" t="s">
        <v>322</v>
      </c>
      <c r="I22" s="280">
        <v>4</v>
      </c>
      <c r="J22" s="281" t="s">
        <v>321</v>
      </c>
      <c r="K22" s="280">
        <v>5</v>
      </c>
      <c r="L22" s="281" t="s">
        <v>322</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7" customHeight="1" spans="1:16">
      <c r="A23" s="284" t="s">
        <v>104</v>
      </c>
      <c r="B23" s="285"/>
      <c r="C23" s="285"/>
      <c r="D23" s="285"/>
      <c r="E23" s="285"/>
      <c r="F23" s="285"/>
      <c r="G23" s="285"/>
      <c r="H23" s="285"/>
      <c r="I23" s="286">
        <f>AVERAGE(I13:J22)</f>
        <v>3</v>
      </c>
      <c r="J23" s="291">
        <f>AVERAGE(J13:K22)</f>
        <v>3</v>
      </c>
      <c r="K23" s="286">
        <f>AVERAGE(K13:L22)</f>
        <v>3</v>
      </c>
      <c r="L23" s="291"/>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6" tint="0.799981688894314"/>
  </sheetPr>
  <dimension ref="A1:P23"/>
  <sheetViews>
    <sheetView zoomScale="85" zoomScaleNormal="85" topLeftCell="G19" workbookViewId="0">
      <selection activeCell="N13" sqref="A12:P23"/>
    </sheetView>
  </sheetViews>
  <sheetFormatPr defaultColWidth="8.83636363636364" defaultRowHeight="14"/>
  <cols>
    <col min="1" max="1" width="8.83636363636364" style="83"/>
    <col min="2" max="2" width="30.7545454545455" style="83" customWidth="1"/>
    <col min="3" max="8" width="40.7545454545455" style="83" customWidth="1"/>
    <col min="9" max="9" width="8.83636363636364" style="84"/>
    <col min="10" max="10" width="30.7545454545455" style="83" hidden="1" customWidth="1"/>
    <col min="11" max="11" width="8.83636363636364" style="84"/>
    <col min="12" max="12" width="30.7545454545455" style="83" hidden="1" customWidth="1"/>
    <col min="13" max="13" width="14" style="80" customWidth="1"/>
    <col min="14" max="14" width="19.5818181818182" style="80" customWidth="1"/>
    <col min="15" max="15" width="46" style="83" customWidth="1"/>
    <col min="16" max="16" width="36.5818181818182" style="83" customWidth="1"/>
    <col min="17" max="16384" width="8.83636363636364" style="83"/>
  </cols>
  <sheetData>
    <row r="1" spans="1:16">
      <c r="I1" s="274"/>
      <c r="J1" s="274"/>
      <c r="K1" s="274"/>
      <c r="L1" s="274"/>
    </row>
    <row r="2" spans="1:16">
      <c r="B2" s="83" t="str">
        <f>Identitas!B2</f>
        <v>Nama </v>
      </c>
      <c r="C2" s="182" t="str">
        <f>Identitas!D2</f>
        <v>Febrian Dwi Christian</v>
      </c>
      <c r="I2" s="83"/>
      <c r="K2" s="83"/>
      <c r="M2" s="83"/>
      <c r="N2" s="83"/>
    </row>
    <row r="3" spans="1:16">
      <c r="B3" s="83" t="str">
        <f>Identitas!B3</f>
        <v>Nama Atasan yang menilai</v>
      </c>
      <c r="C3" s="182" t="str">
        <f>Identitas!D3</f>
        <v>Julia Edwita</v>
      </c>
      <c r="I3" s="83"/>
      <c r="K3" s="83"/>
      <c r="M3" s="83"/>
      <c r="N3" s="83"/>
    </row>
    <row r="4" spans="1:16">
      <c r="B4" s="83" t="str">
        <f>Identitas!B4</f>
        <v>Level Saat Ini</v>
      </c>
      <c r="C4" s="182" t="str">
        <f>Identitas!D4</f>
        <v>Officer</v>
      </c>
      <c r="I4" s="83"/>
      <c r="K4" s="83"/>
      <c r="M4" s="83"/>
      <c r="N4" s="83"/>
    </row>
    <row r="5" spans="1:16">
      <c r="B5" s="83" t="str">
        <f>Identitas!B5</f>
        <v>Level Tujuan</v>
      </c>
      <c r="C5" s="182" t="str">
        <f>Identitas!D5</f>
        <v>Analyst</v>
      </c>
      <c r="I5" s="83"/>
      <c r="K5" s="83"/>
      <c r="M5" s="83"/>
      <c r="N5" s="83"/>
    </row>
    <row r="6" spans="1:16">
      <c r="B6" s="83" t="str">
        <f>Identitas!B6</f>
        <v>Tanggal Assesment</v>
      </c>
      <c r="C6" s="182">
        <f>Identitas!D6</f>
        <v>46045.7212152778</v>
      </c>
      <c r="I6" s="83"/>
      <c r="K6" s="83"/>
      <c r="M6" s="83"/>
      <c r="N6" s="83"/>
    </row>
    <row r="7" spans="1:16">
      <c r="B7" s="83" t="str">
        <f>Identitas!B7</f>
        <v>Unit</v>
      </c>
      <c r="C7" s="182" t="str">
        <f>Identitas!D7</f>
        <v>Human Capital Operation &amp; Service</v>
      </c>
      <c r="I7" s="83"/>
      <c r="K7" s="83"/>
      <c r="M7" s="83"/>
      <c r="N7" s="83"/>
    </row>
    <row r="8" spans="1:16">
      <c r="B8" s="83" t="str">
        <f>Identitas!B8</f>
        <v>Departemen</v>
      </c>
      <c r="C8" s="182" t="str">
        <f>Identitas!D8</f>
        <v>Human Capital Shared Service</v>
      </c>
      <c r="I8" s="83"/>
      <c r="K8" s="83"/>
      <c r="M8" s="83"/>
      <c r="N8" s="83"/>
    </row>
    <row r="9" spans="1:16">
      <c r="B9" s="83" t="str">
        <f>Identitas!B9</f>
        <v>Divisi</v>
      </c>
      <c r="C9" s="182">
        <f>Identitas!D9</f>
        <v>0</v>
      </c>
      <c r="I9" s="83"/>
      <c r="K9" s="83"/>
      <c r="M9" s="83"/>
      <c r="N9" s="83"/>
    </row>
    <row r="10" spans="1:16">
      <c r="B10" s="83" t="str">
        <f>Identitas!B10</f>
        <v>Direktorat</v>
      </c>
      <c r="C10" s="182" t="str">
        <f>Identitas!D10</f>
        <v>Resources &amp; Innovation</v>
      </c>
      <c r="I10" s="83"/>
      <c r="K10" s="83"/>
      <c r="M10" s="83"/>
      <c r="N10" s="83"/>
    </row>
    <row r="12" ht="36" spans="1:16">
      <c r="A12" s="275" t="s">
        <v>19</v>
      </c>
      <c r="B12" s="275" t="s">
        <v>20</v>
      </c>
      <c r="C12" s="275" t="s">
        <v>21</v>
      </c>
      <c r="D12" s="275" t="s">
        <v>22</v>
      </c>
      <c r="E12" s="275" t="s">
        <v>23</v>
      </c>
      <c r="F12" s="275" t="s">
        <v>24</v>
      </c>
      <c r="G12" s="275" t="s">
        <v>25</v>
      </c>
      <c r="H12" s="275" t="s">
        <v>26</v>
      </c>
      <c r="I12" s="275" t="s">
        <v>27</v>
      </c>
      <c r="J12" s="275" t="s">
        <v>28</v>
      </c>
      <c r="K12" s="275" t="s">
        <v>29</v>
      </c>
      <c r="L12" s="275" t="s">
        <v>28</v>
      </c>
      <c r="M12" s="276" t="s">
        <v>30</v>
      </c>
      <c r="N12" s="186" t="s">
        <v>31</v>
      </c>
      <c r="O12" s="186" t="s">
        <v>32</v>
      </c>
      <c r="P12" s="186" t="s">
        <v>33</v>
      </c>
    </row>
    <row r="13" ht="52.15" customHeight="1" spans="1:16">
      <c r="A13" s="277">
        <v>1</v>
      </c>
      <c r="B13" s="278" t="s">
        <v>323</v>
      </c>
      <c r="C13" s="278" t="s">
        <v>324</v>
      </c>
      <c r="D13" s="279" t="s">
        <v>325</v>
      </c>
      <c r="E13" s="279" t="s">
        <v>326</v>
      </c>
      <c r="F13" s="279" t="s">
        <v>327</v>
      </c>
      <c r="G13" s="279" t="s">
        <v>328</v>
      </c>
      <c r="H13" s="279" t="s">
        <v>329</v>
      </c>
      <c r="I13" s="280">
        <v>5</v>
      </c>
      <c r="J13" s="281" t="s">
        <v>329</v>
      </c>
      <c r="K13" s="280">
        <v>1</v>
      </c>
      <c r="L13" s="281" t="s">
        <v>325</v>
      </c>
      <c r="M13" s="194">
        <f t="shared" ref="M13:M21" si="0">I13-K13</f>
        <v>4</v>
      </c>
      <c r="N13" s="194" t="str" cm="1">
        <f t="array" ref="N13">_xlfn.IFS(M13&gt;=2,"Major Positive Gap",M13&gt;=1,"Minor Positive Gap",M13&gt;=0,"No Gap",M13&gt;=-1,"Minor Negative Gap",M13&lt;=-2,"Major Negative Gap")</f>
        <v>Major Positive Gap</v>
      </c>
      <c r="O13" s="85" t="str" cm="1">
        <f t="array" ref="O13">_xlfn.SWITCH(N13,"No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3" s="90" t="str" cm="1">
        <f t="array" ref="P13">_xlfn.SWITCH(N13,"No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4" ht="49.15" customHeight="1" spans="1:16">
      <c r="A14" s="281">
        <v>2</v>
      </c>
      <c r="B14" s="278" t="s">
        <v>330</v>
      </c>
      <c r="C14" s="278" t="s">
        <v>331</v>
      </c>
      <c r="D14" s="279" t="s">
        <v>332</v>
      </c>
      <c r="E14" s="279" t="s">
        <v>333</v>
      </c>
      <c r="F14" s="279" t="s">
        <v>334</v>
      </c>
      <c r="G14" s="279" t="s">
        <v>335</v>
      </c>
      <c r="H14" s="279" t="s">
        <v>336</v>
      </c>
      <c r="I14" s="280">
        <v>1</v>
      </c>
      <c r="J14" s="281" t="s">
        <v>332</v>
      </c>
      <c r="K14" s="280">
        <v>2</v>
      </c>
      <c r="L14" s="281" t="s">
        <v>333</v>
      </c>
      <c r="M14" s="194">
        <f t="shared" si="0"/>
        <v>-1</v>
      </c>
      <c r="N14" s="194" t="str" cm="1">
        <f t="array" ref="N14">_xlfn.IFS(M14&gt;=2,"Major Positive Gap",M14&gt;=1,"Minor Positive Gap",M14&gt;=0,"No Gap",M14&gt;=-1,"Minor Negative Gap",M14&lt;=-2,"Major Negative Gap")</f>
        <v>Minor Negative Gap</v>
      </c>
      <c r="O14" s="85" t="str" cm="1">
        <f t="array" ref="O14">_xlfn.SWITCH(N14,"No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4" s="90" t="str" cm="1">
        <f t="array" ref="P14">_xlfn.SWITCH(N14,"No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5" ht="36" spans="1:16">
      <c r="A15" s="281">
        <v>3</v>
      </c>
      <c r="B15" s="278" t="s">
        <v>337</v>
      </c>
      <c r="C15" s="278" t="s">
        <v>338</v>
      </c>
      <c r="D15" s="279" t="s">
        <v>339</v>
      </c>
      <c r="E15" s="279" t="s">
        <v>340</v>
      </c>
      <c r="F15" s="279" t="s">
        <v>341</v>
      </c>
      <c r="G15" s="279" t="s">
        <v>342</v>
      </c>
      <c r="H15" s="279" t="s">
        <v>343</v>
      </c>
      <c r="I15" s="280">
        <v>2</v>
      </c>
      <c r="J15" s="281" t="s">
        <v>340</v>
      </c>
      <c r="K15" s="280">
        <v>3</v>
      </c>
      <c r="L15" s="281" t="s">
        <v>341</v>
      </c>
      <c r="M15" s="194">
        <f t="shared" si="0"/>
        <v>-1</v>
      </c>
      <c r="N15" s="194" t="str" cm="1">
        <f t="array" ref="N15">_xlfn.IFS(M15&gt;=2,"Major Positive Gap",M15&gt;=1,"Minor Positive Gap",M15&gt;=0,"No Gap",M15&gt;=-1,"Minor Negative Gap",M15&lt;=-2,"Major Negative Gap")</f>
        <v>Minor Negative Gap</v>
      </c>
      <c r="O15" s="85" t="str" cm="1">
        <f t="array" ref="O15">_xlfn.SWITCH(N15,"No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5" s="90" t="str" cm="1">
        <f t="array" ref="P15">_xlfn.SWITCH(N15,"No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6" ht="36" spans="1:16">
      <c r="A16" s="277">
        <v>4</v>
      </c>
      <c r="B16" s="278" t="s">
        <v>344</v>
      </c>
      <c r="C16" s="278" t="s">
        <v>345</v>
      </c>
      <c r="D16" s="279" t="s">
        <v>346</v>
      </c>
      <c r="E16" s="279" t="s">
        <v>347</v>
      </c>
      <c r="F16" s="279" t="s">
        <v>348</v>
      </c>
      <c r="G16" s="279" t="s">
        <v>349</v>
      </c>
      <c r="H16" s="279" t="s">
        <v>350</v>
      </c>
      <c r="I16" s="280">
        <v>3</v>
      </c>
      <c r="J16" s="281" t="s">
        <v>348</v>
      </c>
      <c r="K16" s="280">
        <v>4</v>
      </c>
      <c r="L16" s="281" t="s">
        <v>349</v>
      </c>
      <c r="M16" s="194">
        <f t="shared" si="0"/>
        <v>-1</v>
      </c>
      <c r="N16" s="194" t="str" cm="1">
        <f t="array" ref="N16">_xlfn.IFS(M16&gt;=2,"Major Positive Gap",M16&gt;=1,"Minor Positive Gap",M16&gt;=0,"No Gap",M16&gt;=-1,"Minor Negative Gap",M16&lt;=-2,"Major Negative Gap")</f>
        <v>Minor Negative Gap</v>
      </c>
      <c r="O16" s="85" t="str" cm="1">
        <f t="array" ref="O16">_xlfn.SWITCH(N16,"No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6" s="90" t="str" cm="1">
        <f t="array" ref="P16">_xlfn.SWITCH(N16,"No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7" ht="48" spans="1:16">
      <c r="A17" s="281">
        <v>5</v>
      </c>
      <c r="B17" s="278" t="s">
        <v>351</v>
      </c>
      <c r="C17" s="279" t="s">
        <v>352</v>
      </c>
      <c r="D17" s="279" t="s">
        <v>353</v>
      </c>
      <c r="E17" s="279" t="s">
        <v>354</v>
      </c>
      <c r="F17" s="279" t="s">
        <v>355</v>
      </c>
      <c r="G17" s="279" t="s">
        <v>356</v>
      </c>
      <c r="H17" s="279" t="s">
        <v>357</v>
      </c>
      <c r="I17" s="280">
        <v>4</v>
      </c>
      <c r="J17" s="281" t="s">
        <v>356</v>
      </c>
      <c r="K17" s="280">
        <v>5</v>
      </c>
      <c r="L17" s="281" t="s">
        <v>357</v>
      </c>
      <c r="M17" s="194">
        <f t="shared" si="0"/>
        <v>-1</v>
      </c>
      <c r="N17" s="194" t="str" cm="1">
        <f t="array" ref="N17">_xlfn.IFS(M17&gt;=2,"Major Positive Gap",M17&gt;=1,"Minor Positive Gap",M17&gt;=0,"No Gap",M17&gt;=-1,"Minor Negative Gap",M17&lt;=-2,"Major Negative Gap")</f>
        <v>Minor Negative Gap</v>
      </c>
      <c r="O17" s="85" t="str" cm="1">
        <f t="array" ref="O17">_xlfn.SWITCH(N17,"No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7" s="90" t="str" cm="1">
        <f t="array" ref="P17">_xlfn.SWITCH(N17,"No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18" ht="48" spans="1:16">
      <c r="A18" s="281">
        <v>6</v>
      </c>
      <c r="B18" s="278" t="s">
        <v>358</v>
      </c>
      <c r="C18" s="279" t="s">
        <v>359</v>
      </c>
      <c r="D18" s="279" t="s">
        <v>360</v>
      </c>
      <c r="E18" s="279" t="s">
        <v>361</v>
      </c>
      <c r="F18" s="279" t="s">
        <v>362</v>
      </c>
      <c r="G18" s="279" t="s">
        <v>363</v>
      </c>
      <c r="H18" s="279" t="s">
        <v>364</v>
      </c>
      <c r="I18" s="280">
        <v>5</v>
      </c>
      <c r="J18" s="281" t="s">
        <v>364</v>
      </c>
      <c r="K18" s="280">
        <v>1</v>
      </c>
      <c r="L18" s="281" t="s">
        <v>360</v>
      </c>
      <c r="M18" s="194">
        <f t="shared" si="0"/>
        <v>4</v>
      </c>
      <c r="N18" s="194" t="str" cm="1">
        <f t="array" ref="N18">_xlfn.IFS(M18&gt;=2,"Major Positive Gap",M18&gt;=1,"Minor Positive Gap",M18&gt;=0,"No Gap",M18&gt;=-1,"Minor Negative Gap",M18&lt;=-2,"Major Negative Gap")</f>
        <v>Major Positive Gap</v>
      </c>
      <c r="O18" s="85" t="str" cm="1">
        <f t="array" ref="O18">_xlfn.SWITCH(N18,"No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jauh lebih tinggi dari perilaku yang tampak menurut atasan</v>
      </c>
      <c r="P18" s="90" t="str" cm="1">
        <f t="array" ref="P18">_xlfn.SWITCH(N18,"No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Ada potensi blind spot; perilaku belum terlihat sekuat persepsi diri</v>
      </c>
    </row>
    <row r="19" ht="48.65" customHeight="1" spans="1:16">
      <c r="A19" s="281">
        <v>7</v>
      </c>
      <c r="B19" s="278" t="s">
        <v>365</v>
      </c>
      <c r="C19" s="279" t="s">
        <v>366</v>
      </c>
      <c r="D19" s="279" t="s">
        <v>367</v>
      </c>
      <c r="E19" s="279" t="s">
        <v>368</v>
      </c>
      <c r="F19" s="279" t="s">
        <v>369</v>
      </c>
      <c r="G19" s="279" t="s">
        <v>370</v>
      </c>
      <c r="H19" s="279" t="s">
        <v>371</v>
      </c>
      <c r="I19" s="280">
        <v>1</v>
      </c>
      <c r="J19" s="281" t="s">
        <v>367</v>
      </c>
      <c r="K19" s="280">
        <v>2</v>
      </c>
      <c r="L19" s="281" t="s">
        <v>368</v>
      </c>
      <c r="M19" s="194">
        <f t="shared" si="0"/>
        <v>-1</v>
      </c>
      <c r="N19" s="194" t="str" cm="1">
        <f t="array" ref="N19">_xlfn.IFS(M19&gt;=2,"Major Positive Gap",M19&gt;=1,"Minor Positive Gap",M19&gt;=0,"No Gap",M19&gt;=-1,"Minor Negative Gap",M19&lt;=-2,"Major Negative Gap")</f>
        <v>Minor Negative Gap</v>
      </c>
      <c r="O19" s="85" t="str" cm="1">
        <f t="array" ref="O19">_xlfn.SWITCH(N19,"No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19" s="90" t="str" cm="1">
        <f t="array" ref="P19">_xlfn.SWITCH(N19,"No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0" ht="36" spans="1:16">
      <c r="A20" s="281">
        <v>8</v>
      </c>
      <c r="B20" s="278" t="s">
        <v>372</v>
      </c>
      <c r="C20" s="279" t="s">
        <v>373</v>
      </c>
      <c r="D20" s="279" t="s">
        <v>374</v>
      </c>
      <c r="E20" s="279" t="s">
        <v>375</v>
      </c>
      <c r="F20" s="279" t="s">
        <v>376</v>
      </c>
      <c r="G20" s="279" t="s">
        <v>377</v>
      </c>
      <c r="H20" s="279" t="s">
        <v>378</v>
      </c>
      <c r="I20" s="280">
        <v>2</v>
      </c>
      <c r="J20" s="281" t="s">
        <v>375</v>
      </c>
      <c r="K20" s="280">
        <v>3</v>
      </c>
      <c r="L20" s="281" t="s">
        <v>376</v>
      </c>
      <c r="M20" s="194">
        <f t="shared" si="0"/>
        <v>-1</v>
      </c>
      <c r="N20" s="194" t="str" cm="1">
        <f t="array" ref="N20">_xlfn.IFS(M20&gt;=2,"Major Positive Gap",M20&gt;=1,"Minor Positive Gap",M20&gt;=0,"No Gap",M20&gt;=-1,"Minor Negative Gap",M20&lt;=-2,"Major Negative Gap")</f>
        <v>Minor Negative Gap</v>
      </c>
      <c r="O20" s="85" t="str" cm="1">
        <f t="array" ref="O20">_xlfn.SWITCH(N20,"No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0" s="90" t="str" cm="1">
        <f t="array" ref="P20">_xlfn.SWITCH(N20,"No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1" ht="36" spans="1:16">
      <c r="A21" s="281">
        <v>9</v>
      </c>
      <c r="B21" s="278" t="s">
        <v>379</v>
      </c>
      <c r="C21" s="279" t="s">
        <v>380</v>
      </c>
      <c r="D21" s="279" t="s">
        <v>381</v>
      </c>
      <c r="E21" s="279" t="s">
        <v>382</v>
      </c>
      <c r="F21" s="279" t="s">
        <v>383</v>
      </c>
      <c r="G21" s="279" t="s">
        <v>384</v>
      </c>
      <c r="H21" s="279" t="s">
        <v>385</v>
      </c>
      <c r="I21" s="280">
        <v>3</v>
      </c>
      <c r="J21" s="281" t="s">
        <v>383</v>
      </c>
      <c r="K21" s="280">
        <v>4</v>
      </c>
      <c r="L21" s="281" t="s">
        <v>384</v>
      </c>
      <c r="M21" s="194">
        <f t="shared" si="0"/>
        <v>-1</v>
      </c>
      <c r="N21" s="194" t="str" cm="1">
        <f t="array" ref="N21">_xlfn.IFS(M21&gt;=2,"Major Positive Gap",M21&gt;=1,"Minor Positive Gap",M21&gt;=0,"No Gap",M21&gt;=-1,"Minor Negative Gap",M21&lt;=-2,"Major Negative Gap")</f>
        <v>Minor Negative Gap</v>
      </c>
      <c r="O21" s="85" t="str" cm="1">
        <f t="array" ref="O21">_xlfn.SWITCH(N21,"No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1" s="90" t="str" cm="1">
        <f t="array" ref="P21">_xlfn.SWITCH(N21,"No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2" ht="49.15" customHeight="1" spans="1:16">
      <c r="A22" s="281">
        <v>10</v>
      </c>
      <c r="B22" s="278" t="s">
        <v>386</v>
      </c>
      <c r="C22" s="279" t="s">
        <v>387</v>
      </c>
      <c r="D22" s="282" t="s">
        <v>388</v>
      </c>
      <c r="E22" s="283" t="s">
        <v>389</v>
      </c>
      <c r="F22" s="283" t="s">
        <v>390</v>
      </c>
      <c r="G22" s="283" t="s">
        <v>391</v>
      </c>
      <c r="H22" s="283" t="s">
        <v>392</v>
      </c>
      <c r="I22" s="280">
        <v>4</v>
      </c>
      <c r="J22" s="281" t="s">
        <v>391</v>
      </c>
      <c r="K22" s="280">
        <v>5</v>
      </c>
      <c r="L22" s="281" t="s">
        <v>392</v>
      </c>
      <c r="M22" s="194">
        <f t="shared" ref="M22:M23" si="1">I22-K22</f>
        <v>-1</v>
      </c>
      <c r="N22" s="194" t="str" cm="1">
        <f t="array" ref="N22">_xlfn.IFS(M22&gt;=2,"Major Positive Gap",M22&gt;=1,"Minor Positive Gap",M22&gt;=0,"No Gap",M22&gt;=-1,"Minor Negative Gap",M22&lt;=-2,"Major Negative Gap")</f>
        <v>Minor Negative Gap</v>
      </c>
      <c r="O22" s="85" t="str" cm="1">
        <f t="array" ref="O22">_xlfn.SWITCH(N22,"No Gap","persepsi diri Selaras dengan penilaian Atasan","Minor Positive Gap","Self-assessment sedikit lebih tinggi dari superior assessment","Major Positive Gap","Self-assessment jauh lebih tinggi dari perilaku yang tampak menurut atasan","Minor Negative Gap","Self-assessment sedikit lebih rendah dari superior assessment","Major Negative Gap","Self-assessment jauh lebih rendah dari perilaku yang tampak menurut atasan","")</f>
        <v>Self-assessment sedikit lebih rendah dari superior assessment</v>
      </c>
      <c r="P22" s="90" t="str" cm="1">
        <f t="array" ref="P22">_xlfn.SWITCH(N22,"No Gap","persepsi diri Selaras dengan perilaku yang ditunjukan","Minor Positive Gap","Individu merasa sudah sangat baik, tetapi atasan melihat baru cukup baik","Major Positive Gap","Ada potensi blind spot; perilaku belum terlihat sekuat persepsi diri","Minor Negative Gap","Individu mungkin kurang percaya diri atau belum menyadari kekuatannya","Major Negative Gap","Ada hidden strength; individu tidak menyadari bahwa perilakunya sudah terlihat kuat","")</f>
        <v>Individu mungkin kurang percaya diri atau belum menyadari kekuatannya</v>
      </c>
    </row>
    <row r="23" s="179" customFormat="1" ht="26.5" customHeight="1" spans="1:16">
      <c r="A23" s="284" t="s">
        <v>104</v>
      </c>
      <c r="B23" s="285"/>
      <c r="C23" s="285"/>
      <c r="D23" s="285"/>
      <c r="E23" s="285"/>
      <c r="F23" s="285"/>
      <c r="G23" s="285"/>
      <c r="H23" s="285"/>
      <c r="I23" s="286">
        <f>AVERAGE(I13:J22)</f>
        <v>3</v>
      </c>
      <c r="J23" s="287">
        <f>AVERAGE(J13:K22)</f>
        <v>3</v>
      </c>
      <c r="K23" s="286">
        <f>AVERAGE(K13:L22)</f>
        <v>3</v>
      </c>
      <c r="L23" s="287"/>
      <c r="M23" s="288">
        <f t="shared" si="1"/>
        <v>0</v>
      </c>
      <c r="N23" s="289" t="str" cm="1">
        <f t="array" ref="N23">_xlfn.IFS(VALUE(M23)&gt;=1,"Major Positive Gap",VALUE(M23)&gt;=0.5,"Minor Positive Gap",VALUE(M23)&gt;=-0.49,"Aligned",VALUE(M23)&gt;=-0.99,"Minor Negative Gap",VALUE(M23)&lt;=-1,"Major Negative Gap")</f>
        <v>Aligned</v>
      </c>
      <c r="O23" s="290" t="str" cm="1">
        <f t="array" ref="O23">_xlfn.SWITCH(N23,"Aligned","Aligned Perception","Minor Positive Gap","Slight Overestimation","Major Positive Gap","Significant Overestimation / Potential Blind Spot","Minor Negative Gap","Slight Underestimation","Major Negative Gap","Significant Underestimation / Hidden Strength","")</f>
        <v>Aligned Perception</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theme="7" tint="0.399975585192419"/>
  </sheetPr>
  <dimension ref="A2:I146"/>
  <sheetViews>
    <sheetView zoomScale="55" zoomScaleNormal="55" workbookViewId="0">
      <selection activeCell="N13" sqref="A12:P23"/>
    </sheetView>
  </sheetViews>
  <sheetFormatPr defaultColWidth="9" defaultRowHeight="14"/>
  <cols>
    <col min="1" max="1" width="33.8363636363636" customWidth="1"/>
    <col min="2" max="2" width="20.7545454545455" customWidth="1"/>
    <col min="3" max="3" width="22.8363636363636" customWidth="1"/>
    <col min="4" max="5" width="50.7545454545455" customWidth="1"/>
    <col min="6" max="8" width="50.7545454545455" style="212" customWidth="1"/>
    <col min="9" max="9" width="40.7545454545455" style="212" customWidth="1"/>
  </cols>
  <sheetData>
    <row r="2" s="83" customFormat="1" spans="1:9">
      <c r="A2" s="83" t="str">
        <f>Identitas!B2</f>
        <v>Nama </v>
      </c>
      <c r="B2" s="182" t="str">
        <f>Identitas!D2</f>
        <v>Febrian Dwi Christian</v>
      </c>
    </row>
    <row r="3" s="83" customFormat="1" spans="1:9">
      <c r="A3" s="83" t="str">
        <f>Identitas!B3</f>
        <v>Nama Atasan yang menilai</v>
      </c>
      <c r="B3" s="182" t="str">
        <f>Identitas!D3</f>
        <v>Julia Edwita</v>
      </c>
    </row>
    <row r="4" s="83" customFormat="1" spans="1:9">
      <c r="A4" s="83" t="str">
        <f>Identitas!B4</f>
        <v>Level Saat Ini</v>
      </c>
      <c r="B4" s="182" t="str">
        <f>Identitas!D4</f>
        <v>Officer</v>
      </c>
    </row>
    <row r="5" s="83" customFormat="1" spans="1:9">
      <c r="A5" s="83" t="str">
        <f>Identitas!B5</f>
        <v>Level Tujuan</v>
      </c>
      <c r="B5" s="182" t="str">
        <f>Identitas!D5</f>
        <v>Analyst</v>
      </c>
    </row>
    <row r="6" s="83" customFormat="1" spans="1:9">
      <c r="A6" s="83" t="str">
        <f>Identitas!B6</f>
        <v>Tanggal Assesment</v>
      </c>
      <c r="B6" s="182">
        <f>Identitas!D6</f>
        <v>46045.7212152778</v>
      </c>
    </row>
    <row r="7" s="83" customFormat="1" spans="1:9">
      <c r="A7" s="83" t="str">
        <f>Identitas!B7</f>
        <v>Unit</v>
      </c>
      <c r="B7" s="182" t="str">
        <f>Identitas!D7</f>
        <v>Human Capital Operation &amp; Service</v>
      </c>
    </row>
    <row r="8" s="83" customFormat="1" spans="1:9">
      <c r="A8" s="83" t="str">
        <f>Identitas!B8</f>
        <v>Departemen</v>
      </c>
      <c r="B8" s="182" t="str">
        <f>Identitas!D8</f>
        <v>Human Capital Shared Service</v>
      </c>
    </row>
    <row r="9" s="83" customFormat="1" spans="1:9">
      <c r="A9" s="83" t="str">
        <f>Identitas!B9</f>
        <v>Divisi</v>
      </c>
      <c r="B9" s="182">
        <f>Identitas!D9</f>
        <v>0</v>
      </c>
    </row>
    <row r="10" s="83" customFormat="1" spans="1:9">
      <c r="A10" s="83" t="str">
        <f>Identitas!B10</f>
        <v>Direktorat</v>
      </c>
      <c r="B10" s="182" t="str">
        <f>Identitas!D10</f>
        <v>Resources &amp; Innovation</v>
      </c>
    </row>
    <row r="11" s="83" customFormat="1" spans="1:9">
      <c r="C11" s="182"/>
    </row>
    <row r="12" s="206" customFormat="1" ht="16" spans="1:9">
      <c r="A12" s="213" t="s">
        <v>393</v>
      </c>
      <c r="F12" s="214"/>
      <c r="G12" s="214"/>
      <c r="H12" s="214"/>
      <c r="I12" s="214"/>
    </row>
    <row r="13" s="206" customFormat="1" ht="16" spans="1:9">
      <c r="A13" s="215" t="s">
        <v>394</v>
      </c>
      <c r="B13" s="215" t="s">
        <v>395</v>
      </c>
      <c r="C13" s="215" t="s">
        <v>396</v>
      </c>
      <c r="D13" s="216" t="s">
        <v>397</v>
      </c>
      <c r="E13" s="217" t="s">
        <v>398</v>
      </c>
      <c r="F13" s="218" t="s">
        <v>399</v>
      </c>
      <c r="G13" s="219" t="s">
        <v>400</v>
      </c>
      <c r="H13" s="220" t="s">
        <v>401</v>
      </c>
    </row>
    <row r="14" s="206" customFormat="1" ht="160.15" customHeight="1" spans="1:9">
      <c r="A14" s="221" t="s">
        <v>402</v>
      </c>
      <c r="B14" s="222">
        <f>'mental agility'!K23</f>
        <v>3</v>
      </c>
      <c r="C14" s="223" t="str">
        <f>IF(B14&gt;=4.5,"Excellent",IF(B14&gt;=4,"Strong",IF(B14&gt;=3,"Meet","Needs Development")))</f>
        <v>Meet</v>
      </c>
      <c r="D14" s="224" t="str" cm="1">
        <f t="array" ref="D14">_xlfn.TEXTJOIN(CHAR(10),TRUE,IF('mental agility'!K13:K22=5,"• "&amp;'mental agility'!B13:B22,""))</f>
        <v>• Intellectual Synthesis
(menghubungkan berbagai informasi)
• Tolerance for Ambiguity 
(mampu memimpin dalam uncertainty tinggi)</v>
      </c>
      <c r="E14" s="225" t="str" cm="1">
        <f t="array" ref="E14">_xlfn.TEXTJOIN(CHAR(10),TRUE,IF('mental agility'!K13:K22=4,"• "&amp;'mental agility'!B13:B22,""))</f>
        <v>• Explaining Complexity
(menjelaskan hal kompleks secara sederhana)
• Comfort with Ambiguity
(tetap efektif di situasi tidak jelas)</v>
      </c>
      <c r="F14" s="226" t="str" cm="1">
        <f t="array" ref="F14">_xlfn.TEXTJOIN(CHAR(10),TRUE,IF('mental agility'!K13:K22=3,"• "&amp;'mental agility'!B13:B22,""))</f>
        <v>• Critical Thinking &amp; Inquisitiveness
(mempertanyakan &amp; mengevaluasi)
• Breaking Patterned thinking
(menciptakan solusi baru)</v>
      </c>
      <c r="G14" s="227" t="str" cm="1">
        <f t="array" ref="G14">_xlfn.TEXTJOIN(CHAR(10),TRUE,IF('mental agility'!K13:K22=2,"• "&amp;'mental agility'!B13:B22,""))</f>
        <v>• Root Cause Analysis
(mencari penyebab masalah)
• Creative Exploration
(mencari pendekatan baru)</v>
      </c>
      <c r="H14" s="228" t="str" cm="1">
        <f t="array" ref="H14">_xlfn.TEXTJOIN(CHAR(10),TRUE,IF('mental agility'!K13:K22=1,"• "&amp;'mental agility'!B13:B22,""))</f>
        <v>• Analytical Thinking
(memahami data &amp; fakta dasar)
• Integrating Diverse Perspective
(pengambilan keputusan melihat dari berbagai sudut pandang)</v>
      </c>
    </row>
    <row r="15" s="206" customFormat="1" ht="160.15" customHeight="1" spans="1:9">
      <c r="A15" s="221" t="s">
        <v>403</v>
      </c>
      <c r="B15" s="222">
        <f>'people agility'!K23</f>
        <v>3</v>
      </c>
      <c r="C15" s="223" t="str">
        <f t="shared" ref="C15:C18" si="0">IF(B15&gt;=4.5,"Excellent",IF(B15&gt;=4,"Strong",IF(B15&gt;=3,"Meet","Needs Development")))</f>
        <v>Meet</v>
      </c>
      <c r="D15" s="229" t="str" cm="1">
        <f t="array" ref="D15">_xlfn.TEXTJOIN(CHAR(10),TRUE,IF('people agility'!K13:K22=5,"• "&amp;'people agility'!B13:B22,""))</f>
        <v>• Valuing Diverse Opinions
(Menghargai opini berbeda dalam pengambilan keputusan)
• Conflict Mediation
(menjadi penengah &amp; penyatu pihak berbeda)</v>
      </c>
      <c r="E15" s="230" t="str" cm="1">
        <f t="array" ref="E15">_xlfn.TEXTJOIN(CHAR(10),TRUE,IF('people agility'!K13:K22=4,"• "&amp;'people agility'!B13:B22,""))</f>
        <v>• Collaboration with Diversity
(Bekerja efektif dalam keberagaman)
• Managing Challenging  Stakeholder
(Mengelola relasi berkelanjutan dengan stakeholder sulit)</v>
      </c>
      <c r="F15" s="226" t="str" cm="1">
        <f t="array" ref="F15">_xlfn.TEXTJOIN(CHAR(10),TRUE,IF('people agility'!K13:K22=3,"• "&amp;'people agility'!B13:B22,""))</f>
        <v>• Genuine Curiosity about Others
(rasa ingin tahu tulus pada orang lain)
• Conflict Navigation
(menghadapi konflik secara konstruktif)</v>
      </c>
      <c r="G15" s="227" t="str" cm="1">
        <f t="array" ref="G15">_xlfn.TEXTJOIN(CHAR(10),TRUE,IF('people agility'!K13:K22=2,"• "&amp;'people agility'!B13:B22,""))</f>
        <v>• Openness to Feedback
(menerima &amp; mencari masukan)
• Empathy
(Merasakan &amp; memahami emosi orang lain)</v>
      </c>
      <c r="H15" s="228" t="str" cm="1">
        <f t="array" ref="H15">_xlfn.TEXTJOIN(CHAR(10),TRUE,IF('people agility'!K13:K22=1,"• "&amp;'people agility'!B13:B22,""))</f>
        <v>•  Listening for understanding
(mendengarkan &amp; memahami dasar)
• Understanding Different Perspectives
(Analisis multi-sudut pandang untuk pemahaman mendalam)</v>
      </c>
    </row>
    <row r="16" s="206" customFormat="1" ht="160.15" customHeight="1" spans="1:9">
      <c r="A16" s="221" t="s">
        <v>404</v>
      </c>
      <c r="B16" s="222">
        <f>'change agility'!K23</f>
        <v>3</v>
      </c>
      <c r="C16" s="223" t="str">
        <f t="shared" si="0"/>
        <v>Meet</v>
      </c>
      <c r="D16" s="224" t="str" cm="1">
        <f t="array" ref="D16">_xlfn.TEXTJOIN(CHAR(10),TRUE,IF('change agility'!K13:K22=5,"• "&amp;'change agility'!B13:B22,""))</f>
        <v>• Adaptive Learning &amp; Experimentation
(aktif belajar hal baru)
• Proactive in Anticipating Change
(mengantisipasi perubahan sebelum terjadi)</v>
      </c>
      <c r="E16" s="225" t="str" cm="1">
        <f t="array" ref="E16">_xlfn.TEXTJOIN(CHAR(10),TRUE,IF('change agility'!K13:K22=4,"• "&amp;'change agility'!B13:B22,""))</f>
        <v>• Managing Resistance to Change
(pengelolaan resistensi)
• Calmness in Uncertainty
(tetap tenang di kondisi tidak pasti)</v>
      </c>
      <c r="F16" s="226" t="str" cm="1">
        <f t="array" ref="F16">_xlfn.TEXTJOIN(CHAR(10),TRUE,IF('change agility'!K13:K22=3,"• "&amp;'change agility'!B13:B22,""))</f>
        <v>• Comfort with Sudden Change
(tetap bekerja saat perubahan mendadak)
• Risk-Taking for Innovation
(berani mencoba pendekatan baru)</v>
      </c>
      <c r="G16" s="227" t="str" cm="1">
        <f t="array" ref="G16">_xlfn.TEXTJOIN(CHAR(10),TRUE,IF('change agility'!K13:K22=2,"• "&amp;'change agility'!B13:B22,""))</f>
        <v>• Comfort with New Ways of Working
(mulai nyaman dengan cara kerja baru)
• Proposing New Ideas
(mulai menginisiasi perubahan)</v>
      </c>
      <c r="H16" s="228" t="str" cm="1">
        <f t="array" ref="H16">_xlfn.TEXTJOIN(CHAR(10),TRUE,IF('change agility'!K13:K22=1,"• "&amp;'change agility'!B13:B22,""))</f>
        <v>• Adapting to New Systems
(mengikuti perubahan dasar)
• Viewing Change as Opportunity
(melihat perubahan sebagai peluang)</v>
      </c>
    </row>
    <row r="17" s="206" customFormat="1" ht="210.65" customHeight="1" spans="1:8">
      <c r="A17" s="221" t="s">
        <v>405</v>
      </c>
      <c r="B17" s="222">
        <f>'result agility'!K23</f>
        <v>3</v>
      </c>
      <c r="C17" s="223" t="str">
        <f t="shared" si="0"/>
        <v>Meet</v>
      </c>
      <c r="D17" s="224" t="str" cm="1">
        <f t="array" ref="D17">_xlfn.TEXTJOIN(CHAR(10),TRUE,IF('result agility'!K13:K22=5,"• "&amp;'result agility'!B13:B22,""))</f>
        <v>• Learning from Outcomes
(belajar dari hasil &amp; kesalahan tim)
• Drive for High Performance
(sistem perencanaan berkinerja tinggi)</v>
      </c>
      <c r="E17" s="225" t="str" cm="1">
        <f t="array" ref="E17">_xlfn.TEXTJOIN(CHAR(10),TRUE,IF('result agility'!K13:K22=4,"• "&amp;'result agility'!B13:B22,""))</f>
        <v>• Tenacity &amp; Strategic Persistence
(menjaga komitmen di tengah tantangan)
• Agile Problem-Solving Under Pressure
(rencana di tengah ketidakpastian)</v>
      </c>
      <c r="F17" s="226" t="str" cm="1">
        <f t="array" ref="F17">_xlfn.TEXTJOIN(CHAR(10),TRUE,IF('result agility'!K13:K22=3,"• "&amp;'result agility'!B13:B22,""))</f>
        <v>• Driving for impact
(fokus pada hasil kerja)
• Adapting Strategy When Needed
(mengubah strategi untuk hasil lebih baik)</v>
      </c>
      <c r="G17" s="227" t="str" cm="1">
        <f t="array" ref="G17">_xlfn.TEXTJOIN(CHAR(10),TRUE,IF('result agility'!K13:K22=2,"• "&amp;'result agility'!B13:B22,""))</f>
        <v>• Action-Oriented &amp; Takes Initiative 
(proaktif bertindak)
• Focus Under Pressure
(tetap fokus dalam tekanan tinggi)</v>
      </c>
      <c r="H17" s="228" t="str" cm="1">
        <f t="array" ref="H17">_xlfn.TEXTJOIN(CHAR(10),TRUE,IF('result agility'!K13:K22=1,"• "&amp;'result agility'!B13:B22,""))</f>
        <v>• Task Completion Quality 
(menyelesaikan tugas dengan baik)
• Deciding with Incomplete Data
(mengambil keputusan dengan data/informasi terbatas)</v>
      </c>
    </row>
    <row r="18" s="206" customFormat="1" ht="160.15" customHeight="1" spans="1:8">
      <c r="A18" s="221" t="s">
        <v>406</v>
      </c>
      <c r="B18" s="222">
        <f>'self awareness'!K23</f>
        <v>3</v>
      </c>
      <c r="C18" s="223" t="str">
        <f t="shared" si="0"/>
        <v>Meet</v>
      </c>
      <c r="D18" s="224" t="str" cm="1">
        <f t="array" ref="D18">_xlfn.TEXTJOIN(CHAR(10),TRUE,IF('self awareness'!K13:K22=5,"• "&amp;'self awareness'!B13:B22,""))</f>
        <v>• Reflective Practices
(melakukan refleksi diri)
• Deep Pattern Recognition &amp; Bias Awareness
(refleksi diri mendalam &amp; autentik)</v>
      </c>
      <c r="E18" s="225" t="str" cm="1">
        <f t="array" ref="E18">_xlfn.TEXTJOIN(CHAR(10),TRUE,IF('self awareness'!K13:K22=4,"• "&amp;'self awareness'!B13:B22,""))</f>
        <v>• Understanding Strengths &amp; Weaknesses
(memahami kekuatan &amp; kelemahan)
• Managing Emotions Effectively
(mengelola emosi secara matang)</v>
      </c>
      <c r="F18" s="226" t="str" cm="1">
        <f t="array" ref="F18">_xlfn.TEXTJOIN(CHAR(10),TRUE,IF('self awareness'!K13:K22=3,"• "&amp;'self awareness'!B13:B22,""))</f>
        <v>• Seeking Feedback on Performance
(mencari feedback)
• Awareness of Impact on Others
(memahami dampak perilaku terhadap orang lain)</v>
      </c>
      <c r="G18" s="227" t="str" cm="1">
        <f t="array" ref="G18">_xlfn.TEXTJOIN(CHAR(10),TRUE,IF('self awareness'!K13:K22=2,"• "&amp;'self awareness'!B13:B22,""))</f>
        <v>• Admitting Mistakes
(mengakui kesalahan)
• Objective Self-Assessment
(menilai diri secara objektif)</v>
      </c>
      <c r="H18" s="228" t="str" cm="1">
        <f t="array" ref="H18">_xlfn.TEXTJOIN(CHAR(10),TRUE,IF('self awareness'!K13:K22=1,"• "&amp;'self awareness'!B13:B22,""))</f>
        <v>• Openness to Criticism
(menerima kritik dasar)
• Proactive Self-Development for Adaptation
(aktif mengembangkan diri)</v>
      </c>
    </row>
    <row r="19" s="206" customFormat="1" ht="27" customHeight="1" spans="1:8">
      <c r="A19" s="231" t="s">
        <v>407</v>
      </c>
      <c r="B19" s="232">
        <f>AVERAGE(B14:B18)</f>
        <v>3</v>
      </c>
      <c r="C19" s="233" t="str">
        <f>IF(B19&gt;=4.5,"Highly Agile",IF(B19&gt;=4,"Agile",IF(B19&gt;=3,"Moderately Agile","Developing")))</f>
        <v>Moderately Agile</v>
      </c>
      <c r="D19" s="234" t="s">
        <v>408</v>
      </c>
      <c r="E19" s="235"/>
      <c r="F19" s="235"/>
      <c r="G19" s="214"/>
      <c r="H19" s="214"/>
    </row>
    <row r="20" ht="15.5" spans="1:8">
      <c r="D20" s="236"/>
    </row>
    <row r="22" s="207" customFormat="1" ht="16" spans="1:8">
      <c r="A22" s="213" t="s">
        <v>409</v>
      </c>
      <c r="B22" s="237"/>
      <c r="C22" s="237"/>
      <c r="D22" s="237"/>
      <c r="E22" s="237"/>
    </row>
    <row r="23" s="207" customFormat="1" ht="15" spans="1:8">
      <c r="A23" s="207" t="s">
        <v>410</v>
      </c>
      <c r="B23" s="237"/>
      <c r="C23" s="237"/>
      <c r="D23" s="237"/>
    </row>
    <row r="24" s="207" customFormat="1" ht="30" spans="1:8">
      <c r="A24" s="238" t="s">
        <v>411</v>
      </c>
      <c r="B24" s="239" t="s">
        <v>412</v>
      </c>
      <c r="C24" s="239" t="s">
        <v>413</v>
      </c>
      <c r="D24" s="240" t="s">
        <v>414</v>
      </c>
      <c r="E24" s="238" t="s">
        <v>415</v>
      </c>
    </row>
    <row r="25" s="207" customFormat="1" ht="30" spans="1:8">
      <c r="A25" s="241" t="str">
        <f>'mental agility'!B13</f>
        <v>Analytical Thinking
(memahami data &amp; fakta dasar)</v>
      </c>
      <c r="B25" s="241">
        <f>'mental agility'!I13</f>
        <v>5</v>
      </c>
      <c r="C25" s="241">
        <f>'mental agility'!K13</f>
        <v>1</v>
      </c>
      <c r="D25" s="242">
        <f>'mental agility'!M13</f>
        <v>4</v>
      </c>
      <c r="E25" s="243" t="str">
        <f>'mental agility'!N13</f>
        <v>Major Positive Gap</v>
      </c>
    </row>
    <row r="26" s="207" customFormat="1" ht="30" spans="1:8">
      <c r="A26" s="241" t="str">
        <f>'mental agility'!B14</f>
        <v>Root Cause Analysis
(mencari penyebab masalah)</v>
      </c>
      <c r="B26" s="241">
        <f>'mental agility'!I14</f>
        <v>1</v>
      </c>
      <c r="C26" s="241">
        <f>'mental agility'!K14</f>
        <v>2</v>
      </c>
      <c r="D26" s="242">
        <f>'mental agility'!M14</f>
        <v>-1</v>
      </c>
      <c r="E26" s="243" t="str">
        <f>'mental agility'!N14</f>
        <v>Minor Negative Gap</v>
      </c>
    </row>
    <row r="27" s="207" customFormat="1" ht="60" spans="1:8">
      <c r="A27" s="241" t="str">
        <f>'mental agility'!B15</f>
        <v>Critical Thinking &amp; Inquisitiveness
(mempertanyakan &amp; mengevaluasi)</v>
      </c>
      <c r="B27" s="241">
        <f>'mental agility'!I15</f>
        <v>2</v>
      </c>
      <c r="C27" s="241">
        <f>'mental agility'!K15</f>
        <v>3</v>
      </c>
      <c r="D27" s="242">
        <f>'mental agility'!M15</f>
        <v>-1</v>
      </c>
      <c r="E27" s="243" t="str">
        <f>'mental agility'!N15</f>
        <v>Minor Negative Gap</v>
      </c>
    </row>
    <row r="28" s="207" customFormat="1" ht="45" spans="1:8">
      <c r="A28" s="241" t="str">
        <f>'mental agility'!B16</f>
        <v>Explaining Complexity
(menjelaskan hal kompleks secara sederhana)</v>
      </c>
      <c r="B28" s="241">
        <f>'mental agility'!I16</f>
        <v>3</v>
      </c>
      <c r="C28" s="241">
        <f>'mental agility'!K16</f>
        <v>4</v>
      </c>
      <c r="D28" s="242">
        <f>'mental agility'!M16</f>
        <v>-1</v>
      </c>
      <c r="E28" s="243" t="str">
        <f>'mental agility'!N16</f>
        <v>Minor Negative Gap</v>
      </c>
    </row>
    <row r="29" s="207" customFormat="1" ht="45" spans="1:8">
      <c r="A29" s="241" t="str">
        <f>'mental agility'!B17</f>
        <v>Intellectual Synthesis
(menghubungkan berbagai informasi)</v>
      </c>
      <c r="B29" s="241">
        <f>'mental agility'!I17</f>
        <v>4</v>
      </c>
      <c r="C29" s="241">
        <f>'mental agility'!K17</f>
        <v>5</v>
      </c>
      <c r="D29" s="242">
        <f>'mental agility'!M17</f>
        <v>-1</v>
      </c>
      <c r="E29" s="243" t="str">
        <f>'mental agility'!N17</f>
        <v>Minor Negative Gap</v>
      </c>
    </row>
    <row r="30" s="207" customFormat="1" ht="60" spans="1:8">
      <c r="A30" s="241" t="str">
        <f>'mental agility'!B18</f>
        <v>Integrating Diverse Perspective
(pengambilan keputusan melihat dari berbagai sudut pandang)</v>
      </c>
      <c r="B30" s="241">
        <f>'mental agility'!I18</f>
        <v>5</v>
      </c>
      <c r="C30" s="241">
        <f>'mental agility'!K18</f>
        <v>1</v>
      </c>
      <c r="D30" s="242">
        <f>'mental agility'!M18</f>
        <v>4</v>
      </c>
      <c r="E30" s="243" t="str">
        <f>'mental agility'!N18</f>
        <v>Major Positive Gap</v>
      </c>
    </row>
    <row r="31" s="207" customFormat="1" ht="30" spans="1:8">
      <c r="A31" s="241" t="str">
        <f>'mental agility'!B19</f>
        <v>Creative Exploration
(mencari pendekatan baru)</v>
      </c>
      <c r="B31" s="241">
        <f>'mental agility'!I19</f>
        <v>1</v>
      </c>
      <c r="C31" s="241">
        <f>'mental agility'!K19</f>
        <v>2</v>
      </c>
      <c r="D31" s="242">
        <f>'mental agility'!M19</f>
        <v>-1</v>
      </c>
      <c r="E31" s="243" t="str">
        <f>'mental agility'!N19</f>
        <v>Minor Negative Gap</v>
      </c>
    </row>
    <row r="32" s="207" customFormat="1" ht="30" spans="1:8">
      <c r="A32" s="241" t="str">
        <f>'mental agility'!B20</f>
        <v>Breaking Patterned thinking
(menciptakan solusi baru)</v>
      </c>
      <c r="B32" s="241">
        <f>'mental agility'!I20</f>
        <v>2</v>
      </c>
      <c r="C32" s="241">
        <f>'mental agility'!K20</f>
        <v>3</v>
      </c>
      <c r="D32" s="242">
        <f>'mental agility'!M20</f>
        <v>-1</v>
      </c>
      <c r="E32" s="243" t="str">
        <f>'mental agility'!N20</f>
        <v>Minor Negative Gap</v>
      </c>
    </row>
    <row r="33" s="207" customFormat="1" ht="45" spans="1:9">
      <c r="A33" s="241" t="str">
        <f>'mental agility'!B21</f>
        <v>Comfort with Ambiguity
(tetap efektif di situasi tidak jelas)</v>
      </c>
      <c r="B33" s="241">
        <f>'mental agility'!I21</f>
        <v>3</v>
      </c>
      <c r="C33" s="241">
        <f>'mental agility'!K21</f>
        <v>4</v>
      </c>
      <c r="D33" s="242">
        <f>'mental agility'!M21</f>
        <v>-1</v>
      </c>
      <c r="E33" s="243" t="str">
        <f>'mental agility'!N21</f>
        <v>Minor Negative Gap</v>
      </c>
      <c r="F33" s="207" t="s">
        <v>416</v>
      </c>
    </row>
    <row r="34" s="207" customFormat="1" ht="45" spans="1:9">
      <c r="A34" s="241" t="str">
        <f>'mental agility'!B22</f>
        <v>Tolerance for Ambiguity 
(mampu memimpin dalam uncertainty tinggi)</v>
      </c>
      <c r="B34" s="241">
        <f>'mental agility'!I22</f>
        <v>4</v>
      </c>
      <c r="C34" s="241">
        <f>'mental agility'!K22</f>
        <v>5</v>
      </c>
      <c r="D34" s="242">
        <f>'mental agility'!M22</f>
        <v>-1</v>
      </c>
      <c r="E34" s="243" t="str">
        <f>'mental agility'!N22</f>
        <v>Minor Negative Gap</v>
      </c>
    </row>
    <row r="35" s="207" customFormat="1" ht="30" spans="1:9">
      <c r="A35" s="240" t="s">
        <v>417</v>
      </c>
      <c r="B35" s="239">
        <f>'mental agility'!I23</f>
        <v>3</v>
      </c>
      <c r="C35" s="239">
        <f>'mental agility'!K23</f>
        <v>3</v>
      </c>
      <c r="D35" s="238">
        <f>'mental agility'!M23</f>
        <v>0</v>
      </c>
      <c r="E35" s="238" t="str">
        <f>'mental agility'!N23</f>
        <v>Aligned</v>
      </c>
    </row>
    <row r="36" spans="1:9">
      <c r="E36" s="212"/>
      <c r="H36"/>
      <c r="I36"/>
    </row>
    <row r="37" s="207" customFormat="1" ht="15" spans="1:9">
      <c r="A37" s="207" t="s">
        <v>418</v>
      </c>
      <c r="C37" s="237"/>
      <c r="D37" s="237"/>
    </row>
    <row r="38" s="207" customFormat="1" ht="30" spans="1:9">
      <c r="A38" s="244" t="s">
        <v>411</v>
      </c>
      <c r="B38" s="245" t="s">
        <v>412</v>
      </c>
      <c r="C38" s="245" t="s">
        <v>413</v>
      </c>
      <c r="D38" s="245" t="s">
        <v>414</v>
      </c>
      <c r="E38" s="244" t="s">
        <v>415</v>
      </c>
    </row>
    <row r="39" s="207" customFormat="1" ht="45" spans="1:9">
      <c r="A39" s="241" t="str">
        <f>'people agility'!B13</f>
        <v> Listening for understanding
(mendengarkan &amp; memahami dasar)</v>
      </c>
      <c r="B39" s="241">
        <f>'people agility'!I13</f>
        <v>5</v>
      </c>
      <c r="C39" s="241">
        <f>'people agility'!K13</f>
        <v>1</v>
      </c>
      <c r="D39" s="242">
        <f>'people agility'!M13</f>
        <v>4</v>
      </c>
      <c r="E39" s="243" t="str">
        <f>'people agility'!N13</f>
        <v>Major Positive Gap</v>
      </c>
    </row>
    <row r="40" s="207" customFormat="1" ht="30" spans="1:9">
      <c r="A40" s="241" t="str">
        <f>'people agility'!B14</f>
        <v>Openness to Feedback
(menerima &amp; mencari masukan)</v>
      </c>
      <c r="B40" s="241">
        <f>'people agility'!I14</f>
        <v>1</v>
      </c>
      <c r="C40" s="241">
        <f>'people agility'!K14</f>
        <v>2</v>
      </c>
      <c r="D40" s="242">
        <f>'people agility'!M14</f>
        <v>-1</v>
      </c>
      <c r="E40" s="243" t="str">
        <f>'people agility'!N14</f>
        <v>Minor Negative Gap</v>
      </c>
    </row>
    <row r="41" s="207" customFormat="1" ht="45" spans="1:9">
      <c r="A41" s="241" t="str">
        <f>'people agility'!B15</f>
        <v>Genuine Curiosity about Others
(rasa ingin tahu tulus pada orang lain)</v>
      </c>
      <c r="B41" s="241">
        <f>'people agility'!I15</f>
        <v>2</v>
      </c>
      <c r="C41" s="241">
        <f>'people agility'!K15</f>
        <v>3</v>
      </c>
      <c r="D41" s="242">
        <f>'people agility'!M15</f>
        <v>-1</v>
      </c>
      <c r="E41" s="243" t="str">
        <f>'people agility'!N15</f>
        <v>Minor Negative Gap</v>
      </c>
    </row>
    <row r="42" s="207" customFormat="1" ht="45" spans="1:9">
      <c r="A42" s="241" t="str">
        <f>'people agility'!B16</f>
        <v>Collaboration with Diversity
(Bekerja efektif dalam keberagaman)</v>
      </c>
      <c r="B42" s="241">
        <f>'people agility'!I16</f>
        <v>3</v>
      </c>
      <c r="C42" s="241">
        <f>'people agility'!K16</f>
        <v>4</v>
      </c>
      <c r="D42" s="242">
        <f>'people agility'!M16</f>
        <v>-1</v>
      </c>
      <c r="E42" s="243" t="str">
        <f>'people agility'!N16</f>
        <v>Minor Negative Gap</v>
      </c>
    </row>
    <row r="43" s="207" customFormat="1" ht="45" spans="1:9">
      <c r="A43" s="241" t="str">
        <f>'people agility'!B17</f>
        <v>Valuing Diverse Opinions
(Menghargai opini berbeda dalam pengambilan keputusan)</v>
      </c>
      <c r="B43" s="241">
        <f>'people agility'!I17</f>
        <v>4</v>
      </c>
      <c r="C43" s="241">
        <f>'people agility'!K17</f>
        <v>5</v>
      </c>
      <c r="D43" s="242">
        <f>'people agility'!M17</f>
        <v>-1</v>
      </c>
      <c r="E43" s="243" t="str">
        <f>'people agility'!N17</f>
        <v>Minor Negative Gap</v>
      </c>
    </row>
    <row r="44" s="207" customFormat="1" ht="60" spans="1:9">
      <c r="A44" s="241" t="str">
        <f>'people agility'!B18</f>
        <v>Understanding Different Perspectives
(Analisis multi-sudut pandang untuk pemahaman mendalam)</v>
      </c>
      <c r="B44" s="241">
        <f>'people agility'!I18</f>
        <v>5</v>
      </c>
      <c r="C44" s="241">
        <f>'people agility'!K18</f>
        <v>1</v>
      </c>
      <c r="D44" s="242">
        <f>'people agility'!M18</f>
        <v>4</v>
      </c>
      <c r="E44" s="243" t="str">
        <f>'people agility'!N18</f>
        <v>Major Positive Gap</v>
      </c>
    </row>
    <row r="45" s="207" customFormat="1" ht="45" spans="1:9">
      <c r="A45" s="241" t="str">
        <f>'people agility'!B19</f>
        <v>Empathy
(Merasakan &amp; memahami emosi orang lain)</v>
      </c>
      <c r="B45" s="241">
        <f>'people agility'!I19</f>
        <v>1</v>
      </c>
      <c r="C45" s="241">
        <f>'people agility'!K19</f>
        <v>2</v>
      </c>
      <c r="D45" s="242">
        <f>'people agility'!M19</f>
        <v>-1</v>
      </c>
      <c r="E45" s="243" t="str">
        <f>'people agility'!N19</f>
        <v>Minor Negative Gap</v>
      </c>
    </row>
    <row r="46" s="207" customFormat="1" ht="45" spans="1:9">
      <c r="A46" s="241" t="str">
        <f>'people agility'!B20</f>
        <v>Conflict Navigation
(menghadapi konflik secara konstruktif)</v>
      </c>
      <c r="B46" s="241">
        <f>'people agility'!I20</f>
        <v>2</v>
      </c>
      <c r="C46" s="241">
        <f>'people agility'!K20</f>
        <v>3</v>
      </c>
      <c r="D46" s="242">
        <f>'people agility'!M20</f>
        <v>-1</v>
      </c>
      <c r="E46" s="243" t="str">
        <f>'people agility'!N20</f>
        <v>Minor Negative Gap</v>
      </c>
    </row>
    <row r="47" s="207" customFormat="1" ht="75" spans="1:9">
      <c r="A47" s="241" t="str">
        <f>'people agility'!B21</f>
        <v>Managing Challenging  Stakeholder
(Mengelola relasi berkelanjutan dengan stakeholder sulit)</v>
      </c>
      <c r="B47" s="241">
        <f>'people agility'!I21</f>
        <v>3</v>
      </c>
      <c r="C47" s="241">
        <f>'people agility'!K21</f>
        <v>4</v>
      </c>
      <c r="D47" s="242">
        <f>'people agility'!M21</f>
        <v>-1</v>
      </c>
      <c r="E47" s="243" t="str">
        <f>'people agility'!N21</f>
        <v>Minor Negative Gap</v>
      </c>
    </row>
    <row r="48" s="207" customFormat="1" ht="45" spans="1:9">
      <c r="A48" s="241" t="str">
        <f>'people agility'!B22</f>
        <v>Conflict Mediation
(menjadi penengah &amp; penyatu pihak berbeda)</v>
      </c>
      <c r="B48" s="241">
        <f>'people agility'!I22</f>
        <v>4</v>
      </c>
      <c r="C48" s="241">
        <f>'people agility'!K22</f>
        <v>5</v>
      </c>
      <c r="D48" s="242">
        <f>'people agility'!M22</f>
        <v>-1</v>
      </c>
      <c r="E48" s="243" t="str">
        <f>'people agility'!N22</f>
        <v>Minor Negative Gap</v>
      </c>
    </row>
    <row r="49" s="207" customFormat="1" ht="30" spans="1:9">
      <c r="A49" s="246" t="s">
        <v>417</v>
      </c>
      <c r="B49" s="246">
        <f>'people agility'!I23</f>
        <v>3</v>
      </c>
      <c r="C49" s="246">
        <f>'people agility'!K23</f>
        <v>3</v>
      </c>
      <c r="D49" s="244">
        <f>'people agility'!M23</f>
        <v>0</v>
      </c>
      <c r="E49" s="244" t="str">
        <f>'people agility'!N23</f>
        <v>Aligned</v>
      </c>
    </row>
    <row r="50" spans="1:9">
      <c r="E50" s="212"/>
      <c r="H50"/>
      <c r="I50"/>
    </row>
    <row r="51" s="207" customFormat="1" ht="15" spans="1:9">
      <c r="A51" s="207" t="s">
        <v>419</v>
      </c>
      <c r="C51" s="237"/>
      <c r="D51" s="237"/>
    </row>
    <row r="52" s="207" customFormat="1" ht="30" spans="1:9">
      <c r="A52" s="247" t="s">
        <v>411</v>
      </c>
      <c r="B52" s="248" t="s">
        <v>412</v>
      </c>
      <c r="C52" s="248" t="s">
        <v>413</v>
      </c>
      <c r="D52" s="248" t="s">
        <v>414</v>
      </c>
      <c r="E52" s="247" t="s">
        <v>415</v>
      </c>
    </row>
    <row r="53" s="207" customFormat="1" ht="30" spans="1:9">
      <c r="A53" s="249" t="str">
        <f>'change agility'!B13</f>
        <v>Adapting to New Systems
(mengikuti perubahan dasar)</v>
      </c>
      <c r="B53" s="249">
        <f>'change agility'!I13</f>
        <v>5</v>
      </c>
      <c r="C53" s="249">
        <f>'change agility'!K13</f>
        <v>1</v>
      </c>
      <c r="D53" s="250">
        <f>'change agility'!M13</f>
        <v>4</v>
      </c>
      <c r="E53" s="251" t="str">
        <f>'change agility'!N13</f>
        <v>Major Positive Gap</v>
      </c>
    </row>
    <row r="54" s="207" customFormat="1" ht="60" spans="1:9">
      <c r="A54" s="249" t="str">
        <f>'change agility'!B14</f>
        <v>Comfort with New Ways of Working
(mulai nyaman dengan cara kerja baru)</v>
      </c>
      <c r="B54" s="249">
        <f>'change agility'!I14</f>
        <v>1</v>
      </c>
      <c r="C54" s="249">
        <f>'change agility'!K14</f>
        <v>2</v>
      </c>
      <c r="D54" s="250">
        <f>'change agility'!M14</f>
        <v>-1</v>
      </c>
      <c r="E54" s="251" t="str">
        <f>'change agility'!N14</f>
        <v>Minor Negative Gap</v>
      </c>
    </row>
    <row r="55" s="207" customFormat="1" ht="45" spans="1:9">
      <c r="A55" s="249" t="str">
        <f>'change agility'!B15</f>
        <v>Comfort with Sudden Change
(tetap bekerja saat perubahan mendadak)</v>
      </c>
      <c r="B55" s="249">
        <f>'change agility'!I15</f>
        <v>2</v>
      </c>
      <c r="C55" s="249">
        <f>'change agility'!K15</f>
        <v>3</v>
      </c>
      <c r="D55" s="250">
        <f>'change agility'!M15</f>
        <v>-1</v>
      </c>
      <c r="E55" s="251" t="str">
        <f>'change agility'!N15</f>
        <v>Minor Negative Gap</v>
      </c>
    </row>
    <row r="56" s="207" customFormat="1" ht="30" spans="1:9">
      <c r="A56" s="249" t="str">
        <f>'change agility'!B16</f>
        <v>Managing Resistance to Change
(pengelolaan resistensi)</v>
      </c>
      <c r="B56" s="249">
        <f>'change agility'!I16</f>
        <v>3</v>
      </c>
      <c r="C56" s="249">
        <f>'change agility'!K16</f>
        <v>4</v>
      </c>
      <c r="D56" s="250">
        <f>'change agility'!M16</f>
        <v>-1</v>
      </c>
      <c r="E56" s="251" t="str">
        <f>'change agility'!N16</f>
        <v>Minor Negative Gap</v>
      </c>
    </row>
    <row r="57" s="207" customFormat="1" ht="45" spans="1:9">
      <c r="A57" s="249" t="str">
        <f>'change agility'!B17</f>
        <v>Adaptive Learning &amp; Experimentation
(aktif belajar hal baru)</v>
      </c>
      <c r="B57" s="249">
        <f>'change agility'!I17</f>
        <v>4</v>
      </c>
      <c r="C57" s="249">
        <f>'change agility'!K17</f>
        <v>5</v>
      </c>
      <c r="D57" s="250">
        <f>'change agility'!M17</f>
        <v>-1</v>
      </c>
      <c r="E57" s="251" t="str">
        <f>'change agility'!N17</f>
        <v>Minor Negative Gap</v>
      </c>
    </row>
    <row r="58" s="207" customFormat="1" ht="45" spans="1:9">
      <c r="A58" s="249" t="str">
        <f>'change agility'!B18</f>
        <v>Viewing Change as Opportunity
(melihat perubahan sebagai peluang)</v>
      </c>
      <c r="B58" s="249">
        <f>'change agility'!I18</f>
        <v>5</v>
      </c>
      <c r="C58" s="249">
        <f>'change agility'!K18</f>
        <v>1</v>
      </c>
      <c r="D58" s="250">
        <f>'change agility'!M18</f>
        <v>4</v>
      </c>
      <c r="E58" s="251" t="str">
        <f>'change agility'!N18</f>
        <v>Major Positive Gap</v>
      </c>
    </row>
    <row r="59" s="207" customFormat="1" ht="30" spans="1:9">
      <c r="A59" s="249" t="str">
        <f>'change agility'!B19</f>
        <v>Proposing New Ideas
(mulai menginisiasi perubahan)</v>
      </c>
      <c r="B59" s="249">
        <f>'change agility'!I19</f>
        <v>1</v>
      </c>
      <c r="C59" s="249">
        <f>'change agility'!K19</f>
        <v>2</v>
      </c>
      <c r="D59" s="250">
        <f>'change agility'!M19</f>
        <v>-1</v>
      </c>
      <c r="E59" s="251" t="str">
        <f>'change agility'!N19</f>
        <v>Minor Negative Gap</v>
      </c>
    </row>
    <row r="60" s="207" customFormat="1" ht="45" spans="1:9">
      <c r="A60" s="249" t="str">
        <f>'change agility'!B20</f>
        <v>Risk-Taking for Innovation
(berani mencoba pendekatan baru)</v>
      </c>
      <c r="B60" s="249">
        <f>'change agility'!I20</f>
        <v>2</v>
      </c>
      <c r="C60" s="249">
        <f>'change agility'!K20</f>
        <v>3</v>
      </c>
      <c r="D60" s="250">
        <f>'change agility'!M20</f>
        <v>-1</v>
      </c>
      <c r="E60" s="251" t="str">
        <f>'change agility'!N20</f>
        <v>Minor Negative Gap</v>
      </c>
    </row>
    <row r="61" s="207" customFormat="1" ht="45" spans="1:9">
      <c r="A61" s="249" t="str">
        <f>'change agility'!B21</f>
        <v>Calmness in Uncertainty
(tetap tenang di kondisi tidak pasti)</v>
      </c>
      <c r="B61" s="249">
        <f>'change agility'!I21</f>
        <v>3</v>
      </c>
      <c r="C61" s="249">
        <f>'change agility'!K21</f>
        <v>4</v>
      </c>
      <c r="D61" s="250">
        <f>'change agility'!M21</f>
        <v>-1</v>
      </c>
      <c r="E61" s="251" t="str">
        <f>'change agility'!N21</f>
        <v>Minor Negative Gap</v>
      </c>
    </row>
    <row r="62" s="207" customFormat="1" ht="60" spans="1:9">
      <c r="A62" s="249" t="str">
        <f>'change agility'!B22</f>
        <v>Proactive in Anticipating Change
(mengantisipasi perubahan sebelum terjadi)</v>
      </c>
      <c r="B62" s="249">
        <f>'change agility'!I22</f>
        <v>4</v>
      </c>
      <c r="C62" s="249">
        <f>'change agility'!K22</f>
        <v>5</v>
      </c>
      <c r="D62" s="250">
        <f>'change agility'!M22</f>
        <v>-1</v>
      </c>
      <c r="E62" s="251" t="str">
        <f>'change agility'!N22</f>
        <v>Minor Negative Gap</v>
      </c>
    </row>
    <row r="63" s="208" customFormat="1" ht="30" spans="1:9">
      <c r="A63" s="252" t="s">
        <v>417</v>
      </c>
      <c r="B63" s="253">
        <f>'change agility'!I23</f>
        <v>3</v>
      </c>
      <c r="C63" s="253">
        <f>'change agility'!K23</f>
        <v>3</v>
      </c>
      <c r="D63" s="254">
        <f>'change agility'!M23</f>
        <v>0</v>
      </c>
      <c r="E63" s="247" t="str">
        <f>'change agility'!N23</f>
        <v>Aligned</v>
      </c>
    </row>
    <row r="64" s="207" customFormat="1" ht="15" spans="1:9">
      <c r="A64" s="237"/>
      <c r="B64" s="237"/>
      <c r="C64" s="237"/>
      <c r="D64" s="237"/>
    </row>
    <row r="65" s="207" customFormat="1" ht="15" spans="1:5">
      <c r="A65" s="237"/>
      <c r="B65" s="237"/>
      <c r="C65" s="237"/>
      <c r="D65" s="237"/>
    </row>
    <row r="66" s="207" customFormat="1" ht="15" spans="1:5">
      <c r="A66" s="207" t="s">
        <v>420</v>
      </c>
      <c r="C66" s="237"/>
      <c r="D66" s="237"/>
    </row>
    <row r="67" s="207" customFormat="1" ht="30" spans="1:5">
      <c r="A67" s="255" t="s">
        <v>411</v>
      </c>
      <c r="B67" s="256" t="s">
        <v>412</v>
      </c>
      <c r="C67" s="256" t="s">
        <v>413</v>
      </c>
      <c r="D67" s="256" t="s">
        <v>414</v>
      </c>
      <c r="E67" s="255" t="s">
        <v>415</v>
      </c>
    </row>
    <row r="68" s="207" customFormat="1" ht="45" spans="1:5">
      <c r="A68" s="249" t="str">
        <f>'result agility'!B13</f>
        <v>Task Completion Quality 
(menyelesaikan tugas dengan baik)</v>
      </c>
      <c r="B68" s="241">
        <f>'result agility'!I13</f>
        <v>5</v>
      </c>
      <c r="C68" s="241">
        <f>'result agility'!K13</f>
        <v>1</v>
      </c>
      <c r="D68" s="241">
        <f>'result agility'!M13</f>
        <v>4</v>
      </c>
      <c r="E68" s="257" t="str">
        <f>'result agility'!N13</f>
        <v>Major Positive Gap</v>
      </c>
    </row>
    <row r="69" s="207" customFormat="1" ht="45" spans="1:5">
      <c r="A69" s="249" t="str">
        <f>'result agility'!B14</f>
        <v>Action-Oriented &amp; Takes Initiative 
(proaktif bertindak)</v>
      </c>
      <c r="B69" s="241">
        <f>'result agility'!I14</f>
        <v>1</v>
      </c>
      <c r="C69" s="241">
        <f>'result agility'!K14</f>
        <v>2</v>
      </c>
      <c r="D69" s="241">
        <f>'result agility'!M14</f>
        <v>-1</v>
      </c>
      <c r="E69" s="257" t="str">
        <f>'result agility'!N14</f>
        <v>Minor Negative Gap</v>
      </c>
    </row>
    <row r="70" s="207" customFormat="1" ht="30" spans="1:5">
      <c r="A70" s="249" t="str">
        <f>'result agility'!B15</f>
        <v>Driving for impact
(fokus pada hasil kerja)</v>
      </c>
      <c r="B70" s="241">
        <f>'result agility'!I15</f>
        <v>2</v>
      </c>
      <c r="C70" s="241">
        <f>'result agility'!K15</f>
        <v>3</v>
      </c>
      <c r="D70" s="241">
        <f>'result agility'!M15</f>
        <v>-1</v>
      </c>
      <c r="E70" s="257" t="str">
        <f>'result agility'!N15</f>
        <v>Minor Negative Gap</v>
      </c>
    </row>
    <row r="71" s="207" customFormat="1" ht="60" spans="1:5">
      <c r="A71" s="249" t="str">
        <f>'result agility'!B16</f>
        <v>Tenacity &amp; Strategic Persistence
(menjaga komitmen di tengah tantangan)</v>
      </c>
      <c r="B71" s="241">
        <f>'result agility'!I16</f>
        <v>3</v>
      </c>
      <c r="C71" s="241">
        <f>'result agility'!K16</f>
        <v>4</v>
      </c>
      <c r="D71" s="241">
        <f>'result agility'!M16</f>
        <v>-1</v>
      </c>
      <c r="E71" s="257" t="str">
        <f>'result agility'!N16</f>
        <v>Minor Negative Gap</v>
      </c>
    </row>
    <row r="72" s="207" customFormat="1" ht="45" spans="1:5">
      <c r="A72" s="249" t="str">
        <f>'result agility'!B17</f>
        <v>Learning from Outcomes
(belajar dari hasil &amp; kesalahan tim)</v>
      </c>
      <c r="B72" s="241">
        <f>'result agility'!I17</f>
        <v>4</v>
      </c>
      <c r="C72" s="241">
        <f>'result agility'!K17</f>
        <v>5</v>
      </c>
      <c r="D72" s="241">
        <f>'result agility'!M17</f>
        <v>-1</v>
      </c>
      <c r="E72" s="257" t="str">
        <f>'result agility'!N17</f>
        <v>Minor Negative Gap</v>
      </c>
    </row>
    <row r="73" s="207" customFormat="1" ht="45" spans="1:5">
      <c r="A73" s="249" t="str">
        <f>'result agility'!B18</f>
        <v>Deciding with Incomplete Data
(mengambil keputusan dengan data/informasi terbatas)</v>
      </c>
      <c r="B73" s="241">
        <f>'result agility'!I18</f>
        <v>5</v>
      </c>
      <c r="C73" s="241">
        <f>'result agility'!K18</f>
        <v>1</v>
      </c>
      <c r="D73" s="241">
        <f>'result agility'!M18</f>
        <v>4</v>
      </c>
      <c r="E73" s="257" t="str">
        <f>'result agility'!N18</f>
        <v>Major Positive Gap</v>
      </c>
    </row>
    <row r="74" s="207" customFormat="1" ht="45" spans="1:5">
      <c r="A74" s="249" t="str">
        <f>'result agility'!B19</f>
        <v>Focus Under Pressure
(tetap fokus dalam tekanan tinggi)</v>
      </c>
      <c r="B74" s="241">
        <f>'result agility'!I19</f>
        <v>1</v>
      </c>
      <c r="C74" s="241">
        <f>'result agility'!K19</f>
        <v>2</v>
      </c>
      <c r="D74" s="241">
        <f>'result agility'!M19</f>
        <v>-1</v>
      </c>
      <c r="E74" s="257" t="str">
        <f>'result agility'!N19</f>
        <v>Minor Negative Gap</v>
      </c>
    </row>
    <row r="75" s="207" customFormat="1" ht="45" spans="1:5">
      <c r="A75" s="249" t="str">
        <f>'result agility'!B20</f>
        <v>Adapting Strategy When Needed
(mengubah strategi untuk hasil lebih baik)</v>
      </c>
      <c r="B75" s="241">
        <f>'result agility'!I20</f>
        <v>2</v>
      </c>
      <c r="C75" s="241">
        <f>'result agility'!K20</f>
        <v>3</v>
      </c>
      <c r="D75" s="241">
        <f>'result agility'!M20</f>
        <v>-1</v>
      </c>
      <c r="E75" s="257" t="str">
        <f>'result agility'!N20</f>
        <v>Minor Negative Gap</v>
      </c>
    </row>
    <row r="76" s="207" customFormat="1" ht="60" spans="1:5">
      <c r="A76" s="249" t="str">
        <f>'result agility'!B21</f>
        <v>Agile Problem-Solving Under Pressure
(rencana di tengah ketidakpastian)</v>
      </c>
      <c r="B76" s="241">
        <f>'result agility'!I21</f>
        <v>3</v>
      </c>
      <c r="C76" s="241">
        <f>'result agility'!K21</f>
        <v>4</v>
      </c>
      <c r="D76" s="241">
        <f>'result agility'!M21</f>
        <v>-1</v>
      </c>
      <c r="E76" s="257" t="str">
        <f>'result agility'!N21</f>
        <v>Minor Negative Gap</v>
      </c>
    </row>
    <row r="77" s="207" customFormat="1" ht="45" spans="1:5">
      <c r="A77" s="249" t="str">
        <f>'result agility'!B22</f>
        <v>Drive for High Performance
(sistem perencanaan berkinerja tinggi)</v>
      </c>
      <c r="B77" s="241">
        <f>'result agility'!I22</f>
        <v>4</v>
      </c>
      <c r="C77" s="241">
        <f>'result agility'!K22</f>
        <v>5</v>
      </c>
      <c r="D77" s="241">
        <f>'result agility'!M22</f>
        <v>-1</v>
      </c>
      <c r="E77" s="257" t="str">
        <f>'result agility'!N22</f>
        <v>Minor Negative Gap</v>
      </c>
    </row>
    <row r="78" s="209" customFormat="1" ht="30" spans="1:5">
      <c r="A78" s="258" t="s">
        <v>417</v>
      </c>
      <c r="B78" s="259">
        <f>'result agility'!I23</f>
        <v>3</v>
      </c>
      <c r="C78" s="259">
        <f>'result agility'!K23</f>
        <v>3</v>
      </c>
      <c r="D78" s="260">
        <f>'result agility'!M23</f>
        <v>0</v>
      </c>
      <c r="E78" s="255" t="str">
        <f>'result agility'!N23</f>
        <v>Aligned</v>
      </c>
    </row>
    <row r="79" s="207" customFormat="1" ht="15" spans="1:5">
      <c r="A79" s="237"/>
      <c r="B79" s="237"/>
      <c r="C79" s="237"/>
      <c r="D79" s="237"/>
    </row>
    <row r="80" s="207" customFormat="1" ht="15" spans="1:5">
      <c r="A80" s="237"/>
      <c r="B80" s="237"/>
      <c r="C80" s="237"/>
      <c r="D80" s="237"/>
    </row>
    <row r="81" s="207" customFormat="1" ht="15" spans="1:5">
      <c r="A81" s="207" t="s">
        <v>421</v>
      </c>
      <c r="C81" s="237"/>
      <c r="D81" s="237"/>
    </row>
    <row r="82" s="207" customFormat="1" ht="30" spans="1:5">
      <c r="A82" s="197" t="s">
        <v>411</v>
      </c>
      <c r="B82" s="261" t="s">
        <v>412</v>
      </c>
      <c r="C82" s="261" t="s">
        <v>413</v>
      </c>
      <c r="D82" s="261" t="s">
        <v>414</v>
      </c>
      <c r="E82" s="197" t="s">
        <v>415</v>
      </c>
    </row>
    <row r="83" s="207" customFormat="1" ht="30" spans="1:5">
      <c r="A83" s="241" t="str">
        <f>'self awareness'!B13</f>
        <v>Openness to Criticism
(menerima kritik dasar)</v>
      </c>
      <c r="B83" s="241">
        <f>'self awareness'!I13</f>
        <v>5</v>
      </c>
      <c r="C83" s="241">
        <f>'self awareness'!K13</f>
        <v>1</v>
      </c>
      <c r="D83" s="241">
        <f>'self awareness'!M13</f>
        <v>4</v>
      </c>
      <c r="E83" s="257" t="str">
        <f>'self awareness'!N13</f>
        <v>Major Positive Gap</v>
      </c>
    </row>
    <row r="84" s="207" customFormat="1" ht="30" spans="1:5">
      <c r="A84" s="241" t="str">
        <f>'self awareness'!B14</f>
        <v>Admitting Mistakes
(mengakui kesalahan)</v>
      </c>
      <c r="B84" s="241">
        <f>'self awareness'!I14</f>
        <v>1</v>
      </c>
      <c r="C84" s="241">
        <f>'self awareness'!K14</f>
        <v>2</v>
      </c>
      <c r="D84" s="241">
        <f>'self awareness'!M14</f>
        <v>-1</v>
      </c>
      <c r="E84" s="257" t="str">
        <f>'self awareness'!N14</f>
        <v>Minor Negative Gap</v>
      </c>
    </row>
    <row r="85" s="207" customFormat="1" ht="45" spans="1:5">
      <c r="A85" s="241" t="str">
        <f>'self awareness'!B15</f>
        <v>Seeking Feedback on Performance
(mencari feedback)</v>
      </c>
      <c r="B85" s="241">
        <f>'self awareness'!I15</f>
        <v>2</v>
      </c>
      <c r="C85" s="241">
        <f>'self awareness'!K15</f>
        <v>3</v>
      </c>
      <c r="D85" s="241">
        <f>'self awareness'!M15</f>
        <v>-1</v>
      </c>
      <c r="E85" s="257" t="str">
        <f>'self awareness'!N15</f>
        <v>Minor Negative Gap</v>
      </c>
    </row>
    <row r="86" s="207" customFormat="1" ht="60" spans="1:5">
      <c r="A86" s="241" t="str">
        <f>'self awareness'!B16</f>
        <v>Understanding Strengths &amp; Weaknesses
(memahami kekuatan &amp; kelemahan)</v>
      </c>
      <c r="B86" s="241">
        <f>'self awareness'!I16</f>
        <v>3</v>
      </c>
      <c r="C86" s="241">
        <f>'self awareness'!K16</f>
        <v>4</v>
      </c>
      <c r="D86" s="241">
        <f>'self awareness'!M16</f>
        <v>-1</v>
      </c>
      <c r="E86" s="257" t="str">
        <f>'self awareness'!N16</f>
        <v>Minor Negative Gap</v>
      </c>
    </row>
    <row r="87" s="207" customFormat="1" ht="30" spans="1:5">
      <c r="A87" s="241" t="str">
        <f>'self awareness'!B17</f>
        <v>Reflective Practices
(melakukan refleksi diri)</v>
      </c>
      <c r="B87" s="241">
        <f>'self awareness'!I17</f>
        <v>4</v>
      </c>
      <c r="C87" s="241">
        <f>'self awareness'!K17</f>
        <v>5</v>
      </c>
      <c r="D87" s="241">
        <f>'self awareness'!M17</f>
        <v>-1</v>
      </c>
      <c r="E87" s="257" t="str">
        <f>'self awareness'!N17</f>
        <v>Minor Negative Gap</v>
      </c>
    </row>
    <row r="88" s="207" customFormat="1" ht="45" spans="1:5">
      <c r="A88" s="241" t="str">
        <f>'self awareness'!B18</f>
        <v>Proactive Self-Development for Adaptation
(aktif mengembangkan diri)</v>
      </c>
      <c r="B88" s="241">
        <f>'self awareness'!I18</f>
        <v>5</v>
      </c>
      <c r="C88" s="241">
        <f>'self awareness'!K18</f>
        <v>1</v>
      </c>
      <c r="D88" s="241">
        <f>'self awareness'!M18</f>
        <v>4</v>
      </c>
      <c r="E88" s="257" t="str">
        <f>'self awareness'!N18</f>
        <v>Major Positive Gap</v>
      </c>
    </row>
    <row r="89" s="207" customFormat="1" ht="30" spans="1:5">
      <c r="A89" s="241" t="str">
        <f>'self awareness'!B19</f>
        <v>Objective Self-Assessment
(menilai diri secara objektif)</v>
      </c>
      <c r="B89" s="241">
        <f>'self awareness'!I19</f>
        <v>1</v>
      </c>
      <c r="C89" s="241">
        <f>'self awareness'!K19</f>
        <v>2</v>
      </c>
      <c r="D89" s="241">
        <f>'self awareness'!M19</f>
        <v>-1</v>
      </c>
      <c r="E89" s="257" t="str">
        <f>'self awareness'!N19</f>
        <v>Minor Negative Gap</v>
      </c>
    </row>
    <row r="90" s="207" customFormat="1" ht="45" spans="1:5">
      <c r="A90" s="241" t="str">
        <f>'self awareness'!B20</f>
        <v>Awareness of Impact on Others
(memahami dampak perilaku terhadap orang lain)</v>
      </c>
      <c r="B90" s="241">
        <f>'self awareness'!I20</f>
        <v>2</v>
      </c>
      <c r="C90" s="241">
        <f>'self awareness'!K20</f>
        <v>3</v>
      </c>
      <c r="D90" s="241">
        <f>'self awareness'!M20</f>
        <v>-1</v>
      </c>
      <c r="E90" s="257" t="str">
        <f>'self awareness'!N20</f>
        <v>Minor Negative Gap</v>
      </c>
    </row>
    <row r="91" s="207" customFormat="1" ht="45" spans="1:5">
      <c r="A91" s="241" t="str">
        <f>'self awareness'!B21</f>
        <v>Managing Emotions Effectively
(mengelola emosi secara matang)</v>
      </c>
      <c r="B91" s="241">
        <f>'self awareness'!I21</f>
        <v>3</v>
      </c>
      <c r="C91" s="241">
        <f>'self awareness'!K21</f>
        <v>4</v>
      </c>
      <c r="D91" s="241">
        <f>'self awareness'!M21</f>
        <v>-1</v>
      </c>
      <c r="E91" s="257" t="str">
        <f>'self awareness'!N21</f>
        <v>Minor Negative Gap</v>
      </c>
    </row>
    <row r="92" s="207" customFormat="1" ht="60" spans="1:5">
      <c r="A92" s="241" t="str">
        <f>'self awareness'!B22</f>
        <v>Deep Pattern Recognition &amp; Bias Awareness
(refleksi diri mendalam &amp; autentik)</v>
      </c>
      <c r="B92" s="241">
        <f>'self awareness'!I22</f>
        <v>4</v>
      </c>
      <c r="C92" s="241">
        <f>'self awareness'!K22</f>
        <v>5</v>
      </c>
      <c r="D92" s="241">
        <f>'self awareness'!M22</f>
        <v>-1</v>
      </c>
      <c r="E92" s="257" t="str">
        <f>'self awareness'!N22</f>
        <v>Minor Negative Gap</v>
      </c>
    </row>
    <row r="93" s="208" customFormat="1" ht="30" spans="1:5">
      <c r="A93" s="196" t="s">
        <v>417</v>
      </c>
      <c r="B93" s="262">
        <f>'self awareness'!I23</f>
        <v>3</v>
      </c>
      <c r="C93" s="262">
        <f>'self awareness'!K23</f>
        <v>3</v>
      </c>
      <c r="D93" s="263">
        <f>'self awareness'!M23</f>
        <v>0</v>
      </c>
      <c r="E93" s="197" t="str">
        <f>'self awareness'!N23</f>
        <v>Aligned</v>
      </c>
    </row>
    <row r="94" s="208" customFormat="1" ht="15" spans="1:5">
      <c r="A94" s="264"/>
      <c r="B94" s="264"/>
      <c r="C94" s="264"/>
    </row>
    <row r="95" s="208" customFormat="1" ht="15" spans="1:5">
      <c r="A95" s="264"/>
      <c r="B95" s="264"/>
      <c r="C95" s="264"/>
    </row>
    <row r="96" s="207" customFormat="1" ht="15" spans="1:5">
      <c r="A96" s="207" t="s">
        <v>422</v>
      </c>
      <c r="C96" s="237"/>
      <c r="D96" s="237"/>
    </row>
    <row r="97" s="207" customFormat="1" ht="30" spans="1:5">
      <c r="A97" s="197" t="s">
        <v>411</v>
      </c>
      <c r="B97" s="261" t="s">
        <v>412</v>
      </c>
      <c r="C97" s="261" t="s">
        <v>413</v>
      </c>
      <c r="D97" s="261" t="s">
        <v>414</v>
      </c>
      <c r="E97" s="197" t="s">
        <v>415</v>
      </c>
    </row>
    <row r="98" s="207" customFormat="1" ht="15" spans="1:5">
      <c r="A98" s="265" t="s">
        <v>402</v>
      </c>
      <c r="B98" s="266">
        <f>B35</f>
        <v>3</v>
      </c>
      <c r="C98" s="266">
        <f t="shared" ref="C98:E98" si="1">C35</f>
        <v>3</v>
      </c>
      <c r="D98" s="266">
        <f t="shared" si="1"/>
        <v>0</v>
      </c>
      <c r="E98" s="249" t="str">
        <f t="shared" si="1"/>
        <v>Aligned</v>
      </c>
    </row>
    <row r="99" s="207" customFormat="1" ht="15" spans="1:5">
      <c r="A99" s="265" t="s">
        <v>403</v>
      </c>
      <c r="B99" s="266">
        <f>B49</f>
        <v>3</v>
      </c>
      <c r="C99" s="266">
        <f>C49</f>
        <v>3</v>
      </c>
      <c r="D99" s="266">
        <f t="shared" ref="D99:E99" si="2">D49</f>
        <v>0</v>
      </c>
      <c r="E99" s="249" t="str">
        <f t="shared" si="2"/>
        <v>Aligned</v>
      </c>
    </row>
    <row r="100" s="207" customFormat="1" ht="15" spans="1:5">
      <c r="A100" s="265" t="s">
        <v>404</v>
      </c>
      <c r="B100" s="266">
        <f>B63</f>
        <v>3</v>
      </c>
      <c r="C100" s="266">
        <f t="shared" ref="C100:E100" si="3">C63</f>
        <v>3</v>
      </c>
      <c r="D100" s="266">
        <f t="shared" si="3"/>
        <v>0</v>
      </c>
      <c r="E100" s="249" t="str">
        <f t="shared" si="3"/>
        <v>Aligned</v>
      </c>
    </row>
    <row r="101" s="207" customFormat="1" ht="15" spans="1:5">
      <c r="A101" s="265" t="s">
        <v>405</v>
      </c>
      <c r="B101" s="266">
        <f>B78</f>
        <v>3</v>
      </c>
      <c r="C101" s="266">
        <f t="shared" ref="C101:E101" si="4">C78</f>
        <v>3</v>
      </c>
      <c r="D101" s="266">
        <f t="shared" si="4"/>
        <v>0</v>
      </c>
      <c r="E101" s="249" t="str">
        <f t="shared" si="4"/>
        <v>Aligned</v>
      </c>
    </row>
    <row r="102" s="207" customFormat="1" ht="15" spans="1:5">
      <c r="A102" s="265" t="s">
        <v>406</v>
      </c>
      <c r="B102" s="266">
        <f>B93</f>
        <v>3</v>
      </c>
      <c r="C102" s="266">
        <f t="shared" ref="C102:E102" si="5">C93</f>
        <v>3</v>
      </c>
      <c r="D102" s="266">
        <f t="shared" si="5"/>
        <v>0</v>
      </c>
      <c r="E102" s="249" t="str">
        <f t="shared" si="5"/>
        <v>Aligned</v>
      </c>
    </row>
    <row r="103" s="210" customFormat="1" ht="15" spans="1:5">
      <c r="A103" s="267" t="s">
        <v>423</v>
      </c>
      <c r="B103" s="268">
        <f>AVERAGE(B98:B102)</f>
        <v>3</v>
      </c>
      <c r="C103" s="268">
        <f>AVERAGE(C98:C102)</f>
        <v>3</v>
      </c>
      <c r="D103" s="268">
        <f>B103-C103</f>
        <v>0</v>
      </c>
      <c r="E103" s="269" t="str" cm="1">
        <f t="array" ref="E103">_xlfn.IFS(VALUE(D103)&gt;=1,"Major Positive Gap",VALUE(D103)&gt;=0.5,"Minor Positive Gap",VALUE(D103)&gt;=-0.49,"Aligned",VALUE(D103)&gt;=-0.99,"Minor Negative Gap",VALUE(D103)&lt;=-1,"Major Negative Gap")</f>
        <v>Aligned</v>
      </c>
    </row>
    <row r="106" s="211" customFormat="1" ht="13" spans="1:5">
      <c r="A106" s="270" t="s">
        <v>424</v>
      </c>
    </row>
    <row r="107" s="211" customFormat="1" ht="13" spans="1:5">
      <c r="A107" s="270"/>
    </row>
    <row r="108" s="211" customFormat="1" ht="13" spans="1:5">
      <c r="A108" s="271" t="s">
        <v>394</v>
      </c>
      <c r="B108" s="271" t="s">
        <v>425</v>
      </c>
      <c r="C108" s="271" t="s">
        <v>396</v>
      </c>
      <c r="D108" s="271"/>
    </row>
    <row r="109" s="211" customFormat="1" ht="13" spans="1:5">
      <c r="A109" s="272" t="s">
        <v>402</v>
      </c>
      <c r="B109" s="273">
        <f>C98</f>
        <v>3</v>
      </c>
      <c r="C109" s="265" t="str">
        <f>'Profile Summary'!C14</f>
        <v>Meet</v>
      </c>
      <c r="D109" s="265"/>
    </row>
    <row r="110" s="211" customFormat="1" ht="13" spans="1:5">
      <c r="A110" s="272" t="s">
        <v>403</v>
      </c>
      <c r="B110" s="273">
        <f t="shared" ref="B110:B113" si="6">C99</f>
        <v>3</v>
      </c>
      <c r="C110" s="265" t="str">
        <f>'Profile Summary'!C15</f>
        <v>Meet</v>
      </c>
      <c r="D110" s="265"/>
    </row>
    <row r="111" s="211" customFormat="1" ht="13" spans="1:5">
      <c r="A111" s="272" t="s">
        <v>404</v>
      </c>
      <c r="B111" s="273">
        <f t="shared" si="6"/>
        <v>3</v>
      </c>
      <c r="C111" s="265" t="str">
        <f>'Profile Summary'!C16</f>
        <v>Meet</v>
      </c>
      <c r="D111" s="265"/>
    </row>
    <row r="112" s="211" customFormat="1" ht="13" spans="1:5">
      <c r="A112" s="272" t="s">
        <v>405</v>
      </c>
      <c r="B112" s="273">
        <f t="shared" si="6"/>
        <v>3</v>
      </c>
      <c r="C112" s="265" t="str">
        <f>'Profile Summary'!C17</f>
        <v>Meet</v>
      </c>
      <c r="D112" s="265"/>
    </row>
    <row r="113" s="211" customFormat="1" ht="13" spans="1:4">
      <c r="A113" s="272" t="s">
        <v>406</v>
      </c>
      <c r="B113" s="273">
        <f t="shared" si="6"/>
        <v>3</v>
      </c>
      <c r="C113" s="265" t="str">
        <f>'Profile Summary'!C18</f>
        <v>Meet</v>
      </c>
      <c r="D113" s="265"/>
    </row>
    <row r="114" s="83" customFormat="1"/>
    <row r="115" s="83" customFormat="1"/>
    <row r="116" s="83" customFormat="1"/>
    <row r="117" s="83" customFormat="1"/>
    <row r="118" s="83" customFormat="1"/>
    <row r="119" s="83" customFormat="1"/>
    <row r="120" s="83" customFormat="1"/>
    <row r="121" s="83" customFormat="1"/>
    <row r="122" s="83" customFormat="1"/>
    <row r="123" s="83" customFormat="1"/>
    <row r="124" s="83" customFormat="1"/>
    <row r="125" s="83" customFormat="1"/>
    <row r="126" s="83" customFormat="1"/>
    <row r="127" s="83" customFormat="1"/>
    <row r="128" s="83" customFormat="1"/>
    <row r="129" s="83" customFormat="1"/>
    <row r="130" s="83" customFormat="1"/>
    <row r="131" s="83" customFormat="1"/>
    <row r="132" s="83" customFormat="1"/>
    <row r="133" s="83" customFormat="1"/>
    <row r="134" s="83" customFormat="1"/>
    <row r="135" s="83" customFormat="1"/>
    <row r="136" s="83" customFormat="1"/>
    <row r="137" s="83" customFormat="1"/>
    <row r="138" s="83" customFormat="1"/>
    <row r="139" s="83" customFormat="1"/>
    <row r="140" s="83" customFormat="1"/>
    <row r="141" s="83" customFormat="1"/>
    <row r="142" s="83" customFormat="1"/>
    <row r="143" s="83" customFormat="1"/>
    <row r="144" s="83" customFormat="1"/>
    <row r="145" s="83" customFormat="1"/>
    <row r="146" s="83" customFormat="1"/>
  </sheetData>
  <mergeCells count="6">
    <mergeCell ref="C108:D108"/>
    <mergeCell ref="C109:D109"/>
    <mergeCell ref="C110:D110"/>
    <mergeCell ref="C111:D111"/>
    <mergeCell ref="C112:D112"/>
    <mergeCell ref="C113:D113"/>
  </mergeCells>
  <conditionalFormatting sqref="F22">
    <cfRule type="containsText" dxfId="0" priority="9" operator="between" text="Major Positive">
      <formula>NOT(ISERROR(SEARCH("Major Positive",F22)))</formula>
    </cfRule>
    <cfRule type="containsText" dxfId="1" priority="10" operator="between" text="minor positive">
      <formula>NOT(ISERROR(SEARCH("minor positive",F22)))</formula>
    </cfRule>
  </conditionalFormatting>
  <conditionalFormatting sqref="E24:E93">
    <cfRule type="containsText" dxfId="2" priority="2" operator="between" text="Minor Positive Gap">
      <formula>NOT(ISERROR(SEARCH("Minor Positive Gap",E24)))</formula>
    </cfRule>
    <cfRule type="containsText" dxfId="3" priority="3" operator="between" text="Major Positive Gap">
      <formula>NOT(ISERROR(SEARCH("Major Positive Gap",E24)))</formula>
    </cfRule>
    <cfRule type="containsText" dxfId="4" priority="4" operator="between" text="minor negative">
      <formula>NOT(ISERROR(SEARCH("minor negative",E24)))</formula>
    </cfRule>
    <cfRule type="containsText" dxfId="0" priority="5" operator="between" text="major negative">
      <formula>NOT(ISERROR(SEARCH("major negative",E24)))</formula>
    </cfRule>
  </conditionalFormatting>
  <conditionalFormatting sqref="E97:E103">
    <cfRule type="containsText" dxfId="0" priority="8" operator="between" text="major negative">
      <formula>NOT(ISERROR(SEARCH("major negative",E97)))</formula>
    </cfRule>
  </conditionalFormatting>
  <conditionalFormatting sqref="E98:E103">
    <cfRule type="containsText" dxfId="5" priority="1" operator="between" text="Minor Positive">
      <formula>NOT(ISERROR(SEARCH("Minor Positive",E98)))</formula>
    </cfRule>
    <cfRule type="containsText" dxfId="3" priority="6" operator="between" text="Major Positive">
      <formula>NOT(ISERROR(SEARCH("Major Positive",E98)))</formula>
    </cfRule>
    <cfRule type="containsText" dxfId="4" priority="7" operator="between" text="minor negative">
      <formula>NOT(ISERROR(SEARCH("minor negative",E98)))</formula>
    </cfRule>
  </conditionalFormatting>
  <pageMargins left="0.7" right="0.7" top="0.75" bottom="0.75" header="0.3" footer="0.3"/>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AS57"/>
  <sheetViews>
    <sheetView zoomScale="60" zoomScaleNormal="60" topLeftCell="AH47" workbookViewId="0">
      <selection activeCell="B41" sqref="B41"/>
    </sheetView>
  </sheetViews>
  <sheetFormatPr defaultColWidth="8.83636363636364" defaultRowHeight="14"/>
  <cols>
    <col min="1" max="1" width="34.7545454545455" style="83" customWidth="1"/>
    <col min="2" max="2" width="17.1636363636364" style="83" customWidth="1"/>
    <col min="3" max="3" width="16.1636363636364" style="83" customWidth="1"/>
    <col min="4" max="4" width="14.2545454545455" style="83" customWidth="1"/>
    <col min="5" max="5" width="19.5818181818182" style="83" customWidth="1"/>
    <col min="6" max="6" width="11.1636363636364" style="80" customWidth="1"/>
    <col min="7" max="7" width="19.7545454545455" style="83" customWidth="1"/>
    <col min="8" max="8" width="39.7545454545455" style="180" customWidth="1"/>
    <col min="9" max="9" width="11.7545454545455" style="83" customWidth="1"/>
    <col min="10" max="12" width="20.7545454545455" style="181" customWidth="1"/>
    <col min="13" max="13" width="20.7545454545455" style="180" customWidth="1"/>
    <col min="14" max="14" width="7.83636363636364" style="84" customWidth="1"/>
    <col min="15" max="16" width="30.7545454545455" style="180" customWidth="1"/>
    <col min="17" max="17" width="45.7545454545455" style="180" customWidth="1"/>
    <col min="18" max="21" width="30.7545454545455" style="180" customWidth="1"/>
    <col min="22" max="22" width="7.83636363636364" style="84" customWidth="1"/>
    <col min="23" max="24" width="30.7545454545455" style="180" customWidth="1"/>
    <col min="25" max="25" width="45.7545454545455" style="180" customWidth="1"/>
    <col min="26" max="29" width="30.7545454545455" style="180" customWidth="1"/>
    <col min="30" max="30" width="6.16363636363636" style="80" customWidth="1"/>
    <col min="31" max="32" width="30.7545454545455" style="180" customWidth="1"/>
    <col min="33" max="33" width="45.7545454545455" style="180" customWidth="1"/>
    <col min="34" max="37" width="30.7545454545455" style="180" customWidth="1"/>
    <col min="38" max="38" width="8.83636363636364" style="80"/>
    <col min="39" max="40" width="30.7545454545455" style="180" customWidth="1"/>
    <col min="41" max="41" width="45.7545454545455" style="180" customWidth="1"/>
    <col min="42" max="45" width="30.7545454545455" style="180" customWidth="1"/>
    <col min="46" max="16384" width="8.83636363636364" style="83"/>
  </cols>
  <sheetData>
    <row r="2" spans="1:45">
      <c r="A2" s="83" t="str">
        <f>Identitas!B2</f>
        <v>Nama </v>
      </c>
      <c r="B2" s="182" t="str">
        <f>Identitas!D2</f>
        <v>Febrian Dwi Christian</v>
      </c>
    </row>
    <row r="3" spans="1:45">
      <c r="A3" s="83" t="str">
        <f>Identitas!B3</f>
        <v>Nama Atasan yang menilai</v>
      </c>
      <c r="B3" s="182" t="str">
        <f>Identitas!D3</f>
        <v>Julia Edwita</v>
      </c>
      <c r="N3" s="84" t="str">
        <f ca="1">IF($J13="","",IFERROR(INDEX('sheet template'!$F$2:$M$1009,_xlfn.AGGREGATE(15,6,(ROW('sheet template'!$A$2:$A$1009)-ROW('sheet template'!$A$2)+1)/('sheet template'!$A$2:$A$1009=$J13),RANDBETWEEN(1,COUNTIF('sheet template'!$A$2:$A$1009,$J13))),COLUMN($A:$H)),""))</f>
        <v/>
      </c>
    </row>
    <row r="4" spans="1:45">
      <c r="A4" s="83" t="str">
        <f>Identitas!B4</f>
        <v>Level Saat Ini</v>
      </c>
      <c r="B4" s="182" t="str">
        <f>Identitas!D4</f>
        <v>Officer</v>
      </c>
    </row>
    <row r="5" spans="1:45">
      <c r="A5" s="83" t="str">
        <f>Identitas!B5</f>
        <v>Level Tujuan</v>
      </c>
      <c r="B5" s="182" t="str">
        <f>Identitas!D5</f>
        <v>Analyst</v>
      </c>
    </row>
    <row r="6" spans="1:45">
      <c r="A6" s="83" t="str">
        <f>Identitas!B6</f>
        <v>Tanggal Assesment</v>
      </c>
      <c r="B6" s="182">
        <f>Identitas!D6</f>
        <v>46045.7212152778</v>
      </c>
    </row>
    <row r="7" spans="1:45">
      <c r="A7" s="83" t="str">
        <f>Identitas!B7</f>
        <v>Unit</v>
      </c>
      <c r="B7" s="182" t="str">
        <f>Identitas!D7</f>
        <v>Human Capital Operation &amp; Service</v>
      </c>
    </row>
    <row r="8" spans="1:45">
      <c r="A8" s="83" t="str">
        <f>Identitas!B8</f>
        <v>Departemen</v>
      </c>
      <c r="B8" s="182" t="str">
        <f>Identitas!D8</f>
        <v>Human Capital Shared Service</v>
      </c>
    </row>
    <row r="9" spans="1:45">
      <c r="A9" s="83" t="str">
        <f>Identitas!B9</f>
        <v>Divisi</v>
      </c>
      <c r="B9" s="182">
        <f>Identitas!D9</f>
        <v>0</v>
      </c>
    </row>
    <row r="10" spans="1:45">
      <c r="A10" s="83" t="str">
        <f>Identitas!B10</f>
        <v>Direktorat</v>
      </c>
      <c r="B10" s="182" t="str">
        <f>Identitas!D10</f>
        <v>Resources &amp; Innovation</v>
      </c>
    </row>
    <row r="12" ht="42" spans="1:45">
      <c r="A12" s="183" t="s">
        <v>426</v>
      </c>
      <c r="B12" s="184" t="s">
        <v>427</v>
      </c>
      <c r="C12" s="185" t="s">
        <v>428</v>
      </c>
      <c r="D12" s="186" t="s">
        <v>429</v>
      </c>
      <c r="E12" s="187" t="s">
        <v>430</v>
      </c>
      <c r="F12" s="187" t="s">
        <v>431</v>
      </c>
      <c r="G12" s="187" t="s">
        <v>432</v>
      </c>
      <c r="H12" s="187" t="s">
        <v>433</v>
      </c>
      <c r="I12" s="188" t="s">
        <v>434</v>
      </c>
      <c r="J12" s="189" t="s">
        <v>435</v>
      </c>
      <c r="K12" s="189" t="s">
        <v>436</v>
      </c>
      <c r="L12" s="189" t="s">
        <v>437</v>
      </c>
      <c r="M12" s="189" t="s">
        <v>438</v>
      </c>
      <c r="N12" s="190" t="s">
        <v>439</v>
      </c>
      <c r="O12" s="190"/>
      <c r="P12" s="190"/>
      <c r="Q12" s="190"/>
      <c r="R12" s="190"/>
      <c r="S12" s="190"/>
      <c r="T12" s="190"/>
      <c r="U12" s="190"/>
      <c r="V12" s="190" t="s">
        <v>440</v>
      </c>
      <c r="W12" s="190"/>
      <c r="X12" s="190"/>
      <c r="Y12" s="190"/>
      <c r="Z12" s="190"/>
      <c r="AA12" s="190"/>
      <c r="AB12" s="190"/>
      <c r="AC12" s="190"/>
      <c r="AD12" s="190" t="s">
        <v>441</v>
      </c>
      <c r="AE12" s="190"/>
      <c r="AF12" s="190"/>
      <c r="AG12" s="190"/>
      <c r="AH12" s="190"/>
      <c r="AI12" s="190"/>
      <c r="AJ12" s="190"/>
      <c r="AK12" s="190"/>
      <c r="AL12" s="190" t="s">
        <v>442</v>
      </c>
      <c r="AM12" s="190"/>
      <c r="AN12" s="190"/>
      <c r="AO12" s="190"/>
      <c r="AP12" s="190"/>
      <c r="AQ12" s="190"/>
      <c r="AR12" s="190"/>
      <c r="AS12" s="190"/>
    </row>
    <row r="13" ht="56" spans="1:45">
      <c r="A13" s="90" t="s">
        <v>443</v>
      </c>
      <c r="B13" s="191">
        <f>IFERROR(INDEX(panduan!$C$3:$H$16,MATCH(TRIM(A13),panduan!$B$3:$B$16,0),MATCH(TRIM($B$4),panduan!$C$2:$H$2,0)),"")</f>
        <v>2</v>
      </c>
      <c r="C13" s="192">
        <f>IFERROR(INDEX(panduan!$C$3:$H$16,MATCH(TRIM(A13),panduan!$B$3:$B$16,0),MATCH(TRIM($B$5),panduan!$C$2:$H$2,0)),"")</f>
        <v>3</v>
      </c>
      <c r="D13" s="193">
        <v>2</v>
      </c>
      <c r="E13" s="194">
        <f>D13-C13</f>
        <v>-1</v>
      </c>
      <c r="F13" s="194">
        <f>IF(E13&lt;0,MIN(-E13,4),"")</f>
        <v>1</v>
      </c>
      <c r="G13" s="194" t="str">
        <f>IFERROR(INDEX(panduan!$C$167:$G$171,MATCH($F$37,panduan!$B$167:$B$171,0),MATCH($F13,panduan!$C$166:$G$166,0)),"")</f>
        <v>1,2,3,4</v>
      </c>
      <c r="H13" s="195" t="str">
        <f>IF(G13="","",SUBSTITUTE(SUBSTITUTE(SUBSTITUTE(SUBSTITUTE(G13,"1","Personal Development"),"2","Education-Based Development"),"3","Relation-Based Development"),"4","Experience-Based Development"))</f>
        <v>Personal Development,Education-Based Development,Relation-Based Development,Experience-Based Development</v>
      </c>
      <c r="I13" s="194">
        <f>IF(E13&lt;0,_xlfn.RANK.EQ(E13,$E$13:$E$26,1)+COUNTIF($E$13:E13,E13)-1,"")</f>
        <v>2</v>
      </c>
      <c r="J13" s="85" t="str">
        <f>IF(ISNUMBER(FIND("1",$G13)),$A13&amp;"|"&amp;$B$5&amp;"|1","")</f>
        <v>Achievement Drive|Analyst|1</v>
      </c>
      <c r="K13" s="85" t="str">
        <f>IF(ISNUMBER(FIND("2",$G13)),$A13&amp;"|"&amp;$B$5&amp;"|2","")</f>
        <v>Achievement Drive|Analyst|2</v>
      </c>
      <c r="L13" s="85" t="str">
        <f>IF(ISNUMBER(FIND("3",$G13)),$A13&amp;"|"&amp;$B$5&amp;"|3","")</f>
        <v>Achievement Drive|Analyst|3</v>
      </c>
      <c r="M13" s="82" t="str">
        <f>IF(ISNUMBER(FIND("4",$G13)),$A13&amp;"|"&amp;$B$5&amp;"|4","")</f>
        <v>Achievement Drive|Analyst|4</v>
      </c>
      <c r="N13" s="194">
        <f ca="1" t="array" ref="N13:U13">IF($J13="","",IFERROR(INDEX('sheet template'!$F$2:$M$1009,_xlfn.AGGREGATE(15,6,(ROW('sheet template'!$A$2:$A$1009)-ROW('sheet template'!$A$2)+1)/('sheet template'!$A$2:$A$1009=$J13),RANDBETWEEN(1,COUNTIF('sheet template'!$A$2:$A$1009,$J13))),0),""))</f>
        <v>2</v>
      </c>
      <c r="O13" s="85" t="str">
        <v>Tugas290</v>
      </c>
      <c r="P13" s="85" t="str">
        <v>Tujuan290</v>
      </c>
      <c r="Q13" s="85" t="str">
        <v>Instruksi290</v>
      </c>
      <c r="R13" s="85" t="str">
        <v>Output290</v>
      </c>
      <c r="S13" s="85" t="str">
        <v>Waktu290</v>
      </c>
      <c r="T13" s="85" t="str">
        <v>Monitoring290</v>
      </c>
      <c r="U13" s="85" t="str">
        <v>Standar kelulusan290</v>
      </c>
      <c r="V13" s="194">
        <f ca="1" t="array" ref="V13:AC13">IF($K13="","",IFERROR(INDEX('sheet template'!$F$2:$M$1009,_xlfn.AGGREGATE(15,6,(ROW('sheet template'!$A$2:$A$1009)-ROW('sheet template'!$A$2)+1)/('sheet template'!$A$2:$A$1009=$K13),RANDBETWEEN(1,3)),0),""))</f>
        <v>3</v>
      </c>
      <c r="W13" s="85" t="str">
        <v>Tugas294</v>
      </c>
      <c r="X13" s="85" t="str">
        <v>Tujuan294</v>
      </c>
      <c r="Y13" s="85" t="str">
        <v>Instruksi294</v>
      </c>
      <c r="Z13" s="85" t="str">
        <v>Output294</v>
      </c>
      <c r="AA13" s="85" t="str">
        <v>Waktu294</v>
      </c>
      <c r="AB13" s="85" t="str">
        <v>Monitoring294</v>
      </c>
      <c r="AC13" s="85" t="str">
        <v>Standar kelulusan294</v>
      </c>
      <c r="AD13" s="194">
        <f ca="1" t="array" ref="AD13:AK13">IF($L13="","",IFERROR(INDEX('sheet template'!$F$2:$M$1009,_xlfn.AGGREGATE(15,6,(ROW('sheet template'!$A$2:$A$1009)-ROW('sheet template'!$A$2)+1)/('sheet template'!$A$2:$A$1009=$L13),RANDBETWEEN(1,3)),0),""))</f>
        <v>1</v>
      </c>
      <c r="AE13" s="85" t="str">
        <v>Tugas295</v>
      </c>
      <c r="AF13" s="85" t="str">
        <v>Tujuan295</v>
      </c>
      <c r="AG13" s="85" t="str">
        <v>Instruksi295</v>
      </c>
      <c r="AH13" s="85" t="str">
        <v>Output295</v>
      </c>
      <c r="AI13" s="85" t="str">
        <v>Waktu295</v>
      </c>
      <c r="AJ13" s="85" t="str">
        <v>Monitoring295</v>
      </c>
      <c r="AK13" s="85" t="str">
        <v>Standar kelulusan295</v>
      </c>
      <c r="AL13" s="194">
        <f ca="1" t="array" ref="AL13:AS13">IF($M13="","",IFERROR(INDEX('sheet template'!$F$2:$M$1009,_xlfn.AGGREGATE(15,6,(ROW('sheet template'!$A$2:$A$1009)-ROW('sheet template'!$A$2)+1)/('sheet template'!$A$2:$A$1009=$M13),RANDBETWEEN(1,3)),0),""))</f>
        <v>2</v>
      </c>
      <c r="AM13" s="85" t="str">
        <v>Tugas299</v>
      </c>
      <c r="AN13" s="85" t="str">
        <v>Tujuan299</v>
      </c>
      <c r="AO13" s="85" t="str">
        <v>Instruksi299</v>
      </c>
      <c r="AP13" s="85" t="str">
        <v>Output299</v>
      </c>
      <c r="AQ13" s="85" t="str">
        <v>Waktu299</v>
      </c>
      <c r="AR13" s="85" t="str">
        <v>Monitoring299</v>
      </c>
      <c r="AS13" s="85" t="str">
        <v>Standar kelulusan299</v>
      </c>
    </row>
    <row r="14" spans="1:45">
      <c r="A14" s="90" t="s">
        <v>444</v>
      </c>
      <c r="B14" s="191">
        <f>IFERROR(INDEX(panduan!$C$3:$H$16,MATCH(TRIM(A14),panduan!$B$3:$B$16,0),MATCH(TRIM($B$4),panduan!$C$2:$H$2,0)),"")</f>
        <v>1</v>
      </c>
      <c r="C14" s="192">
        <f>IFERROR(INDEX(panduan!$C$3:$H$16,MATCH(TRIM(A14),panduan!$B$3:$B$16,0),MATCH(TRIM($B$5),panduan!$C$2:$H$2,0)),"")</f>
        <v>2</v>
      </c>
      <c r="D14" s="193">
        <v>2</v>
      </c>
      <c r="E14" s="194">
        <f t="shared" ref="E14:E26" si="0">D14-C14</f>
        <v>0</v>
      </c>
      <c r="F14" s="194" t="str">
        <f t="shared" ref="F14:F26" si="1">IF(E14&lt;0,MIN(-E14,4),"")</f>
        <v/>
      </c>
      <c r="G14" s="194" t="str">
        <f>IFERROR(INDEX(panduan!$C$167:$G$171,MATCH($F$37,panduan!$B$167:$B$171,0),MATCH($F14,panduan!$C$166:$G$166,0)),"")</f>
        <v/>
      </c>
      <c r="H14" s="195" t="str">
        <f t="shared" ref="H14:H26" si="2">IF(G14="","",SUBSTITUTE(SUBSTITUTE(SUBSTITUTE(SUBSTITUTE(G14,"1","Personal Development"),"2","Education-Based Development"),"3","Relation-Based Development"),"4","Experience-Based Development"))</f>
        <v/>
      </c>
      <c r="I14" s="194" t="str">
        <f>IF(E14&lt;0,_xlfn.RANK.EQ(E14,$E$13:$E$26,1)+COUNTIF($E$13:E14,E14)-1,"")</f>
        <v/>
      </c>
      <c r="J14" s="85" t="str">
        <f t="shared" ref="J14:J26" si="3">IF(ISNUMBER(FIND("1",$G14)),$A14&amp;"|"&amp;$B$5&amp;"|1","")</f>
        <v/>
      </c>
      <c r="K14" s="85" t="str">
        <f t="shared" ref="K14:K26" si="4">IF(ISNUMBER(FIND("2",$G14)),$A14&amp;"|"&amp;$B$5&amp;"|2","")</f>
        <v/>
      </c>
      <c r="L14" s="85" t="str">
        <f t="shared" ref="L14:L26" si="5">IF(ISNUMBER(FIND("3",$G14)),$A14&amp;"|"&amp;$B$5&amp;"|3","")</f>
        <v/>
      </c>
      <c r="M14" s="82" t="str">
        <f t="shared" ref="M14:M26" si="6">IF(ISNUMBER(FIND("4",$G14)),$A14&amp;"|"&amp;$B$5&amp;"|4","")</f>
        <v/>
      </c>
      <c r="N14" s="194" t="str">
        <f ca="1">IF($J14="","",IFERROR(INDEX('sheet template'!$F$2:$M$1009,_xlfn.AGGREGATE(15,6,(ROW('sheet template'!$A$2:$A$1009)-ROW('sheet template'!$A$2)+1)/('sheet template'!$A$2:$A$1009=$J14),RANDBETWEEN(1,COUNTIF('sheet template'!$A$2:$A$1009,$J14))),0),""))</f>
        <v/>
      </c>
      <c r="O14" s="85"/>
      <c r="P14" s="85"/>
      <c r="Q14" s="85"/>
      <c r="R14" s="85"/>
      <c r="S14" s="85"/>
      <c r="T14" s="85"/>
      <c r="U14" s="85"/>
      <c r="V14" s="194" t="str">
        <f ca="1" t="array" ref="V14">IF($K14="","",IFERROR(INDEX('sheet template'!$F$2:$M$1009,_xlfn.AGGREGATE(15,6,(ROW('sheet template'!$A$2:$A$1009)-ROW('sheet template'!$A$2)+1)/('sheet template'!$A$2:$A$1009=$K14),RANDBETWEEN(1,3)),0),""))</f>
        <v/>
      </c>
      <c r="W14" s="85"/>
      <c r="X14" s="85"/>
      <c r="Y14" s="85"/>
      <c r="Z14" s="85"/>
      <c r="AA14" s="85"/>
      <c r="AB14" s="85"/>
      <c r="AC14" s="85"/>
      <c r="AD14" s="194" t="str">
        <f ca="1">IF($L14="","",IFERROR(INDEX('sheet template'!$F$2:$M$1009,_xlfn.AGGREGATE(15,6,(ROW('sheet template'!$A$2:$A$1009)-ROW('sheet template'!$A$2)+1)/('sheet template'!$A$2:$A$1009=$L14),RANDBETWEEN(1,3)),0),""))</f>
        <v/>
      </c>
      <c r="AE14" s="85"/>
      <c r="AF14" s="85"/>
      <c r="AG14" s="85"/>
      <c r="AH14" s="85"/>
      <c r="AI14" s="85"/>
      <c r="AJ14" s="85"/>
      <c r="AK14" s="85"/>
      <c r="AL14" s="194" t="str">
        <f ca="1">IF($M14="","",IFERROR(INDEX('sheet template'!$F$2:$M$1009,_xlfn.AGGREGATE(15,6,(ROW('sheet template'!$A$2:$A$1009)-ROW('sheet template'!$A$2)+1)/('sheet template'!$A$2:$A$1009=$M14),RANDBETWEEN(1,3)),0),""))</f>
        <v/>
      </c>
      <c r="AM14" s="85"/>
      <c r="AN14" s="85"/>
      <c r="AO14" s="85"/>
      <c r="AP14" s="85"/>
      <c r="AQ14" s="85"/>
      <c r="AR14" s="85"/>
      <c r="AS14" s="85"/>
    </row>
    <row r="15" spans="1:45">
      <c r="A15" s="90" t="s">
        <v>445</v>
      </c>
      <c r="B15" s="191">
        <f>IFERROR(INDEX(panduan!$C$3:$H$16,MATCH(TRIM(A15),panduan!$B$3:$B$16,0),MATCH(TRIM($B$4),panduan!$C$2:$H$2,0)),"")</f>
        <v>1</v>
      </c>
      <c r="C15" s="192">
        <f>IFERROR(INDEX(panduan!$C$3:$H$16,MATCH(TRIM(A15),panduan!$B$3:$B$16,0),MATCH(TRIM($B$5),panduan!$C$2:$H$2,0)),"")</f>
        <v>2</v>
      </c>
      <c r="D15" s="193">
        <v>2</v>
      </c>
      <c r="E15" s="194">
        <f t="shared" si="0"/>
        <v>0</v>
      </c>
      <c r="F15" s="194" t="str">
        <f t="shared" si="1"/>
        <v/>
      </c>
      <c r="G15" s="194" t="str">
        <f>IFERROR(INDEX(panduan!$C$167:$G$171,MATCH($F$37,panduan!$B$167:$B$171,0),MATCH($F15,panduan!$C$166:$G$166,0)),"")</f>
        <v/>
      </c>
      <c r="H15" s="195" t="str">
        <f t="shared" si="2"/>
        <v/>
      </c>
      <c r="I15" s="194" t="str">
        <f>IF(E15&lt;0,_xlfn.RANK.EQ(E15,$E$13:$E$26,1)+COUNTIF($E$13:E15,E15)-1,"")</f>
        <v/>
      </c>
      <c r="J15" s="85" t="str">
        <f t="shared" si="3"/>
        <v/>
      </c>
      <c r="K15" s="85" t="str">
        <f t="shared" si="4"/>
        <v/>
      </c>
      <c r="L15" s="85" t="str">
        <f t="shared" si="5"/>
        <v/>
      </c>
      <c r="M15" s="82" t="str">
        <f t="shared" si="6"/>
        <v/>
      </c>
      <c r="N15" s="194" t="str">
        <f ca="1">IF($J15="","",IFERROR(INDEX('sheet template'!$F$2:$M$1009,_xlfn.AGGREGATE(15,6,(ROW('sheet template'!$A$2:$A$1009)-ROW('sheet template'!$A$2)+1)/('sheet template'!$A$2:$A$1009=$J15),RANDBETWEEN(1,COUNTIF('sheet template'!$A$2:$A$1009,$J15))),0),""))</f>
        <v/>
      </c>
      <c r="O15" s="85"/>
      <c r="P15" s="85"/>
      <c r="Q15" s="85"/>
      <c r="R15" s="85"/>
      <c r="S15" s="85"/>
      <c r="T15" s="85"/>
      <c r="U15" s="85"/>
      <c r="V15" s="194" t="str">
        <f ca="1">IF($K15="","",IFERROR(INDEX('sheet template'!$F$2:$M$1009,_xlfn.AGGREGATE(15,6,(ROW('sheet template'!$A$2:$A$1009)-ROW('sheet template'!$A$2)+1)/('sheet template'!$A$2:$A$1009=$K15),RANDBETWEEN(1,3)),0),""))</f>
        <v/>
      </c>
      <c r="W15" s="85"/>
      <c r="X15" s="85"/>
      <c r="Y15" s="85"/>
      <c r="Z15" s="85"/>
      <c r="AA15" s="85"/>
      <c r="AB15" s="85"/>
      <c r="AC15" s="85"/>
      <c r="AD15" s="194" t="str">
        <f ca="1">IF($L15="","",IFERROR(INDEX('sheet template'!$F$2:$M$1009,_xlfn.AGGREGATE(15,6,(ROW('sheet template'!$A$2:$A$1009)-ROW('sheet template'!$A$2)+1)/('sheet template'!$A$2:$A$1009=$L15),RANDBETWEEN(1,3)),0),""))</f>
        <v/>
      </c>
      <c r="AE15" s="85"/>
      <c r="AF15" s="85"/>
      <c r="AG15" s="85"/>
      <c r="AH15" s="85"/>
      <c r="AI15" s="85"/>
      <c r="AJ15" s="85"/>
      <c r="AK15" s="85"/>
      <c r="AL15" s="194" t="str">
        <f ca="1">IF($M15="","",IFERROR(INDEX('sheet template'!$F$2:$M$1009,_xlfn.AGGREGATE(15,6,(ROW('sheet template'!$A$2:$A$1009)-ROW('sheet template'!$A$2)+1)/('sheet template'!$A$2:$A$1009=$M15),RANDBETWEEN(1,3)),0),""))</f>
        <v/>
      </c>
      <c r="AM15" s="85"/>
      <c r="AN15" s="85"/>
      <c r="AO15" s="85"/>
      <c r="AP15" s="85"/>
      <c r="AQ15" s="85"/>
      <c r="AR15" s="85"/>
      <c r="AS15" s="85"/>
    </row>
    <row r="16" spans="1:45">
      <c r="A16" s="90" t="s">
        <v>446</v>
      </c>
      <c r="B16" s="191">
        <f>IFERROR(INDEX(panduan!$C$3:$H$16,MATCH(TRIM(A16),panduan!$B$3:$B$16,0),MATCH(TRIM($B$4),panduan!$C$2:$H$2,0)),"")</f>
        <v>1</v>
      </c>
      <c r="C16" s="192">
        <f>IFERROR(INDEX(panduan!$C$3:$H$16,MATCH(TRIM(A16),panduan!$B$3:$B$16,0),MATCH(TRIM($B$5),panduan!$C$2:$H$2,0)),"")</f>
        <v>2</v>
      </c>
      <c r="D16" s="193">
        <v>2</v>
      </c>
      <c r="E16" s="194">
        <f t="shared" si="0"/>
        <v>0</v>
      </c>
      <c r="F16" s="194" t="str">
        <f t="shared" si="1"/>
        <v/>
      </c>
      <c r="G16" s="194" t="str">
        <f>IFERROR(INDEX(panduan!$C$167:$G$171,MATCH($F$37,panduan!$B$167:$B$171,0),MATCH($F16,panduan!$C$166:$G$166,0)),"")</f>
        <v/>
      </c>
      <c r="H16" s="195" t="str">
        <f t="shared" si="2"/>
        <v/>
      </c>
      <c r="I16" s="194" t="str">
        <f>IF(E16&lt;0,_xlfn.RANK.EQ(E16,$E$13:$E$26,1)+COUNTIF($E$13:E16,E16)-1,"")</f>
        <v/>
      </c>
      <c r="J16" s="85" t="str">
        <f t="shared" si="3"/>
        <v/>
      </c>
      <c r="K16" s="85" t="str">
        <f t="shared" si="4"/>
        <v/>
      </c>
      <c r="L16" s="85" t="str">
        <f t="shared" si="5"/>
        <v/>
      </c>
      <c r="M16" s="82" t="str">
        <f t="shared" si="6"/>
        <v/>
      </c>
      <c r="N16" s="194" t="str">
        <f ca="1">IF($J16="","",IFERROR(INDEX('sheet template'!$F$2:$M$1009,_xlfn.AGGREGATE(15,6,(ROW('sheet template'!$A$2:$A$1009)-ROW('sheet template'!$A$2)+1)/('sheet template'!$A$2:$A$1009=$J16),RANDBETWEEN(1,COUNTIF('sheet template'!$A$2:$A$1009,$J16))),0),""))</f>
        <v/>
      </c>
      <c r="O16" s="85"/>
      <c r="P16" s="85"/>
      <c r="Q16" s="85"/>
      <c r="R16" s="85"/>
      <c r="S16" s="85"/>
      <c r="T16" s="85"/>
      <c r="U16" s="85"/>
      <c r="V16" s="194" t="str">
        <f ca="1">IF($K16="","",IFERROR(INDEX('sheet template'!$F$2:$M$1009,_xlfn.AGGREGATE(15,6,(ROW('sheet template'!$A$2:$A$1009)-ROW('sheet template'!$A$2)+1)/('sheet template'!$A$2:$A$1009=$K16),RANDBETWEEN(1,3)),0),""))</f>
        <v/>
      </c>
      <c r="W16" s="85"/>
      <c r="X16" s="85"/>
      <c r="Y16" s="85"/>
      <c r="Z16" s="85"/>
      <c r="AA16" s="85"/>
      <c r="AB16" s="85"/>
      <c r="AC16" s="85"/>
      <c r="AD16" s="194" t="str">
        <f ca="1">IF($L16="","",IFERROR(INDEX('sheet template'!$F$2:$M$1009,_xlfn.AGGREGATE(15,6,(ROW('sheet template'!$A$2:$A$1009)-ROW('sheet template'!$A$2)+1)/('sheet template'!$A$2:$A$1009=$L16),RANDBETWEEN(1,3)),0),""))</f>
        <v/>
      </c>
      <c r="AE16" s="85"/>
      <c r="AF16" s="85"/>
      <c r="AG16" s="85"/>
      <c r="AH16" s="85"/>
      <c r="AI16" s="85"/>
      <c r="AJ16" s="85"/>
      <c r="AK16" s="85"/>
      <c r="AL16" s="194" t="str">
        <f ca="1">IF($M16="","",IFERROR(INDEX('sheet template'!$F$2:$M$1009,_xlfn.AGGREGATE(15,6,(ROW('sheet template'!$A$2:$A$1009)-ROW('sheet template'!$A$2)+1)/('sheet template'!$A$2:$A$1009=$M16),RANDBETWEEN(1,3)),0),""))</f>
        <v/>
      </c>
      <c r="AM16" s="85"/>
      <c r="AN16" s="85"/>
      <c r="AO16" s="85"/>
      <c r="AP16" s="85"/>
      <c r="AQ16" s="85"/>
      <c r="AR16" s="85"/>
      <c r="AS16" s="85"/>
    </row>
    <row r="17" spans="1:45">
      <c r="A17" s="90" t="s">
        <v>447</v>
      </c>
      <c r="B17" s="191">
        <f>IFERROR(INDEX(panduan!$C$3:$H$16,MATCH(TRIM(A17),panduan!$B$3:$B$16,0),MATCH(TRIM($B$4),panduan!$C$2:$H$2,0)),"")</f>
        <v>2</v>
      </c>
      <c r="C17" s="192">
        <f>IFERROR(INDEX(panduan!$C$3:$H$16,MATCH(TRIM(A17),panduan!$B$3:$B$16,0),MATCH(TRIM($B$5),panduan!$C$2:$H$2,0)),"")</f>
        <v>3</v>
      </c>
      <c r="D17" s="193">
        <v>3</v>
      </c>
      <c r="E17" s="194">
        <f t="shared" si="0"/>
        <v>0</v>
      </c>
      <c r="F17" s="194" t="str">
        <f t="shared" si="1"/>
        <v/>
      </c>
      <c r="G17" s="194" t="str">
        <f>IFERROR(INDEX(panduan!$C$167:$G$171,MATCH($F$37,panduan!$B$167:$B$171,0),MATCH($F17,panduan!$C$166:$G$166,0)),"")</f>
        <v/>
      </c>
      <c r="H17" s="195" t="str">
        <f t="shared" si="2"/>
        <v/>
      </c>
      <c r="I17" s="194" t="str">
        <f>IF(E17&lt;0,_xlfn.RANK.EQ(E17,$E$13:$E$26,1)+COUNTIF($E$13:E17,E17)-1,"")</f>
        <v/>
      </c>
      <c r="J17" s="85" t="str">
        <f t="shared" si="3"/>
        <v/>
      </c>
      <c r="K17" s="85" t="str">
        <f t="shared" si="4"/>
        <v/>
      </c>
      <c r="L17" s="85" t="str">
        <f t="shared" si="5"/>
        <v/>
      </c>
      <c r="M17" s="82" t="str">
        <f t="shared" si="6"/>
        <v/>
      </c>
      <c r="N17" s="194" t="str">
        <f ca="1">IF($J17="","",IFERROR(INDEX('sheet template'!$F$2:$M$1009,_xlfn.AGGREGATE(15,6,(ROW('sheet template'!$A$2:$A$1009)-ROW('sheet template'!$A$2)+1)/('sheet template'!$A$2:$A$1009=$J17),RANDBETWEEN(1,COUNTIF('sheet template'!$A$2:$A$1009,$J13))),0),""))</f>
        <v/>
      </c>
      <c r="O17" s="85"/>
      <c r="P17" s="85"/>
      <c r="Q17" s="85"/>
      <c r="R17" s="85"/>
      <c r="S17" s="85"/>
      <c r="T17" s="85"/>
      <c r="U17" s="85"/>
      <c r="V17" s="194" t="str">
        <f ca="1">IF($K17="","",IFERROR(INDEX('sheet template'!$F$2:$M$1009,_xlfn.AGGREGATE(15,6,(ROW('sheet template'!$A$2:$A$1009)-ROW('sheet template'!$A$2)+1)/('sheet template'!$A$2:$A$1009=$K17),RANDBETWEEN(1,3)),0),""))</f>
        <v/>
      </c>
      <c r="W17" s="85"/>
      <c r="X17" s="85"/>
      <c r="Y17" s="85"/>
      <c r="Z17" s="85"/>
      <c r="AA17" s="85"/>
      <c r="AB17" s="85"/>
      <c r="AC17" s="85"/>
      <c r="AD17" s="194" t="str">
        <f ca="1">IF($L17="","",IFERROR(INDEX('sheet template'!$F$2:$M$1009,_xlfn.AGGREGATE(15,6,(ROW('sheet template'!$A$2:$A$1009)-ROW('sheet template'!$A$2)+1)/('sheet template'!$A$2:$A$1009=$L17),RANDBETWEEN(1,3)),0),""))</f>
        <v/>
      </c>
      <c r="AE17" s="85"/>
      <c r="AF17" s="85"/>
      <c r="AG17" s="85"/>
      <c r="AH17" s="85"/>
      <c r="AI17" s="85"/>
      <c r="AJ17" s="85"/>
      <c r="AK17" s="85"/>
      <c r="AL17" s="194" t="str">
        <f ca="1">IF($M17="","",IFERROR(INDEX('sheet template'!$F$2:$M$1009,_xlfn.AGGREGATE(15,6,(ROW('sheet template'!$A$2:$A$1009)-ROW('sheet template'!$A$2)+1)/('sheet template'!$A$2:$A$1009=$M17),RANDBETWEEN(1,3)),0),""))</f>
        <v/>
      </c>
      <c r="AM17" s="85"/>
      <c r="AN17" s="85"/>
      <c r="AO17" s="85"/>
      <c r="AP17" s="85"/>
      <c r="AQ17" s="85"/>
      <c r="AR17" s="85"/>
      <c r="AS17" s="85"/>
    </row>
    <row r="18" ht="56" spans="1:45">
      <c r="A18" s="90" t="s">
        <v>448</v>
      </c>
      <c r="B18" s="191">
        <f>IFERROR(INDEX(panduan!$C$3:$H$16,MATCH(TRIM(A18),panduan!$B$3:$B$16,0),MATCH(TRIM($B$4),panduan!$C$2:$H$2,0)),"")</f>
        <v>1</v>
      </c>
      <c r="C18" s="192">
        <f>IFERROR(INDEX(panduan!$C$3:$H$16,MATCH(TRIM(A18),panduan!$B$3:$B$16,0),MATCH(TRIM($B$5),panduan!$C$2:$H$2,0)),"")</f>
        <v>2</v>
      </c>
      <c r="D18" s="193">
        <v>1</v>
      </c>
      <c r="E18" s="194">
        <f t="shared" si="0"/>
        <v>-1</v>
      </c>
      <c r="F18" s="194">
        <f t="shared" si="1"/>
        <v>1</v>
      </c>
      <c r="G18" s="194" t="str">
        <f>IFERROR(INDEX(panduan!$C$167:$G$171,MATCH($F$37,panduan!$B$167:$B$171,0),MATCH($F18,panduan!$C$166:$G$166,0)),"")</f>
        <v>1,2,3,4</v>
      </c>
      <c r="H18" s="195" t="str">
        <f t="shared" si="2"/>
        <v>Personal Development,Education-Based Development,Relation-Based Development,Experience-Based Development</v>
      </c>
      <c r="I18" s="194">
        <f>IF(E18&lt;0,_xlfn.RANK.EQ(E18,$E$13:$E$26,1)+COUNTIF($E$13:E18,E18)-1,"")</f>
        <v>3</v>
      </c>
      <c r="J18" s="85" t="str">
        <f t="shared" si="3"/>
        <v>Analytical Thinking|Analyst|1</v>
      </c>
      <c r="K18" s="85" t="str">
        <f t="shared" si="4"/>
        <v>Analytical Thinking|Analyst|2</v>
      </c>
      <c r="L18" s="85" t="str">
        <f t="shared" si="5"/>
        <v>Analytical Thinking|Analyst|3</v>
      </c>
      <c r="M18" s="82" t="str">
        <f t="shared" si="6"/>
        <v>Analytical Thinking|Analyst|4</v>
      </c>
      <c r="N18" s="194">
        <f ca="1" t="array" ref="N18:U18">IF($J18="","",IFERROR(INDEX('sheet template'!$F$2:$M$1009,_xlfn.AGGREGATE(15,6,(ROW('sheet template'!$A$2:$A$1009)-ROW('sheet template'!$A$2)+1)/('sheet template'!$A$2:$A$1009=$J18),RANDBETWEEN(1,COUNTIF('sheet template'!$A$2:$A$1009,$J18))),0),""))</f>
        <v>1</v>
      </c>
      <c r="O18" s="85" t="str">
        <v>Tugas361</v>
      </c>
      <c r="P18" s="85" t="str">
        <v>Tujuan361</v>
      </c>
      <c r="Q18" s="85" t="str">
        <v>Instruksi361</v>
      </c>
      <c r="R18" s="85" t="str">
        <v>Output361</v>
      </c>
      <c r="S18" s="85" t="str">
        <v>Waktu361</v>
      </c>
      <c r="T18" s="85" t="str">
        <v>Monitoring361</v>
      </c>
      <c r="U18" s="85" t="str">
        <v>Standar kelulusan361</v>
      </c>
      <c r="V18" s="194">
        <f ca="1" t="array" ref="V18:AC18">IF($K18="","",IFERROR(INDEX('sheet template'!$F$2:$M$1009,_xlfn.AGGREGATE(15,6,(ROW('sheet template'!$A$2:$A$1009)-ROW('sheet template'!$A$2)+1)/('sheet template'!$A$2:$A$1009=$K18),RANDBETWEEN(1,3)),0),""))</f>
        <v>1</v>
      </c>
      <c r="W18" s="85" t="str">
        <v>Tugas364</v>
      </c>
      <c r="X18" s="85" t="str">
        <v>Tujuan364</v>
      </c>
      <c r="Y18" s="85" t="str">
        <v>Instruksi364</v>
      </c>
      <c r="Z18" s="85" t="str">
        <v>Output364</v>
      </c>
      <c r="AA18" s="85" t="str">
        <v>Waktu364</v>
      </c>
      <c r="AB18" s="85" t="str">
        <v>Monitoring364</v>
      </c>
      <c r="AC18" s="85" t="str">
        <v>Standar kelulusan364</v>
      </c>
      <c r="AD18" s="194">
        <f ca="1" t="array" ref="AD18:AK18">IF($L18="","",IFERROR(INDEX('sheet template'!$F$2:$M$1009,_xlfn.AGGREGATE(15,6,(ROW('sheet template'!$A$2:$A$1009)-ROW('sheet template'!$A$2)+1)/('sheet template'!$A$2:$A$1009=$L18),RANDBETWEEN(1,3)),0),""))</f>
        <v>2</v>
      </c>
      <c r="AE18" s="85" t="str">
        <v>Tugas368</v>
      </c>
      <c r="AF18" s="85" t="str">
        <v>Tujuan368</v>
      </c>
      <c r="AG18" s="85" t="str">
        <v>Instruksi368</v>
      </c>
      <c r="AH18" s="85" t="str">
        <v>Output368</v>
      </c>
      <c r="AI18" s="85" t="str">
        <v>Waktu368</v>
      </c>
      <c r="AJ18" s="85" t="str">
        <v>Monitoring368</v>
      </c>
      <c r="AK18" s="85" t="str">
        <v>Standar kelulusan368</v>
      </c>
      <c r="AL18" s="194">
        <f ca="1" t="array" ref="AL18:AS18">IF($M18="","",IFERROR(INDEX('sheet template'!$F$2:$M$1009,_xlfn.AGGREGATE(15,6,(ROW('sheet template'!$A$2:$A$1009)-ROW('sheet template'!$A$2)+1)/('sheet template'!$A$2:$A$1009=$M18),RANDBETWEEN(1,3)),0),""))</f>
        <v>3</v>
      </c>
      <c r="AM18" s="85" t="str">
        <v>Tugas372</v>
      </c>
      <c r="AN18" s="85" t="str">
        <v>Tujuan372</v>
      </c>
      <c r="AO18" s="85" t="str">
        <v>Instruksi372</v>
      </c>
      <c r="AP18" s="85" t="str">
        <v>Output372</v>
      </c>
      <c r="AQ18" s="85" t="str">
        <v>Waktu372</v>
      </c>
      <c r="AR18" s="85" t="str">
        <v>Monitoring372</v>
      </c>
      <c r="AS18" s="85" t="str">
        <v>Standar kelulusan372</v>
      </c>
    </row>
    <row r="19" ht="56" spans="1:45">
      <c r="A19" s="90" t="s">
        <v>449</v>
      </c>
      <c r="B19" s="191">
        <f>IFERROR(INDEX(panduan!$C$3:$H$16,MATCH(TRIM(A19),panduan!$B$3:$B$16,0),MATCH(TRIM($B$4),panduan!$C$2:$H$2,0)),"")</f>
        <v>1</v>
      </c>
      <c r="C19" s="192">
        <f>IFERROR(INDEX(panduan!$C$3:$H$16,MATCH(TRIM(A19),panduan!$B$3:$B$16,0),MATCH(TRIM($B$5),panduan!$C$2:$H$2,0)),"")</f>
        <v>2</v>
      </c>
      <c r="D19" s="193">
        <v>1</v>
      </c>
      <c r="E19" s="194">
        <f t="shared" si="0"/>
        <v>-1</v>
      </c>
      <c r="F19" s="194">
        <f t="shared" si="1"/>
        <v>1</v>
      </c>
      <c r="G19" s="194" t="str">
        <f>IFERROR(INDEX(panduan!$C$167:$G$171,MATCH($F$37,panduan!$B$167:$B$171,0),MATCH($F19,panduan!$C$166:$G$166,0)),"")</f>
        <v>1,2,3,4</v>
      </c>
      <c r="H19" s="195" t="str">
        <f t="shared" si="2"/>
        <v>Personal Development,Education-Based Development,Relation-Based Development,Experience-Based Development</v>
      </c>
      <c r="I19" s="194">
        <f>IF(E19&lt;0,_xlfn.RANK.EQ(E19,$E$13:$E$26,1)+COUNTIF($E$13:E19,E19)-1,"")</f>
        <v>4</v>
      </c>
      <c r="J19" s="85" t="str">
        <f t="shared" si="3"/>
        <v>Managing Change|Analyst|1</v>
      </c>
      <c r="K19" s="85" t="str">
        <f t="shared" si="4"/>
        <v>Managing Change|Analyst|2</v>
      </c>
      <c r="L19" s="85" t="str">
        <f t="shared" si="5"/>
        <v>Managing Change|Analyst|3</v>
      </c>
      <c r="M19" s="82" t="str">
        <f t="shared" si="6"/>
        <v>Managing Change|Analyst|4</v>
      </c>
      <c r="N19" s="194">
        <f ca="1" t="array" ref="N19:U19">IF($J19="","",IFERROR(INDEX('sheet template'!$F$2:$M$1009,_xlfn.AGGREGATE(15,6,(ROW('sheet template'!$A$2:$A$1009)-ROW('sheet template'!$A$2)+1)/('sheet template'!$A$2:$A$1009=$J19),RANDBETWEEN(1,COUNTIF('sheet template'!$A$2:$A$1009,$J19))),0),""))</f>
        <v>3</v>
      </c>
      <c r="O19" s="85" t="str">
        <v>Tugas435</v>
      </c>
      <c r="P19" s="85" t="str">
        <v>Tujuan435</v>
      </c>
      <c r="Q19" s="85" t="str">
        <v>Instruksi435</v>
      </c>
      <c r="R19" s="85" t="str">
        <v>Output435</v>
      </c>
      <c r="S19" s="85" t="str">
        <v>Waktu435</v>
      </c>
      <c r="T19" s="85" t="str">
        <v>Monitoring435</v>
      </c>
      <c r="U19" s="85" t="str">
        <v>Standar kelulusan435</v>
      </c>
      <c r="V19" s="194">
        <f ca="1" t="array" ref="V19:AC19">IF($K19="","",IFERROR(INDEX('sheet template'!$F$2:$M$1009,_xlfn.AGGREGATE(15,6,(ROW('sheet template'!$A$2:$A$1009)-ROW('sheet template'!$A$2)+1)/('sheet template'!$A$2:$A$1009=$K19),RANDBETWEEN(1,3)),0),""))</f>
        <v>2</v>
      </c>
      <c r="W19" s="85" t="str">
        <v>Tugas437</v>
      </c>
      <c r="X19" s="85" t="str">
        <v>Tujuan437</v>
      </c>
      <c r="Y19" s="85" t="str">
        <v>Instruksi437</v>
      </c>
      <c r="Z19" s="85" t="str">
        <v>Output437</v>
      </c>
      <c r="AA19" s="85" t="str">
        <v>Waktu437</v>
      </c>
      <c r="AB19" s="85" t="str">
        <v>Monitoring437</v>
      </c>
      <c r="AC19" s="85" t="str">
        <v>Standar kelulusan437</v>
      </c>
      <c r="AD19" s="194">
        <f ca="1" t="array" ref="AD19:AK19">IF($L19="","",IFERROR(INDEX('sheet template'!$F$2:$M$1009,_xlfn.AGGREGATE(15,6,(ROW('sheet template'!$A$2:$A$1009)-ROW('sheet template'!$A$2)+1)/('sheet template'!$A$2:$A$1009=$L19),RANDBETWEEN(1,3)),0),""))</f>
        <v>2</v>
      </c>
      <c r="AE19" s="85" t="str">
        <v>Tugas440</v>
      </c>
      <c r="AF19" s="85" t="str">
        <v>Tujuan440</v>
      </c>
      <c r="AG19" s="85" t="str">
        <v>Instruksi440</v>
      </c>
      <c r="AH19" s="85" t="str">
        <v>Output440</v>
      </c>
      <c r="AI19" s="85" t="str">
        <v>Waktu440</v>
      </c>
      <c r="AJ19" s="85" t="str">
        <v>Monitoring440</v>
      </c>
      <c r="AK19" s="85" t="str">
        <v>Standar kelulusan440</v>
      </c>
      <c r="AL19" s="194">
        <f ca="1" t="array" ref="AL19:AS19">IF($M19="","",IFERROR(INDEX('sheet template'!$F$2:$M$1009,_xlfn.AGGREGATE(15,6,(ROW('sheet template'!$A$2:$A$1009)-ROW('sheet template'!$A$2)+1)/('sheet template'!$A$2:$A$1009=$M19),RANDBETWEEN(1,3)),0),""))</f>
        <v>1</v>
      </c>
      <c r="AM19" s="85" t="str">
        <v>Tugas442</v>
      </c>
      <c r="AN19" s="85" t="str">
        <v>Tujuan442</v>
      </c>
      <c r="AO19" s="85" t="str">
        <v>Instruksi442</v>
      </c>
      <c r="AP19" s="85" t="str">
        <v>Output442</v>
      </c>
      <c r="AQ19" s="85" t="str">
        <v>Waktu442</v>
      </c>
      <c r="AR19" s="85" t="str">
        <v>Monitoring442</v>
      </c>
      <c r="AS19" s="85" t="str">
        <v>Standar kelulusan442</v>
      </c>
    </row>
    <row r="20" ht="56" spans="1:45">
      <c r="A20" s="90" t="s">
        <v>450</v>
      </c>
      <c r="B20" s="191">
        <f>IFERROR(INDEX(panduan!$C$3:$H$16,MATCH(TRIM(A20),panduan!$B$3:$B$16,0),MATCH(TRIM($B$4),panduan!$C$2:$H$2,0)),"")</f>
        <v>1</v>
      </c>
      <c r="C20" s="192">
        <f>IFERROR(INDEX(panduan!$C$3:$H$16,MATCH(TRIM(A20),panduan!$B$3:$B$16,0),MATCH(TRIM($B$5),panduan!$C$2:$H$2,0)),"")</f>
        <v>2</v>
      </c>
      <c r="D20" s="193">
        <v>1</v>
      </c>
      <c r="E20" s="194">
        <f t="shared" si="0"/>
        <v>-1</v>
      </c>
      <c r="F20" s="194">
        <f t="shared" si="1"/>
        <v>1</v>
      </c>
      <c r="G20" s="194" t="str">
        <f>IFERROR(INDEX(panduan!$C$167:$G$171,MATCH($F$37,panduan!$B$167:$B$171,0),MATCH($F20,panduan!$C$166:$G$166,0)),"")</f>
        <v>1,2,3,4</v>
      </c>
      <c r="H20" s="195" t="str">
        <f t="shared" si="2"/>
        <v>Personal Development,Education-Based Development,Relation-Based Development,Experience-Based Development</v>
      </c>
      <c r="I20" s="194">
        <f>IF(E20&lt;0,_xlfn.RANK.EQ(E20,$E$13:$E$26,1)+COUNTIF($E$13:E20,E20)-1,"")</f>
        <v>5</v>
      </c>
      <c r="J20" s="85" t="str">
        <f t="shared" si="3"/>
        <v>Strategic Thinking|Analyst|1</v>
      </c>
      <c r="K20" s="85" t="str">
        <f t="shared" si="4"/>
        <v>Strategic Thinking|Analyst|2</v>
      </c>
      <c r="L20" s="85" t="str">
        <f t="shared" si="5"/>
        <v>Strategic Thinking|Analyst|3</v>
      </c>
      <c r="M20" s="82" t="str">
        <f t="shared" si="6"/>
        <v>Strategic Thinking|Analyst|4</v>
      </c>
      <c r="N20" s="194">
        <f ca="1" t="array" ref="N20:U20">IF($J20="","",IFERROR(INDEX('sheet template'!$F$2:$M$1009,_xlfn.AGGREGATE(15,6,(ROW('sheet template'!$A$2:$A$1009)-ROW('sheet template'!$A$2)+1)/('sheet template'!$A$2:$A$1009=$J20),RANDBETWEEN(1,COUNTIF('sheet template'!$A$2:$A$1009,$J20))),0),""))</f>
        <v>1</v>
      </c>
      <c r="O20" s="85" t="str">
        <v>Tugas505</v>
      </c>
      <c r="P20" s="85" t="str">
        <v>Tujuan505</v>
      </c>
      <c r="Q20" s="85" t="str">
        <v>Instruksi505</v>
      </c>
      <c r="R20" s="85" t="str">
        <v>Output505</v>
      </c>
      <c r="S20" s="85" t="str">
        <v>Waktu505</v>
      </c>
      <c r="T20" s="85" t="str">
        <v>Monitoring505</v>
      </c>
      <c r="U20" s="85" t="str">
        <v>Standar kelulusan505</v>
      </c>
      <c r="V20" s="194">
        <f ca="1" t="array" ref="V20:AC20">IF($K20="","",IFERROR(INDEX('sheet template'!$F$2:$M$1009,_xlfn.AGGREGATE(15,6,(ROW('sheet template'!$A$2:$A$1009)-ROW('sheet template'!$A$2)+1)/('sheet template'!$A$2:$A$1009=$K20),RANDBETWEEN(1,3)),0),""))</f>
        <v>2</v>
      </c>
      <c r="W20" s="85" t="str">
        <v>Tugas509</v>
      </c>
      <c r="X20" s="85" t="str">
        <v>Tujuan509</v>
      </c>
      <c r="Y20" s="85" t="str">
        <v>Instruksi509</v>
      </c>
      <c r="Z20" s="85" t="str">
        <v>Output509</v>
      </c>
      <c r="AA20" s="85" t="str">
        <v>Waktu509</v>
      </c>
      <c r="AB20" s="85" t="str">
        <v>Monitoring509</v>
      </c>
      <c r="AC20" s="85" t="str">
        <v>Standar kelulusan509</v>
      </c>
      <c r="AD20" s="194">
        <f ca="1" t="array" ref="AD20:AK20">IF($L20="","",IFERROR(INDEX('sheet template'!$F$2:$M$1009,_xlfn.AGGREGATE(15,6,(ROW('sheet template'!$A$2:$A$1009)-ROW('sheet template'!$A$2)+1)/('sheet template'!$A$2:$A$1009=$L20),RANDBETWEEN(1,3)),0),""))</f>
        <v>1</v>
      </c>
      <c r="AE20" s="85" t="str">
        <v>Tugas511</v>
      </c>
      <c r="AF20" s="85" t="str">
        <v>Tujuan511</v>
      </c>
      <c r="AG20" s="85" t="str">
        <v>Instruksi511</v>
      </c>
      <c r="AH20" s="85" t="str">
        <v>Output511</v>
      </c>
      <c r="AI20" s="85" t="str">
        <v>Waktu511</v>
      </c>
      <c r="AJ20" s="85" t="str">
        <v>Monitoring511</v>
      </c>
      <c r="AK20" s="85" t="str">
        <v>Standar kelulusan511</v>
      </c>
      <c r="AL20" s="194">
        <f ca="1" t="array" ref="AL20:AS20">IF($M20="","",IFERROR(INDEX('sheet template'!$F$2:$M$1009,_xlfn.AGGREGATE(15,6,(ROW('sheet template'!$A$2:$A$1009)-ROW('sheet template'!$A$2)+1)/('sheet template'!$A$2:$A$1009=$M20),RANDBETWEEN(1,3)),0),""))</f>
        <v>2</v>
      </c>
      <c r="AM20" s="85" t="str">
        <v>Tugas515</v>
      </c>
      <c r="AN20" s="85" t="str">
        <v>Tujuan515</v>
      </c>
      <c r="AO20" s="85" t="str">
        <v>Instruksi515</v>
      </c>
      <c r="AP20" s="85" t="str">
        <v>Output515</v>
      </c>
      <c r="AQ20" s="85" t="str">
        <v>Waktu515</v>
      </c>
      <c r="AR20" s="85" t="str">
        <v>Monitoring515</v>
      </c>
      <c r="AS20" s="85" t="str">
        <v>Standar kelulusan515</v>
      </c>
    </row>
    <row r="21" spans="1:45">
      <c r="A21" s="90" t="s">
        <v>451</v>
      </c>
      <c r="B21" s="191">
        <f>IFERROR(INDEX(panduan!$C$3:$H$16,MATCH(TRIM(A21),panduan!$B$3:$B$16,0),MATCH(TRIM($B$4),panduan!$C$2:$H$2,0)),"")</f>
        <v>1</v>
      </c>
      <c r="C21" s="192">
        <f>IFERROR(INDEX(panduan!$C$3:$H$16,MATCH(TRIM(A21),panduan!$B$3:$B$16,0),MATCH(TRIM($B$5),panduan!$C$2:$H$2,0)),"")</f>
        <v>2</v>
      </c>
      <c r="D21" s="193">
        <v>2</v>
      </c>
      <c r="E21" s="194">
        <f t="shared" si="0"/>
        <v>0</v>
      </c>
      <c r="F21" s="194" t="str">
        <f t="shared" si="1"/>
        <v/>
      </c>
      <c r="G21" s="194" t="str">
        <f>IFERROR(INDEX(panduan!$C$167:$G$171,MATCH($F$37,panduan!$B$167:$B$171,0),MATCH($F21,panduan!$C$166:$G$166,0)),"")</f>
        <v/>
      </c>
      <c r="H21" s="195" t="str">
        <f t="shared" si="2"/>
        <v/>
      </c>
      <c r="I21" s="194" t="str">
        <f>IF(E21&lt;0,_xlfn.RANK.EQ(E21,$E$13:$E$26,1)+COUNTIF($E$13:E21,E21)-1,"")</f>
        <v/>
      </c>
      <c r="J21" s="85" t="str">
        <f t="shared" si="3"/>
        <v/>
      </c>
      <c r="K21" s="85" t="str">
        <f t="shared" si="4"/>
        <v/>
      </c>
      <c r="L21" s="85" t="str">
        <f t="shared" si="5"/>
        <v/>
      </c>
      <c r="M21" s="82" t="str">
        <f t="shared" si="6"/>
        <v/>
      </c>
      <c r="N21" s="194" t="str">
        <f ca="1" t="array" ref="N21">IF($J21="","",IFERROR(INDEX('sheet template'!$F$2:$M$1009,_xlfn.AGGREGATE(15,6,(ROW('sheet template'!$A$2:$A$1009)-ROW('sheet template'!$A$2)+1)/('sheet template'!$A$2:$A$1009=$J21),RANDBETWEEN(1,COUNTIF('sheet template'!$A$2:$A$1009,$J21))),0),""))</f>
        <v/>
      </c>
      <c r="O21" s="85"/>
      <c r="P21" s="85"/>
      <c r="Q21" s="85"/>
      <c r="R21" s="85"/>
      <c r="S21" s="85"/>
      <c r="T21" s="85"/>
      <c r="U21" s="85"/>
      <c r="V21" s="194" t="str">
        <f ca="1" t="array" ref="V21">IF($K21="","",IFERROR(INDEX('sheet template'!$F$2:$M$1009,_xlfn.AGGREGATE(15,6,(ROW('sheet template'!$A$2:$A$1009)-ROW('sheet template'!$A$2)+1)/('sheet template'!$A$2:$A$1009=$K21),RANDBETWEEN(1,3)),0),""))</f>
        <v/>
      </c>
      <c r="W21" s="85"/>
      <c r="X21" s="85"/>
      <c r="Y21" s="85"/>
      <c r="Z21" s="85"/>
      <c r="AA21" s="85"/>
      <c r="AB21" s="85"/>
      <c r="AC21" s="85"/>
      <c r="AD21" s="194" t="str">
        <f ca="1" t="array" ref="AD21">IF($L21="","",IFERROR(INDEX('sheet template'!$F$2:$M$1009,_xlfn.AGGREGATE(15,6,(ROW('sheet template'!$A$2:$A$1009)-ROW('sheet template'!$A$2)+1)/('sheet template'!$A$2:$A$1009=$L21),RANDBETWEEN(1,3)),0),""))</f>
        <v/>
      </c>
      <c r="AE21" s="85"/>
      <c r="AF21" s="85"/>
      <c r="AG21" s="85"/>
      <c r="AH21" s="85"/>
      <c r="AI21" s="85"/>
      <c r="AJ21" s="85"/>
      <c r="AK21" s="85"/>
      <c r="AL21" s="194" t="str">
        <f ca="1" t="array" ref="AL21">IF($M21="","",IFERROR(INDEX('sheet template'!$F$2:$M$1009,_xlfn.AGGREGATE(15,6,(ROW('sheet template'!$A$2:$A$1009)-ROW('sheet template'!$A$2)+1)/('sheet template'!$A$2:$A$1009=$M21),RANDBETWEEN(1,3)),0),""))</f>
        <v/>
      </c>
      <c r="AM21" s="85"/>
      <c r="AN21" s="85"/>
      <c r="AO21" s="85"/>
      <c r="AP21" s="85"/>
      <c r="AQ21" s="85"/>
      <c r="AR21" s="85"/>
      <c r="AS21" s="85"/>
    </row>
    <row r="22" ht="98" spans="1:45">
      <c r="A22" s="90" t="s">
        <v>452</v>
      </c>
      <c r="B22" s="191">
        <f>IFERROR(INDEX(panduan!$C$3:$H$16,MATCH(TRIM(A22),panduan!$B$3:$B$16,0),MATCH(TRIM($B$4),panduan!$C$2:$H$2,0)),"")</f>
        <v>2</v>
      </c>
      <c r="C22" s="192">
        <f>IFERROR(INDEX(panduan!$C$3:$H$16,MATCH(TRIM(A22),panduan!$B$3:$B$16,0),MATCH(TRIM($B$5),panduan!$C$2:$H$2,0)),"")</f>
        <v>3</v>
      </c>
      <c r="D22" s="193">
        <v>1</v>
      </c>
      <c r="E22" s="194">
        <f t="shared" si="0"/>
        <v>-2</v>
      </c>
      <c r="F22" s="194">
        <f t="shared" si="1"/>
        <v>2</v>
      </c>
      <c r="G22" s="194" t="str">
        <f>IFERROR(INDEX(panduan!$C$167:$G$171,MATCH($F$37,panduan!$B$167:$B$171,0),MATCH($F22,panduan!$C$166:$G$166,0)),"")</f>
        <v>1,2,3,4</v>
      </c>
      <c r="H22" s="195" t="str">
        <f t="shared" si="2"/>
        <v>Personal Development,Education-Based Development,Relation-Based Development,Experience-Based Development</v>
      </c>
      <c r="I22" s="194">
        <f>IF(E22&lt;0,_xlfn.RANK.EQ(E22,$E$13:$E$26,1)+COUNTIF($E$13:E22,E22)-1,"")</f>
        <v>1</v>
      </c>
      <c r="J22" s="85" t="str">
        <f t="shared" si="3"/>
        <v>Leadership|Analyst|1</v>
      </c>
      <c r="K22" s="85" t="str">
        <f t="shared" si="4"/>
        <v>Leadership|Analyst|2</v>
      </c>
      <c r="L22" s="85" t="str">
        <f t="shared" si="5"/>
        <v>Leadership|Analyst|3</v>
      </c>
      <c r="M22" s="85" t="str">
        <f t="shared" si="6"/>
        <v>Leadership|Analyst|4</v>
      </c>
      <c r="N22" s="194">
        <f ca="1" t="array" ref="N22:U22">IF($J22="","",IFERROR(INDEX('sheet template'!$F$2:$M$1009,_xlfn.AGGREGATE(15,6,(ROW('sheet template'!$A$2:$A$1009)-ROW('sheet template'!$A$2)+1)/('sheet template'!$A$2:$A$1009=$J22),RANDBETWEEN(1,COUNTIF('sheet template'!$A$2:$A$1009,$J22))),0),""))</f>
        <v>3</v>
      </c>
      <c r="O22" s="85" t="str">
        <v>Rekaman &amp; Analisis Percakapan (Fokus Pertanyaan)</v>
      </c>
      <c r="P22" s="85" t="str">
        <v>Mengidentifikasi pola pertanyaan yang terlalu tertutup atau menghakimi.</v>
      </c>
      <c r="Q22" s="85" t="str">
        <v>Rekam (izin) 1 percakapan kerja per bulan. Analisis: berapa pertanyaan terbuka vs tertutup, berapa pertanyaan yang menunjukkan rasa ingin tahu tulus vs sekadar konfirmasi.</v>
      </c>
      <c r="R22" s="85" t="str">
        <v>12 analisis; grafik peningkatan pertanyaan terbuka &amp; eksploratif</v>
      </c>
      <c r="S22" s="85" t="str">
        <v>Bulan 1–12</v>
      </c>
      <c r="T22" s="85" t="str">
        <v>Per bulan</v>
      </c>
      <c r="U22" s="85" t="str">
        <v>Peningkatan pertanyaan terbuka &amp; eksploratif ≥50%
Bandingkan dengan hasil sebelumnya</v>
      </c>
      <c r="V22" s="194">
        <f ca="1" t="array" ref="V22:AC22">IF($K22="","",IFERROR(INDEX('sheet template'!$F$2:$M$1009,_xlfn.AGGREGATE(15,6,(ROW('sheet template'!$A$2:$A$1009)-ROW('sheet template'!$A$2)+1)/('sheet template'!$A$2:$A$1009=$K22),RANDBETWEEN(1,3)),0),""))</f>
        <v>1</v>
      </c>
      <c r="W22" s="85" t="str">
        <v>Workshop "The Art of Powerful Questioning"</v>
      </c>
      <c r="X22" s="85" t="str">
        <v>Menguasai teknik bertanya yang membuka percakapan dan membangun pemahaman mendalam.</v>
      </c>
      <c r="Y22" s="85" t="str">
        <v>Pelatihan 1-2 hari tentang teknik bertanya eksploratif, active inquiry, dan pendekatan coaching. Praktik simulasi dengan studi kasus.</v>
      </c>
      <c r="Z22" s="85" t="str">
        <v>Sertifikat; daftar 10 pertanyaan eksploratif pribadi yang akan digunakan.</v>
      </c>
      <c r="AA22" s="85" t="str">
        <v>Bulan 1–12</v>
      </c>
      <c r="AB22" s="85" t="str">
        <v>Per bulan</v>
      </c>
      <c r="AC22" s="85" t="str">
        <v>Lulus role-play dengan skor minimal 80.
Evaluasi oleh fasilitator saat role-play</v>
      </c>
      <c r="AD22" s="194">
        <f ca="1" t="array" ref="AD22:AK22">IF($L22="","",IFERROR(INDEX('sheet template'!$F$2:$M$1009,_xlfn.AGGREGATE(15,6,(ROW('sheet template'!$A$2:$A$1009)-ROW('sheet template'!$A$2)+1)/('sheet template'!$A$2:$A$1009=$L22),RANDBETWEEN(1,3)),0),""))</f>
        <v>1</v>
      </c>
      <c r="AE22" s="85" t="str">
        <v>"Curiosity Circle" dengan Rekan Lintas Fungsi</v>
      </c>
      <c r="AF22" s="85" t="str">
        <v>Mempraktikkan rasa ingin tahu tulus dengan orang-orang dari latar belakang berbeda.</v>
      </c>
      <c r="AG22" s="85" t="str">
        <v>Bentuk kelompok 4 orang dari berbagai fungsi. Setiap bulan, satu orang menjadi "narasumber" tentang perjalanan karier dan motivasi mereka. Anggota lain hanya bertanya—tidak memberi saran.</v>
      </c>
      <c r="AH22" s="85" t="str">
        <v>8 sesi; catatan tentang insight baru yang diperoleh; umpan balik dari narasumber.</v>
      </c>
      <c r="AI22" s="85" t="str">
        <v>Bulan 1–12</v>
      </c>
      <c r="AJ22" s="85" t="str">
        <v>Per bulan</v>
      </c>
      <c r="AK22" s="85" t="str">
        <v>Setiap peserta mendapat skor ≥4 untuk "rasa ingin tahu yang tulus" dari narasumber.
 Review catatan insight oleh mentor</v>
      </c>
      <c r="AL22" s="194">
        <f ca="1" t="array" ref="AL22:AS22">IF($M22="","",IFERROR(INDEX('sheet template'!$F$2:$M$1009,_xlfn.AGGREGATE(15,6,(ROW('sheet template'!$A$2:$A$1009)-ROW('sheet template'!$A$2)+1)/('sheet template'!$A$2:$A$1009=$M22),RANDBETWEEN(1,3)),0),""))</f>
        <v>2</v>
      </c>
      <c r="AM22" s="85" t="str">
        <v>Memimpin "Discovery Session" dengan Tim Lintas Fungsi</v>
      </c>
      <c r="AN22" s="85" t="str">
        <v>Menggunakan rasa ingin tahu untuk menggali tantangan dan peluang lintas fungsi.</v>
      </c>
      <c r="AO22" s="85" t="str">
        <v>Pimpin sesi 1-2 jam dengan 4 orang dari berbagai fungsi. Gunakan pertanyaan eksploratif untuk menggali: "Apa tantangan terbesar dalam kolaborasi lintas fungsi?"</v>
      </c>
      <c r="AP22" s="85" t="str">
        <v>Dokumentasi sesi; daftar insight dan rekomendasi; umpan balik peserta.</v>
      </c>
      <c r="AQ22" s="85" t="str">
        <v>Bulan 1–12</v>
      </c>
      <c r="AR22" s="85" t="str">
        <v>Per bulan</v>
      </c>
      <c r="AS22" s="85" t="str">
        <v>minimal 3 insight lintas fungsi dan 2 rekomendasi tindak lanjut terdokumentasi.
Review dokumentasi oleh atasan</v>
      </c>
    </row>
    <row r="23" spans="1:45">
      <c r="A23" s="90" t="s">
        <v>453</v>
      </c>
      <c r="B23" s="191">
        <f>IFERROR(INDEX(panduan!$C$3:$H$16,MATCH(TRIM(A23),panduan!$B$3:$B$16,0),MATCH(TRIM($B$4),panduan!$C$2:$H$2,0)),"")</f>
        <v>1</v>
      </c>
      <c r="C23" s="192">
        <f>IFERROR(INDEX(panduan!$C$3:$H$16,MATCH(TRIM(A23),panduan!$B$3:$B$16,0),MATCH(TRIM($B$5),panduan!$C$2:$H$2,0)),"")</f>
        <v>2</v>
      </c>
      <c r="D23" s="193">
        <v>3</v>
      </c>
      <c r="E23" s="194">
        <f t="shared" si="0"/>
        <v>1</v>
      </c>
      <c r="F23" s="194" t="str">
        <f t="shared" si="1"/>
        <v/>
      </c>
      <c r="G23" s="194" t="str">
        <f>IFERROR(INDEX(panduan!$C$167:$G$171,MATCH($F$37,panduan!$B$167:$B$171,0),MATCH($F23,panduan!$C$166:$G$166,0)),"")</f>
        <v/>
      </c>
      <c r="H23" s="195" t="str">
        <f t="shared" si="2"/>
        <v/>
      </c>
      <c r="I23" s="194" t="str">
        <f>IF(E23&lt;0,_xlfn.RANK.EQ(E23,$E$13:$E$26,1)+COUNTIF($E$13:E23,E23)-1,"")</f>
        <v/>
      </c>
      <c r="J23" s="85" t="str">
        <f t="shared" si="3"/>
        <v/>
      </c>
      <c r="K23" s="85" t="str">
        <f t="shared" si="4"/>
        <v/>
      </c>
      <c r="L23" s="85" t="str">
        <f t="shared" si="5"/>
        <v/>
      </c>
      <c r="M23" s="82" t="str">
        <f t="shared" si="6"/>
        <v/>
      </c>
      <c r="N23" s="194" t="str">
        <f ca="1" t="array" ref="N23">IF($J23="","",IFERROR(INDEX('sheet template'!$F$2:$M$1009,_xlfn.AGGREGATE(15,6,(ROW('sheet template'!$A$2:$A$1009)-ROW('sheet template'!$A$2)+1)/('sheet template'!$A$2:$A$1009=$J23),RANDBETWEEN(1,COUNTIF('sheet template'!$A$2:$A$1009,$J23))),0),""))</f>
        <v/>
      </c>
      <c r="O23" s="85"/>
      <c r="P23" s="85"/>
      <c r="Q23" s="85"/>
      <c r="R23" s="85"/>
      <c r="S23" s="85"/>
      <c r="T23" s="85"/>
      <c r="U23" s="85"/>
      <c r="V23" s="194" t="str">
        <f ca="1" t="array" ref="V23">IF($K23="","",IFERROR(INDEX('sheet template'!$F$2:$M$1009,_xlfn.AGGREGATE(15,6,(ROW('sheet template'!$A$2:$A$1009)-ROW('sheet template'!$A$2)+1)/('sheet template'!$A$2:$A$1009=$K23),RANDBETWEEN(1,3)),0),""))</f>
        <v/>
      </c>
      <c r="W23" s="85"/>
      <c r="X23" s="85"/>
      <c r="Y23" s="85"/>
      <c r="Z23" s="85"/>
      <c r="AA23" s="85"/>
      <c r="AB23" s="85"/>
      <c r="AC23" s="85"/>
      <c r="AD23" s="194" t="str">
        <f ca="1">IF($L23="","",IFERROR(INDEX('sheet template'!$F$2:$M$1009,_xlfn.AGGREGATE(15,6,(ROW('sheet template'!$A$2:$A$1009)-ROW('sheet template'!$A$2)+1)/('sheet template'!$A$2:$A$1009=$L23),RANDBETWEEN(1,3)),0),""))</f>
        <v/>
      </c>
      <c r="AE23" s="85"/>
      <c r="AF23" s="85"/>
      <c r="AG23" s="85"/>
      <c r="AH23" s="85"/>
      <c r="AI23" s="85"/>
      <c r="AJ23" s="85"/>
      <c r="AK23" s="85"/>
      <c r="AL23" s="194" t="str">
        <f ca="1">IF($M23="","",IFERROR(INDEX('sheet template'!$F$2:$M$1009,_xlfn.AGGREGATE(15,6,(ROW('sheet template'!$A$2:$A$1009)-ROW('sheet template'!$A$2)+1)/('sheet template'!$A$2:$A$1009=$M23),RANDBETWEEN(1,3)),0),""))</f>
        <v/>
      </c>
      <c r="AM23" s="85"/>
      <c r="AN23" s="85"/>
      <c r="AO23" s="85"/>
      <c r="AP23" s="85"/>
      <c r="AQ23" s="85"/>
      <c r="AR23" s="85"/>
      <c r="AS23" s="85"/>
    </row>
    <row r="24" spans="1:45">
      <c r="A24" s="90" t="s">
        <v>454</v>
      </c>
      <c r="B24" s="191">
        <f>IFERROR(INDEX(panduan!$C$3:$H$16,MATCH(TRIM(A24),panduan!$B$3:$B$16,0),MATCH(TRIM($B$4),panduan!$C$2:$H$2,0)),"")</f>
        <v>2</v>
      </c>
      <c r="C24" s="192">
        <f>IFERROR(INDEX(panduan!$C$3:$H$16,MATCH(TRIM(A24),panduan!$B$3:$B$16,0),MATCH(TRIM($B$5),panduan!$C$2:$H$2,0)),"")</f>
        <v>3</v>
      </c>
      <c r="D24" s="193">
        <v>4</v>
      </c>
      <c r="E24" s="194">
        <f t="shared" si="0"/>
        <v>1</v>
      </c>
      <c r="F24" s="194" t="str">
        <f t="shared" si="1"/>
        <v/>
      </c>
      <c r="G24" s="194" t="str">
        <f>IFERROR(INDEX(panduan!$C$167:$G$171,MATCH($F$37,panduan!$B$167:$B$171,0),MATCH($F24,panduan!$C$166:$G$166,0)),"")</f>
        <v/>
      </c>
      <c r="H24" s="195" t="str">
        <f t="shared" si="2"/>
        <v/>
      </c>
      <c r="I24" s="194" t="str">
        <f>IF(E24&lt;0,_xlfn.RANK.EQ(E24,$E$13:$E$26,1)+COUNTIF($E$13:E24,E24)-1,"")</f>
        <v/>
      </c>
      <c r="J24" s="85" t="str">
        <f t="shared" si="3"/>
        <v/>
      </c>
      <c r="K24" s="85" t="str">
        <f t="shared" si="4"/>
        <v/>
      </c>
      <c r="L24" s="85" t="str">
        <f t="shared" si="5"/>
        <v/>
      </c>
      <c r="M24" s="82" t="str">
        <f t="shared" si="6"/>
        <v/>
      </c>
      <c r="N24" s="194" t="str">
        <f ca="1" t="array" ref="N24">IF($J24="","",IFERROR(INDEX('sheet template'!$F$2:$M$1009,_xlfn.AGGREGATE(15,6,(ROW('sheet template'!$A$2:$A$1009)-ROW('sheet template'!$A$2)+1)/('sheet template'!$A$2:$A$1009=$J24),RANDBETWEEN(1,COUNTIF('sheet template'!$A$2:$A$1009,$J24))),0),""))</f>
        <v/>
      </c>
      <c r="O24" s="85"/>
      <c r="P24" s="85"/>
      <c r="Q24" s="85"/>
      <c r="R24" s="85"/>
      <c r="S24" s="85"/>
      <c r="T24" s="85"/>
      <c r="U24" s="85"/>
      <c r="V24" s="194" t="str">
        <f ca="1" t="array" ref="V24">IF($K24="","",IFERROR(INDEX('sheet template'!$F$2:$M$1009,_xlfn.AGGREGATE(15,6,(ROW('sheet template'!$A$2:$A$1009)-ROW('sheet template'!$A$2)+1)/('sheet template'!$A$2:$A$1009=$K24),RANDBETWEEN(1,3)),0),""))</f>
        <v/>
      </c>
      <c r="W24" s="85"/>
      <c r="X24" s="85"/>
      <c r="Y24" s="85"/>
      <c r="Z24" s="85"/>
      <c r="AA24" s="85"/>
      <c r="AB24" s="85"/>
      <c r="AC24" s="85"/>
      <c r="AD24" s="194" t="str">
        <f ca="1">IF($L24="","",IFERROR(INDEX('sheet template'!$F$2:$M$1009,_xlfn.AGGREGATE(15,6,(ROW('sheet template'!$A$2:$A$1009)-ROW('sheet template'!$A$2)+1)/('sheet template'!$A$2:$A$1009=$L24),RANDBETWEEN(1,3)),0),""))</f>
        <v/>
      </c>
      <c r="AE24" s="85"/>
      <c r="AF24" s="85"/>
      <c r="AG24" s="85"/>
      <c r="AH24" s="85"/>
      <c r="AI24" s="85"/>
      <c r="AJ24" s="85"/>
      <c r="AK24" s="85"/>
      <c r="AL24" s="194" t="str">
        <f ca="1">IF($M24="","",IFERROR(INDEX('sheet template'!$F$2:$M$1009,_xlfn.AGGREGATE(15,6,(ROW('sheet template'!$A$2:$A$1009)-ROW('sheet template'!$A$2)+1)/('sheet template'!$A$2:$A$1009=$M24),RANDBETWEEN(1,3)),0),""))</f>
        <v/>
      </c>
      <c r="AM24" s="85"/>
      <c r="AN24" s="85"/>
      <c r="AO24" s="85"/>
      <c r="AP24" s="85"/>
      <c r="AQ24" s="85"/>
      <c r="AR24" s="85"/>
      <c r="AS24" s="85"/>
    </row>
    <row r="25" spans="1:45">
      <c r="A25" s="90" t="s">
        <v>455</v>
      </c>
      <c r="B25" s="191">
        <f>IFERROR(INDEX(panduan!$C$3:$H$16,MATCH(TRIM(A25),panduan!$B$3:$B$16,0),MATCH(TRIM($B$4),panduan!$C$2:$H$2,0)),"")</f>
        <v>1</v>
      </c>
      <c r="C25" s="192">
        <f>IFERROR(INDEX(panduan!$C$3:$H$16,MATCH(TRIM(A25),panduan!$B$3:$B$16,0),MATCH(TRIM($B$5),panduan!$C$2:$H$2,0)),"")</f>
        <v>2</v>
      </c>
      <c r="D25" s="193">
        <v>4</v>
      </c>
      <c r="E25" s="194">
        <f t="shared" si="0"/>
        <v>2</v>
      </c>
      <c r="F25" s="194" t="str">
        <f t="shared" si="1"/>
        <v/>
      </c>
      <c r="G25" s="194" t="str">
        <f>IFERROR(INDEX(panduan!$C$167:$G$171,MATCH($F$37,panduan!$B$167:$B$171,0),MATCH($F25,panduan!$C$166:$G$166,0)),"")</f>
        <v/>
      </c>
      <c r="H25" s="195" t="str">
        <f t="shared" si="2"/>
        <v/>
      </c>
      <c r="I25" s="194" t="str">
        <f>IF(E25&lt;0,_xlfn.RANK.EQ(E25,$E$13:$E$26,1)+COUNTIF($E$13:E25,E25)-1,"")</f>
        <v/>
      </c>
      <c r="J25" s="85" t="str">
        <f t="shared" si="3"/>
        <v/>
      </c>
      <c r="K25" s="85" t="str">
        <f t="shared" si="4"/>
        <v/>
      </c>
      <c r="L25" s="85" t="str">
        <f t="shared" si="5"/>
        <v/>
      </c>
      <c r="M25" s="82" t="str">
        <f t="shared" si="6"/>
        <v/>
      </c>
      <c r="N25" s="194" t="str">
        <f ca="1">IF($J25="","",IFERROR(INDEX('sheet template'!$F$2:$M$1009,_xlfn.AGGREGATE(15,6,(ROW('sheet template'!$A$2:$A$1009)-ROW('sheet template'!$A$2)+1)/('sheet template'!$A$2:$A$1009=$J25),RANDBETWEEN(1,COUNTIF('sheet template'!$A$2:$A$1009,$J25))),0),""))</f>
        <v/>
      </c>
      <c r="O25" s="85"/>
      <c r="P25" s="85"/>
      <c r="Q25" s="85"/>
      <c r="R25" s="85"/>
      <c r="S25" s="85"/>
      <c r="T25" s="85"/>
      <c r="U25" s="85"/>
      <c r="V25" s="194" t="str">
        <f ca="1" t="array" ref="V25">IF($K25="","",IFERROR(INDEX('sheet template'!$F$2:$M$1009,_xlfn.AGGREGATE(15,6,(ROW('sheet template'!$A$2:$A$1009)-ROW('sheet template'!$A$2)+1)/('sheet template'!$A$2:$A$1009=$K25),RANDBETWEEN(1,3)),0),""))</f>
        <v/>
      </c>
      <c r="W25" s="85"/>
      <c r="X25" s="85"/>
      <c r="Y25" s="85"/>
      <c r="Z25" s="85"/>
      <c r="AA25" s="85"/>
      <c r="AB25" s="85"/>
      <c r="AC25" s="85"/>
      <c r="AD25" s="194" t="str">
        <f ca="1">IF($L25="","",IFERROR(INDEX('sheet template'!$F$2:$M$1009,_xlfn.AGGREGATE(15,6,(ROW('sheet template'!$A$2:$A$1009)-ROW('sheet template'!$A$2)+1)/('sheet template'!$A$2:$A$1009=$L25),RANDBETWEEN(1,3)),0),""))</f>
        <v/>
      </c>
      <c r="AE25" s="85"/>
      <c r="AF25" s="85"/>
      <c r="AG25" s="85"/>
      <c r="AH25" s="85"/>
      <c r="AI25" s="85"/>
      <c r="AJ25" s="85"/>
      <c r="AK25" s="85"/>
      <c r="AL25" s="194" t="str">
        <f ca="1">IF($M25="","",IFERROR(INDEX('sheet template'!$F$2:$M$1009,_xlfn.AGGREGATE(15,6,(ROW('sheet template'!$A$2:$A$1009)-ROW('sheet template'!$A$2)+1)/('sheet template'!$A$2:$A$1009=$M25),RANDBETWEEN(1,3)),0),""))</f>
        <v/>
      </c>
      <c r="AM25" s="85"/>
      <c r="AN25" s="85"/>
      <c r="AO25" s="85"/>
      <c r="AP25" s="85"/>
      <c r="AQ25" s="85"/>
      <c r="AR25" s="85"/>
      <c r="AS25" s="85"/>
    </row>
    <row r="26" spans="1:45">
      <c r="A26" s="90" t="s">
        <v>456</v>
      </c>
      <c r="B26" s="191">
        <f>IFERROR(INDEX(panduan!$C$3:$H$16,MATCH(TRIM(A26),panduan!$B$3:$B$16,0),MATCH(TRIM($B$4),panduan!$C$2:$H$2,0)),"")</f>
        <v>1</v>
      </c>
      <c r="C26" s="192">
        <f>IFERROR(INDEX(panduan!$C$3:$H$16,MATCH(TRIM(A26),panduan!$B$3:$B$16,0),MATCH(TRIM($B$5),panduan!$C$2:$H$2,0)),"")</f>
        <v>2</v>
      </c>
      <c r="D26" s="193">
        <v>4</v>
      </c>
      <c r="E26" s="194">
        <f t="shared" si="0"/>
        <v>2</v>
      </c>
      <c r="F26" s="194" t="str">
        <f t="shared" si="1"/>
        <v/>
      </c>
      <c r="G26" s="194" t="str">
        <f>IFERROR(INDEX(panduan!$C$167:$G$171,MATCH($F$37,panduan!$B$167:$B$171,0),MATCH($F26,panduan!$C$166:$G$166,0)),"")</f>
        <v/>
      </c>
      <c r="H26" s="195" t="str">
        <f t="shared" si="2"/>
        <v/>
      </c>
      <c r="I26" s="194" t="str">
        <f>IF(E26&lt;0,_xlfn.RANK.EQ(E26,$E$13:$E$26,1)+COUNTIF($E$13:E26,E26)-1,"")</f>
        <v/>
      </c>
      <c r="J26" s="85" t="str">
        <f t="shared" si="3"/>
        <v/>
      </c>
      <c r="K26" s="85" t="str">
        <f t="shared" si="4"/>
        <v/>
      </c>
      <c r="L26" s="85" t="str">
        <f t="shared" si="5"/>
        <v/>
      </c>
      <c r="M26" s="82" t="str">
        <f t="shared" si="6"/>
        <v/>
      </c>
      <c r="N26" s="194" t="str">
        <f ca="1">IF($J26="","",IFERROR(INDEX('sheet template'!$F$2:$M$1009,_xlfn.AGGREGATE(15,6,(ROW('sheet template'!$A$2:$A$1009)-ROW('sheet template'!$A$2)+1)/('sheet template'!$A$2:$A$1009=$J26),RANDBETWEEN(1,COUNTIF('sheet template'!$A$2:$A$1009,$J26))),0),""))</f>
        <v/>
      </c>
      <c r="O26" s="85"/>
      <c r="P26" s="85"/>
      <c r="Q26" s="85"/>
      <c r="R26" s="85"/>
      <c r="S26" s="85"/>
      <c r="T26" s="85"/>
      <c r="U26" s="85"/>
      <c r="V26" s="194" t="str">
        <f ca="1">IF($K26="","",IFERROR(INDEX('sheet template'!$F$2:$M$1009,_xlfn.AGGREGATE(15,6,(ROW('sheet template'!$A$2:$A$1009)-ROW('sheet template'!$A$2)+1)/('sheet template'!$A$2:$A$1009=$K26),RANDBETWEEN(1,3)),0),""))</f>
        <v/>
      </c>
      <c r="W26" s="85"/>
      <c r="X26" s="85"/>
      <c r="Y26" s="85"/>
      <c r="Z26" s="85"/>
      <c r="AA26" s="85"/>
      <c r="AB26" s="85"/>
      <c r="AC26" s="85"/>
      <c r="AD26" s="194" t="str">
        <f ca="1">IF($L26="","",IFERROR(INDEX('sheet template'!$F$2:$M$1009,_xlfn.AGGREGATE(15,6,(ROW('sheet template'!$A$2:$A$1009)-ROW('sheet template'!$A$2)+1)/('sheet template'!$A$2:$A$1009=$L26),RANDBETWEEN(1,3)),0),""))</f>
        <v/>
      </c>
      <c r="AE26" s="85"/>
      <c r="AF26" s="85"/>
      <c r="AG26" s="85"/>
      <c r="AH26" s="85"/>
      <c r="AI26" s="85"/>
      <c r="AJ26" s="85"/>
      <c r="AK26" s="85"/>
      <c r="AL26" s="194" t="str">
        <f ca="1">IF($M26="","",IFERROR(INDEX('sheet template'!$F$2:$M$1009,_xlfn.AGGREGATE(15,6,(ROW('sheet template'!$A$2:$A$1009)-ROW('sheet template'!$A$2)+1)/('sheet template'!$A$2:$A$1009=$M26),RANDBETWEEN(1,3)),0),""))</f>
        <v/>
      </c>
      <c r="AM26" s="85"/>
      <c r="AN26" s="85"/>
      <c r="AO26" s="85"/>
      <c r="AP26" s="85"/>
      <c r="AQ26" s="85"/>
      <c r="AR26" s="85"/>
      <c r="AS26" s="85"/>
    </row>
    <row r="31" ht="30" spans="1:45">
      <c r="A31" s="185" t="s">
        <v>457</v>
      </c>
      <c r="B31" s="196" t="s">
        <v>412</v>
      </c>
      <c r="C31" s="196" t="s">
        <v>413</v>
      </c>
      <c r="D31" s="196" t="s">
        <v>458</v>
      </c>
      <c r="E31" s="197" t="s">
        <v>415</v>
      </c>
      <c r="F31" s="196" t="s">
        <v>459</v>
      </c>
    </row>
    <row r="32" spans="1:45">
      <c r="A32" s="90" t="str">
        <f>'Profile Summary'!A98</f>
        <v>Mental Agility</v>
      </c>
      <c r="B32" s="198">
        <f>'Profile Summary'!B98</f>
        <v>3</v>
      </c>
      <c r="C32" s="198">
        <f>'Profile Summary'!C98</f>
        <v>3</v>
      </c>
      <c r="D32" s="198">
        <f>'Profile Summary'!D98</f>
        <v>0</v>
      </c>
      <c r="E32" s="198" t="str">
        <f>'Profile Summary'!E98</f>
        <v>Aligned</v>
      </c>
      <c r="F32" s="194"/>
    </row>
    <row r="33" spans="1:45">
      <c r="A33" s="90" t="str">
        <f>'Profile Summary'!A99</f>
        <v>People Agility</v>
      </c>
      <c r="B33" s="198">
        <f>'Profile Summary'!B99</f>
        <v>3</v>
      </c>
      <c r="C33" s="198">
        <f>'Profile Summary'!C99</f>
        <v>3</v>
      </c>
      <c r="D33" s="198">
        <f>'Profile Summary'!D99</f>
        <v>0</v>
      </c>
      <c r="E33" s="198" t="str">
        <f>'Profile Summary'!E99</f>
        <v>Aligned</v>
      </c>
      <c r="F33" s="194"/>
    </row>
    <row r="34" spans="1:45">
      <c r="A34" s="90" t="str">
        <f>'Profile Summary'!A100</f>
        <v>Change Agility</v>
      </c>
      <c r="B34" s="198">
        <f>'Profile Summary'!B100</f>
        <v>3</v>
      </c>
      <c r="C34" s="198">
        <f>'Profile Summary'!C100</f>
        <v>3</v>
      </c>
      <c r="D34" s="198">
        <f>'Profile Summary'!D100</f>
        <v>0</v>
      </c>
      <c r="E34" s="198" t="str">
        <f>'Profile Summary'!E100</f>
        <v>Aligned</v>
      </c>
      <c r="F34" s="194"/>
    </row>
    <row r="35" spans="1:45">
      <c r="A35" s="90" t="str">
        <f>'Profile Summary'!A101</f>
        <v>Result Agility</v>
      </c>
      <c r="B35" s="198">
        <f>'Profile Summary'!B101</f>
        <v>3</v>
      </c>
      <c r="C35" s="198">
        <f>'Profile Summary'!C101</f>
        <v>3</v>
      </c>
      <c r="D35" s="198">
        <f>'Profile Summary'!D101</f>
        <v>0</v>
      </c>
      <c r="E35" s="198" t="str">
        <f>'Profile Summary'!E101</f>
        <v>Aligned</v>
      </c>
      <c r="F35" s="194"/>
    </row>
    <row r="36" spans="1:45">
      <c r="A36" s="90" t="str">
        <f>'Profile Summary'!A102</f>
        <v>Self Awareness</v>
      </c>
      <c r="B36" s="198">
        <f>'Profile Summary'!B102</f>
        <v>3</v>
      </c>
      <c r="C36" s="198">
        <f>'Profile Summary'!C102</f>
        <v>3</v>
      </c>
      <c r="D36" s="198">
        <f>'Profile Summary'!D102</f>
        <v>0</v>
      </c>
      <c r="E36" s="198" t="str">
        <f>'Profile Summary'!E102</f>
        <v>Aligned</v>
      </c>
      <c r="F36" s="194"/>
    </row>
    <row r="37" s="179" customFormat="1" spans="1:45">
      <c r="A37" s="199"/>
      <c r="B37" s="200">
        <f>'Profile Summary'!B103</f>
        <v>3</v>
      </c>
      <c r="C37" s="200">
        <f>'Profile Summary'!C103</f>
        <v>3</v>
      </c>
      <c r="D37" s="200">
        <f>'Profile Summary'!D103</f>
        <v>0</v>
      </c>
      <c r="E37" s="200" t="str">
        <f>'Profile Summary'!E103</f>
        <v>Aligned</v>
      </c>
      <c r="F37" s="201" cm="1">
        <f t="array" ref="F37">_xlfn.IFS(D37&gt;=1,0,D37&gt;=0.5,1,D37&gt;=-0.49,2,D37&gt;=-0.99,3,D37&lt;=-1,4)</f>
        <v>2</v>
      </c>
      <c r="H37" s="202"/>
      <c r="J37" s="203"/>
      <c r="K37" s="203"/>
      <c r="L37" s="203"/>
      <c r="M37" s="202"/>
      <c r="N37" s="204"/>
      <c r="O37" s="202"/>
      <c r="P37" s="202"/>
      <c r="Q37" s="202"/>
      <c r="R37" s="202"/>
      <c r="S37" s="202"/>
      <c r="T37" s="202"/>
      <c r="U37" s="202"/>
      <c r="V37" s="204"/>
      <c r="W37" s="202"/>
      <c r="X37" s="202"/>
      <c r="Y37" s="202"/>
      <c r="Z37" s="202"/>
      <c r="AA37" s="202"/>
      <c r="AB37" s="202"/>
      <c r="AC37" s="202"/>
      <c r="AD37" s="205"/>
      <c r="AE37" s="202"/>
      <c r="AF37" s="202"/>
      <c r="AG37" s="202"/>
      <c r="AH37" s="202"/>
      <c r="AI37" s="202"/>
      <c r="AJ37" s="202"/>
      <c r="AK37" s="202"/>
      <c r="AL37" s="205"/>
      <c r="AM37" s="202"/>
      <c r="AN37" s="202"/>
      <c r="AO37" s="202"/>
      <c r="AP37" s="202"/>
      <c r="AQ37" s="202"/>
      <c r="AR37" s="202"/>
      <c r="AS37" s="202"/>
    </row>
    <row r="41" spans="1:45">
      <c r="A41" s="83" t="s">
        <v>17</v>
      </c>
      <c r="B41" s="83" t="str">
        <f>Identitas!D12</f>
        <v>Unit Head/Specialist</v>
      </c>
    </row>
    <row r="43" ht="42" spans="1:45">
      <c r="A43" s="183" t="s">
        <v>426</v>
      </c>
      <c r="B43" s="184" t="s">
        <v>427</v>
      </c>
      <c r="C43" s="185" t="s">
        <v>460</v>
      </c>
      <c r="D43" s="186" t="s">
        <v>429</v>
      </c>
      <c r="E43" s="187" t="s">
        <v>430</v>
      </c>
      <c r="F43" s="187" t="s">
        <v>431</v>
      </c>
      <c r="G43" s="187" t="s">
        <v>432</v>
      </c>
      <c r="H43" s="187" t="s">
        <v>433</v>
      </c>
      <c r="I43" s="188" t="s">
        <v>434</v>
      </c>
      <c r="J43" s="189" t="s">
        <v>435</v>
      </c>
      <c r="K43" s="189" t="s">
        <v>436</v>
      </c>
      <c r="L43" s="189" t="s">
        <v>437</v>
      </c>
      <c r="M43" s="189" t="s">
        <v>438</v>
      </c>
      <c r="N43" s="190" t="s">
        <v>439</v>
      </c>
      <c r="O43" s="190"/>
      <c r="P43" s="190"/>
      <c r="Q43" s="190"/>
      <c r="R43" s="190"/>
      <c r="S43" s="190"/>
      <c r="T43" s="190"/>
      <c r="U43" s="190"/>
      <c r="V43" s="190" t="s">
        <v>440</v>
      </c>
      <c r="W43" s="190"/>
      <c r="X43" s="190"/>
      <c r="Y43" s="190"/>
      <c r="Z43" s="190"/>
      <c r="AA43" s="190"/>
      <c r="AB43" s="190"/>
      <c r="AC43" s="190"/>
      <c r="AD43" s="190" t="s">
        <v>441</v>
      </c>
      <c r="AE43" s="190"/>
      <c r="AF43" s="190"/>
      <c r="AG43" s="190"/>
      <c r="AH43" s="190"/>
      <c r="AI43" s="190"/>
      <c r="AJ43" s="190"/>
      <c r="AK43" s="190"/>
      <c r="AL43" s="190" t="s">
        <v>442</v>
      </c>
      <c r="AM43" s="190"/>
      <c r="AN43" s="190"/>
      <c r="AO43" s="190"/>
      <c r="AP43" s="190"/>
      <c r="AQ43" s="190"/>
      <c r="AR43" s="190"/>
      <c r="AS43" s="190"/>
    </row>
    <row r="44" ht="56" spans="1:45">
      <c r="A44" s="90" t="s">
        <v>443</v>
      </c>
      <c r="B44" s="191">
        <f>IFERROR(INDEX(panduan!$C$3:$H$16,MATCH(TRIM(A44),panduan!$B$3:$B$16,0),MATCH(TRIM($B$4),panduan!$C$2:$H$2,0)),"")</f>
        <v>2</v>
      </c>
      <c r="C44" s="192">
        <f>IFERROR(INDEX(panduan!$C$3:$H$16,MATCH(TRIM(A44),panduan!$B$3:$B$16,0),MATCH(TRIM($B$41),panduan!$C$2:$H$2,0)),"")</f>
        <v>3</v>
      </c>
      <c r="D44" s="193">
        <v>2</v>
      </c>
      <c r="E44" s="194">
        <f>D44-C44</f>
        <v>-1</v>
      </c>
      <c r="F44" s="194">
        <f>IF(E44&lt;0,MIN(-E44,4),"")</f>
        <v>1</v>
      </c>
      <c r="G44" s="194" t="str">
        <f>IFERROR(INDEX(panduan!$C$167:$G$171,MATCH($F$37,panduan!$B$167:$B$171,0),MATCH($F44,panduan!$C$166:$G$166,0)),"")</f>
        <v>1,2,3,4</v>
      </c>
      <c r="H44" s="195" t="str">
        <f>IF(G44="","",SUBSTITUTE(SUBSTITUTE(SUBSTITUTE(SUBSTITUTE(G44,"1","Personal Development"),"2","Education-Based Development"),"3","Relation-Based Development"),"4","Experience-Based Development"))</f>
        <v>Personal Development,Education-Based Development,Relation-Based Development,Experience-Based Development</v>
      </c>
      <c r="I44" s="194">
        <f>IF(E44&lt;0,_xlfn.RANK.EQ(E44,$E$44:$E$57,1)+COUNTIF($E$44:E44,E44)-1,"")</f>
        <v>6</v>
      </c>
      <c r="J44" s="85" t="str">
        <f>IF(ISNUMBER(FIND("1",$G44)),$A44&amp;"|"&amp;$B$5&amp;"|1","")</f>
        <v>Achievement Drive|Analyst|1</v>
      </c>
      <c r="K44" s="85" t="str">
        <f>IF(ISNUMBER(FIND("2",$G44)),$A44&amp;"|"&amp;$B$5&amp;"|2","")</f>
        <v>Achievement Drive|Analyst|2</v>
      </c>
      <c r="L44" s="85" t="str">
        <f>IF(ISNUMBER(FIND("3",$G44)),$A44&amp;"|"&amp;$B$5&amp;"|3","")</f>
        <v>Achievement Drive|Analyst|3</v>
      </c>
      <c r="M44" s="82" t="str">
        <f>IF(ISNUMBER(FIND("4",$G44)),$A44&amp;"|"&amp;$B$5&amp;"|4","")</f>
        <v>Achievement Drive|Analyst|4</v>
      </c>
      <c r="N44" s="194">
        <f ca="1" t="array" ref="N44:U44">IF($J44="","",IFERROR(INDEX('sheet template'!$F$2:$M$1009,_xlfn.AGGREGATE(15,6,(ROW('sheet template'!$A$2:$A$1009)-ROW('sheet template'!$A$2)+1)/('sheet template'!$A$2:$A$1009=$J44),RANDBETWEEN(1,COUNTIF('sheet template'!$A$2:$A$1009,$J44))),0),""))</f>
        <v>1</v>
      </c>
      <c r="O44" s="85" t="str">
        <v>Tugas289</v>
      </c>
      <c r="P44" s="85" t="str">
        <v>Tujuan289</v>
      </c>
      <c r="Q44" s="85" t="str">
        <v>Instruksi289</v>
      </c>
      <c r="R44" s="85" t="str">
        <v>Output289</v>
      </c>
      <c r="S44" s="85" t="str">
        <v>Waktu289</v>
      </c>
      <c r="T44" s="85" t="str">
        <v>Monitoring289</v>
      </c>
      <c r="U44" s="85" t="str">
        <v>Standar kelulusan289</v>
      </c>
      <c r="V44" s="194">
        <f ca="1" t="array" ref="V44:AC44">IF($K44="","",IFERROR(INDEX('sheet template'!$F$2:$M$1009,_xlfn.AGGREGATE(15,6,(ROW('sheet template'!$A$2:$A$1009)-ROW('sheet template'!$A$2)+1)/('sheet template'!$A$2:$A$1009=$K44),RANDBETWEEN(1,COUNTIF('sheet template'!$A$2:$A$1009,$K44))),0),""))</f>
        <v>1</v>
      </c>
      <c r="W44" s="85" t="str">
        <v>Tugas292</v>
      </c>
      <c r="X44" s="85" t="str">
        <v>Tujuan292</v>
      </c>
      <c r="Y44" s="85" t="str">
        <v>Instruksi292</v>
      </c>
      <c r="Z44" s="85" t="str">
        <v>Output292</v>
      </c>
      <c r="AA44" s="85" t="str">
        <v>Waktu292</v>
      </c>
      <c r="AB44" s="85" t="str">
        <v>Monitoring292</v>
      </c>
      <c r="AC44" s="85" t="str">
        <v>Standar kelulusan292</v>
      </c>
      <c r="AD44" s="194">
        <f ca="1" t="array" ref="AD44:AK44">IF($L44="","",IFERROR(INDEX('sheet template'!$F$2:$M$1009,_xlfn.AGGREGATE(15,6,(ROW('sheet template'!$A$2:$A$1009)-ROW('sheet template'!$A$2)+1)/('sheet template'!$A$2:$A$1009=$L44),RANDBETWEEN(1,COUNTIF('sheet template'!$A$2:$A$1009,$L44))),0),""))</f>
        <v>2</v>
      </c>
      <c r="AE44" s="85" t="str">
        <v>Tugas296</v>
      </c>
      <c r="AF44" s="85" t="str">
        <v>Tujuan296</v>
      </c>
      <c r="AG44" s="85" t="str">
        <v>Instruksi296</v>
      </c>
      <c r="AH44" s="85" t="str">
        <v>Output296</v>
      </c>
      <c r="AI44" s="85" t="str">
        <v>Waktu296</v>
      </c>
      <c r="AJ44" s="85" t="str">
        <v>Monitoring296</v>
      </c>
      <c r="AK44" s="85" t="str">
        <v>Standar kelulusan296</v>
      </c>
      <c r="AL44" s="194">
        <f ca="1" t="array" ref="AL44:AS44">IF($M44="","",IFERROR(INDEX('sheet template'!$F$2:$M$1009,_xlfn.AGGREGATE(15,6,(ROW('sheet template'!$A$2:$A$1009)-ROW('sheet template'!$A$2)+1)/('sheet template'!$A$2:$A$1009=$M44),RANDBETWEEN(1,COUNTIF('sheet template'!$A$2:$A$1009,$M44))),0),""))</f>
        <v>2</v>
      </c>
      <c r="AM44" s="85" t="str">
        <v>Tugas299</v>
      </c>
      <c r="AN44" s="85" t="str">
        <v>Tujuan299</v>
      </c>
      <c r="AO44" s="85" t="str">
        <v>Instruksi299</v>
      </c>
      <c r="AP44" s="85" t="str">
        <v>Output299</v>
      </c>
      <c r="AQ44" s="85" t="str">
        <v>Waktu299</v>
      </c>
      <c r="AR44" s="85" t="str">
        <v>Monitoring299</v>
      </c>
      <c r="AS44" s="85" t="str">
        <v>Standar kelulusan299</v>
      </c>
    </row>
    <row r="45" ht="56" spans="1:45">
      <c r="A45" s="90" t="s">
        <v>444</v>
      </c>
      <c r="B45" s="191">
        <f>IFERROR(INDEX(panduan!$C$3:$H$16,MATCH(TRIM(A45),panduan!$B$3:$B$16,0),MATCH(TRIM($B$4),panduan!$C$2:$H$2,0)),"")</f>
        <v>1</v>
      </c>
      <c r="C45" s="192">
        <f>IFERROR(INDEX(panduan!$C$3:$H$16,MATCH(TRIM(A45),panduan!$B$3:$B$16,0),MATCH(TRIM($B$41),panduan!$C$2:$H$2,0)),"")</f>
        <v>3</v>
      </c>
      <c r="D45" s="193">
        <v>2</v>
      </c>
      <c r="E45" s="194">
        <f t="shared" ref="E45:E57" si="7">D45-C45</f>
        <v>-1</v>
      </c>
      <c r="F45" s="194">
        <f t="shared" ref="F45:F57" si="8">IF(E45&lt;0,MIN(-E45,4),"")</f>
        <v>1</v>
      </c>
      <c r="G45" s="194" t="str">
        <f>IFERROR(INDEX(panduan!$C$167:$G$171,MATCH($F$37,panduan!$B$167:$B$171,0),MATCH($F45,panduan!$C$166:$G$166,0)),"")</f>
        <v>1,2,3,4</v>
      </c>
      <c r="H45" s="195" t="str">
        <f t="shared" ref="H45:H57" si="9">IF(G45="","",SUBSTITUTE(SUBSTITUTE(SUBSTITUTE(SUBSTITUTE(G45,"1","Personal Development"),"2","Education-Based Development"),"3","Relation-Based Development"),"4","Experience-Based Development"))</f>
        <v>Personal Development,Education-Based Development,Relation-Based Development,Experience-Based Development</v>
      </c>
      <c r="I45" s="194">
        <f>IF(E45&lt;0,_xlfn.RANK.EQ(E45,$E$44:$E$57,1)+COUNTIF($E$44:E45,E45)-1,"")</f>
        <v>7</v>
      </c>
      <c r="J45" s="85" t="str">
        <f t="shared" ref="J45:J57" si="10">IF(ISNUMBER(FIND("1",$G45)),$A45&amp;"|"&amp;$B$5&amp;"|1","")</f>
        <v>Developing Oneself|Analyst|1</v>
      </c>
      <c r="K45" s="85" t="str">
        <f t="shared" ref="K45:K57" si="11">IF(ISNUMBER(FIND("2",$G45)),$A45&amp;"|"&amp;$B$5&amp;"|2","")</f>
        <v>Developing Oneself|Analyst|2</v>
      </c>
      <c r="L45" s="85" t="str">
        <f t="shared" ref="L45:L57" si="12">IF(ISNUMBER(FIND("3",$G45)),$A45&amp;"|"&amp;$B$5&amp;"|3","")</f>
        <v>Developing Oneself|Analyst|3</v>
      </c>
      <c r="M45" s="82" t="str">
        <f t="shared" ref="M45:M57" si="13">IF(ISNUMBER(FIND("4",$G45)),$A45&amp;"|"&amp;$B$5&amp;"|4","")</f>
        <v>Developing Oneself|Analyst|4</v>
      </c>
      <c r="N45" s="194">
        <f ca="1" t="array" ref="N45:U45">IF($J45="","",IFERROR(INDEX('sheet template'!$F$2:$M$1009,_xlfn.AGGREGATE(15,6,(ROW('sheet template'!$A$2:$A$1009)-ROW('sheet template'!$A$2)+1)/('sheet template'!$A$2:$A$1009=$J45),RANDBETWEEN(1,COUNTIF('sheet template'!$A$2:$A$1009,$J45))),0),""))</f>
        <v>1</v>
      </c>
      <c r="O45" s="85" t="str">
        <v>Tugas1</v>
      </c>
      <c r="P45" s="85" t="str">
        <v>Tujuan1</v>
      </c>
      <c r="Q45" s="85" t="str">
        <v>Instruksi1</v>
      </c>
      <c r="R45" s="85" t="str">
        <v>Output1</v>
      </c>
      <c r="S45" s="85" t="str">
        <v>Waktu1</v>
      </c>
      <c r="T45" s="85" t="str">
        <v>Monitoring1</v>
      </c>
      <c r="U45" s="85" t="str">
        <v>Standar kelulusan1</v>
      </c>
      <c r="V45" s="194">
        <f ca="1" t="array" ref="V45:AC45">IF($J45="","",IFERROR(INDEX('sheet template'!$F$2:$M$1009,_xlfn.AGGREGATE(15,6,(ROW('sheet template'!$A$2:$A$1009)-ROW('sheet template'!$A$2)+1)/('sheet template'!$A$2:$A$1009=$J45),RANDBETWEEN(1,COUNTIF('sheet template'!$A$2:$A$1009,$J45))),0),""))</f>
        <v>2</v>
      </c>
      <c r="W45" s="85" t="str">
        <v>Tugas2</v>
      </c>
      <c r="X45" s="85" t="str">
        <v>Tujuan2</v>
      </c>
      <c r="Y45" s="85" t="str">
        <v>Instruksi2</v>
      </c>
      <c r="Z45" s="85" t="str">
        <v>Output2</v>
      </c>
      <c r="AA45" s="85" t="str">
        <v>Waktu2</v>
      </c>
      <c r="AB45" s="85" t="str">
        <v>Monitoring2</v>
      </c>
      <c r="AC45" s="85" t="str">
        <v>Standar kelulusan2</v>
      </c>
      <c r="AD45" s="194">
        <f ca="1" t="array" ref="AD45:AK45">IF($L45="","",IFERROR(INDEX('sheet template'!$F$2:$M$1009,_xlfn.AGGREGATE(15,6,(ROW('sheet template'!$A$2:$A$1009)-ROW('sheet template'!$A$2)+1)/('sheet template'!$A$2:$A$1009=$L45),RANDBETWEEN(1,COUNTIF('sheet template'!$A$2:$A$1009,$L45))),0),""))</f>
        <v>2</v>
      </c>
      <c r="AE45" s="85" t="str">
        <v>Tugas8</v>
      </c>
      <c r="AF45" s="85" t="str">
        <v>Tujuan8</v>
      </c>
      <c r="AG45" s="85" t="str">
        <v>Instruksi8</v>
      </c>
      <c r="AH45" s="85" t="str">
        <v>Output8</v>
      </c>
      <c r="AI45" s="85" t="str">
        <v>Waktu8</v>
      </c>
      <c r="AJ45" s="85" t="str">
        <v>Monitoring8</v>
      </c>
      <c r="AK45" s="85" t="str">
        <v>Standar kelulusan8</v>
      </c>
      <c r="AL45" s="194">
        <f ca="1" t="array" ref="AL45:AS45">IF($L45="","",IFERROR(INDEX('sheet template'!$F$2:$M$1009,_xlfn.AGGREGATE(15,6,(ROW('sheet template'!$A$2:$A$1009)-ROW('sheet template'!$A$2)+1)/('sheet template'!$A$2:$A$1009=$L45),RANDBETWEEN(1,COUNTIF('sheet template'!$A$2:$A$1009,$L45))),0),""))</f>
        <v>2</v>
      </c>
      <c r="AM45" s="85" t="str">
        <v>Tugas8</v>
      </c>
      <c r="AN45" s="85" t="str">
        <v>Tujuan8</v>
      </c>
      <c r="AO45" s="85" t="str">
        <v>Instruksi8</v>
      </c>
      <c r="AP45" s="85" t="str">
        <v>Output8</v>
      </c>
      <c r="AQ45" s="85" t="str">
        <v>Waktu8</v>
      </c>
      <c r="AR45" s="85" t="str">
        <v>Monitoring8</v>
      </c>
      <c r="AS45" s="85" t="str">
        <v>Standar kelulusan8</v>
      </c>
    </row>
    <row r="46" ht="56" spans="1:45">
      <c r="A46" s="90" t="s">
        <v>445</v>
      </c>
      <c r="B46" s="191">
        <f>IFERROR(INDEX(panduan!$C$3:$H$16,MATCH(TRIM(A46),panduan!$B$3:$B$16,0),MATCH(TRIM($B$4),panduan!$C$2:$H$2,0)),"")</f>
        <v>1</v>
      </c>
      <c r="C46" s="192">
        <f>IFERROR(INDEX(panduan!$C$3:$H$16,MATCH(TRIM(A46),panduan!$B$3:$B$16,0),MATCH(TRIM($B$41),panduan!$C$2:$H$2,0)),"")</f>
        <v>3</v>
      </c>
      <c r="D46" s="193">
        <v>2</v>
      </c>
      <c r="E46" s="194">
        <f t="shared" si="7"/>
        <v>-1</v>
      </c>
      <c r="F46" s="194">
        <f t="shared" si="8"/>
        <v>1</v>
      </c>
      <c r="G46" s="194" t="str">
        <f>IFERROR(INDEX(panduan!$C$167:$G$171,MATCH($F$37,panduan!$B$167:$B$171,0),MATCH($F46,panduan!$C$166:$G$166,0)),"")</f>
        <v>1,2,3,4</v>
      </c>
      <c r="H46" s="195" t="str">
        <f t="shared" si="9"/>
        <v>Personal Development,Education-Based Development,Relation-Based Development,Experience-Based Development</v>
      </c>
      <c r="I46" s="194">
        <f>IF(E46&lt;0,_xlfn.RANK.EQ(E46,$E$44:$E$57,1)+COUNTIF($E$44:E46,E46)-1,"")</f>
        <v>8</v>
      </c>
      <c r="J46" s="85" t="str">
        <f t="shared" si="10"/>
        <v>Planning &amp; Organizing|Analyst|1</v>
      </c>
      <c r="K46" s="85" t="str">
        <f t="shared" si="11"/>
        <v>Planning &amp; Organizing|Analyst|2</v>
      </c>
      <c r="L46" s="85" t="str">
        <f t="shared" si="12"/>
        <v>Planning &amp; Organizing|Analyst|3</v>
      </c>
      <c r="M46" s="82" t="str">
        <f t="shared" si="13"/>
        <v>Planning &amp; Organizing|Analyst|4</v>
      </c>
      <c r="N46" s="194">
        <f ca="1" t="array" ref="N46:U46">IF($J46="","",IFERROR(INDEX('sheet template'!$F$2:$M$1009,_xlfn.AGGREGATE(15,6,(ROW('sheet template'!$A$2:$A$1009)-ROW('sheet template'!$A$2)+1)/('sheet template'!$A$2:$A$1009=$J46),RANDBETWEEN(1,COUNTIF('sheet template'!$A$2:$A$1009,$J46))),0),""))</f>
        <v>3</v>
      </c>
      <c r="O46" s="85" t="str">
        <v>Tugas75</v>
      </c>
      <c r="P46" s="85" t="str">
        <v>Tujuan75</v>
      </c>
      <c r="Q46" s="85" t="str">
        <v>Instruksi75</v>
      </c>
      <c r="R46" s="85" t="str">
        <v>Output75</v>
      </c>
      <c r="S46" s="85" t="str">
        <v>Waktu75</v>
      </c>
      <c r="T46" s="85" t="str">
        <v>Monitoring75</v>
      </c>
      <c r="U46" s="85" t="str">
        <v>Standar kelulusan75</v>
      </c>
      <c r="V46" s="194">
        <f ca="1" t="array" ref="V46:AC46">IF($J46="","",IFERROR(INDEX('sheet template'!$F$2:$M$1009,_xlfn.AGGREGATE(15,6,(ROW('sheet template'!$A$2:$A$1009)-ROW('sheet template'!$A$2)+1)/('sheet template'!$A$2:$A$1009=$J46),RANDBETWEEN(1,COUNTIF('sheet template'!$A$2:$A$1009,$J46))),0),""))</f>
        <v>3</v>
      </c>
      <c r="W46" s="85" t="str">
        <v>Tugas75</v>
      </c>
      <c r="X46" s="85" t="str">
        <v>Tujuan75</v>
      </c>
      <c r="Y46" s="85" t="str">
        <v>Instruksi75</v>
      </c>
      <c r="Z46" s="85" t="str">
        <v>Output75</v>
      </c>
      <c r="AA46" s="85" t="str">
        <v>Waktu75</v>
      </c>
      <c r="AB46" s="85" t="str">
        <v>Monitoring75</v>
      </c>
      <c r="AC46" s="85" t="str">
        <v>Standar kelulusan75</v>
      </c>
      <c r="AD46" s="194">
        <f ca="1" t="array" ref="AD46:AK46">IF($L46="","",IFERROR(INDEX('sheet template'!$F$2:$M$1009,_xlfn.AGGREGATE(15,6,(ROW('sheet template'!$A$2:$A$1009)-ROW('sheet template'!$A$2)+1)/('sheet template'!$A$2:$A$1009=$L46),RANDBETWEEN(1,COUNTIF('sheet template'!$A$2:$A$1009,$L46))),0),""))</f>
        <v>1</v>
      </c>
      <c r="AE46" s="85" t="str">
        <v>Tugas79</v>
      </c>
      <c r="AF46" s="85" t="str">
        <v>Tujuan79</v>
      </c>
      <c r="AG46" s="85" t="str">
        <v>Instruksi79</v>
      </c>
      <c r="AH46" s="85" t="str">
        <v>Output79</v>
      </c>
      <c r="AI46" s="85" t="str">
        <v>Waktu79</v>
      </c>
      <c r="AJ46" s="85" t="str">
        <v>Monitoring79</v>
      </c>
      <c r="AK46" s="85" t="str">
        <v>Standar kelulusan79</v>
      </c>
      <c r="AL46" s="194">
        <f ca="1" t="array" ref="AL46:AS46">IF($L46="","",IFERROR(INDEX('sheet template'!$F$2:$M$1009,_xlfn.AGGREGATE(15,6,(ROW('sheet template'!$A$2:$A$1009)-ROW('sheet template'!$A$2)+1)/('sheet template'!$A$2:$A$1009=$L46),RANDBETWEEN(1,COUNTIF('sheet template'!$A$2:$A$1009,$L46))),0),""))</f>
        <v>2</v>
      </c>
      <c r="AM46" s="85" t="str">
        <v>Tugas80</v>
      </c>
      <c r="AN46" s="85" t="str">
        <v>Tujuan80</v>
      </c>
      <c r="AO46" s="85" t="str">
        <v>Instruksi80</v>
      </c>
      <c r="AP46" s="85" t="str">
        <v>Output80</v>
      </c>
      <c r="AQ46" s="85" t="str">
        <v>Waktu80</v>
      </c>
      <c r="AR46" s="85" t="str">
        <v>Monitoring80</v>
      </c>
      <c r="AS46" s="85" t="str">
        <v>Standar kelulusan80</v>
      </c>
    </row>
    <row r="47" ht="56" spans="1:45">
      <c r="A47" s="90" t="s">
        <v>446</v>
      </c>
      <c r="B47" s="191">
        <f>IFERROR(INDEX(panduan!$C$3:$H$16,MATCH(TRIM(A47),panduan!$B$3:$B$16,0),MATCH(TRIM($B$4),panduan!$C$2:$H$2,0)),"")</f>
        <v>1</v>
      </c>
      <c r="C47" s="192">
        <f>IFERROR(INDEX(panduan!$C$3:$H$16,MATCH(TRIM(A47),panduan!$B$3:$B$16,0),MATCH(TRIM($B$41),panduan!$C$2:$H$2,0)),"")</f>
        <v>4</v>
      </c>
      <c r="D47" s="193">
        <v>2</v>
      </c>
      <c r="E47" s="194">
        <f t="shared" si="7"/>
        <v>-2</v>
      </c>
      <c r="F47" s="194">
        <f t="shared" si="8"/>
        <v>2</v>
      </c>
      <c r="G47" s="194" t="str">
        <f>IFERROR(INDEX(panduan!$C$167:$G$171,MATCH($F$37,panduan!$B$167:$B$171,0),MATCH($F47,panduan!$C$166:$G$166,0)),"")</f>
        <v>1,2,3,4</v>
      </c>
      <c r="H47" s="195" t="str">
        <f t="shared" si="9"/>
        <v>Personal Development,Education-Based Development,Relation-Based Development,Experience-Based Development</v>
      </c>
      <c r="I47" s="194">
        <f>IF(E47&lt;0,_xlfn.RANK.EQ(E47,$E$44:$E$57,1)+COUNTIF($E$44:E47,E47)-1,"")</f>
        <v>2</v>
      </c>
      <c r="J47" s="85" t="str">
        <f t="shared" si="10"/>
        <v>Problem Solving &amp; Decision Making|Analyst|1</v>
      </c>
      <c r="K47" s="85" t="str">
        <f t="shared" si="11"/>
        <v>Problem Solving &amp; Decision Making|Analyst|2</v>
      </c>
      <c r="L47" s="85" t="str">
        <f t="shared" si="12"/>
        <v>Problem Solving &amp; Decision Making|Analyst|3</v>
      </c>
      <c r="M47" s="82" t="str">
        <f t="shared" si="13"/>
        <v>Problem Solving &amp; Decision Making|Analyst|4</v>
      </c>
      <c r="N47" s="194">
        <f ca="1" t="array" ref="N47:U47">IF($J47="","",IFERROR(INDEX('sheet template'!$F$2:$M$1009,_xlfn.AGGREGATE(15,6,(ROW('sheet template'!$A$2:$A$1009)-ROW('sheet template'!$A$2)+1)/('sheet template'!$A$2:$A$1009=$J47),RANDBETWEEN(1,COUNTIF('sheet template'!$A$2:$A$1009,$J47))),0),""))</f>
        <v>1</v>
      </c>
      <c r="O47" s="85" t="str">
        <v>Tugas145</v>
      </c>
      <c r="P47" s="85" t="str">
        <v>Tujuan145</v>
      </c>
      <c r="Q47" s="85" t="str">
        <v>Instruksi145</v>
      </c>
      <c r="R47" s="85" t="str">
        <v>Output145</v>
      </c>
      <c r="S47" s="85" t="str">
        <v>Waktu145</v>
      </c>
      <c r="T47" s="85" t="str">
        <v>Monitoring145</v>
      </c>
      <c r="U47" s="85" t="str">
        <v>Standar kelulusan145</v>
      </c>
      <c r="V47" s="194">
        <f ca="1" t="array" ref="V47:AC47">IF($J47="","",IFERROR(INDEX('sheet template'!$F$2:$M$1009,_xlfn.AGGREGATE(15,6,(ROW('sheet template'!$A$2:$A$1009)-ROW('sheet template'!$A$2)+1)/('sheet template'!$A$2:$A$1009=$J47),RANDBETWEEN(1,COUNTIF('sheet template'!$A$2:$A$1009,$J47))),0),""))</f>
        <v>2</v>
      </c>
      <c r="W47" s="85" t="str">
        <v>Tugas146</v>
      </c>
      <c r="X47" s="85" t="str">
        <v>Tujuan146</v>
      </c>
      <c r="Y47" s="85" t="str">
        <v>Instruksi146</v>
      </c>
      <c r="Z47" s="85" t="str">
        <v>Output146</v>
      </c>
      <c r="AA47" s="85" t="str">
        <v>Waktu146</v>
      </c>
      <c r="AB47" s="85" t="str">
        <v>Monitoring146</v>
      </c>
      <c r="AC47" s="85" t="str">
        <v>Standar kelulusan146</v>
      </c>
      <c r="AD47" s="194">
        <f ca="1" t="array" ref="AD47:AK47">IF($L47="","",IFERROR(INDEX('sheet template'!$F$2:$M$1009,_xlfn.AGGREGATE(15,6,(ROW('sheet template'!$A$2:$A$1009)-ROW('sheet template'!$A$2)+1)/('sheet template'!$A$2:$A$1009=$L47),RANDBETWEEN(1,COUNTIF('sheet template'!$A$2:$A$1009,$L47))),0),""))</f>
        <v>3</v>
      </c>
      <c r="AE47" s="85" t="str">
        <v>Tugas153</v>
      </c>
      <c r="AF47" s="85" t="str">
        <v>Tujuan153</v>
      </c>
      <c r="AG47" s="85" t="str">
        <v>Instruksi153</v>
      </c>
      <c r="AH47" s="85" t="str">
        <v>Output153</v>
      </c>
      <c r="AI47" s="85" t="str">
        <v>Waktu153</v>
      </c>
      <c r="AJ47" s="85" t="str">
        <v>Monitoring153</v>
      </c>
      <c r="AK47" s="85" t="str">
        <v>Standar kelulusan153</v>
      </c>
      <c r="AL47" s="194">
        <f ca="1" t="array" ref="AL47:AS47">IF($L47="","",IFERROR(INDEX('sheet template'!$F$2:$M$1009,_xlfn.AGGREGATE(15,6,(ROW('sheet template'!$A$2:$A$1009)-ROW('sheet template'!$A$2)+1)/('sheet template'!$A$2:$A$1009=$L47),RANDBETWEEN(1,COUNTIF('sheet template'!$A$2:$A$1009,$L47))),0),""))</f>
        <v>3</v>
      </c>
      <c r="AM47" s="85" t="str">
        <v>Tugas153</v>
      </c>
      <c r="AN47" s="85" t="str">
        <v>Tujuan153</v>
      </c>
      <c r="AO47" s="85" t="str">
        <v>Instruksi153</v>
      </c>
      <c r="AP47" s="85" t="str">
        <v>Output153</v>
      </c>
      <c r="AQ47" s="85" t="str">
        <v>Waktu153</v>
      </c>
      <c r="AR47" s="85" t="str">
        <v>Monitoring153</v>
      </c>
      <c r="AS47" s="85" t="str">
        <v>Standar kelulusan153</v>
      </c>
    </row>
    <row r="48" spans="1:45">
      <c r="A48" s="90" t="s">
        <v>447</v>
      </c>
      <c r="B48" s="191">
        <f>IFERROR(INDEX(panduan!$C$3:$H$16,MATCH(TRIM(A48),panduan!$B$3:$B$16,0),MATCH(TRIM($B$4),panduan!$C$2:$H$2,0)),"")</f>
        <v>2</v>
      </c>
      <c r="C48" s="192">
        <f>IFERROR(INDEX(panduan!$C$3:$H$16,MATCH(TRIM(A48),panduan!$B$3:$B$16,0),MATCH(TRIM($B$41),panduan!$C$2:$H$2,0)),"")</f>
        <v>3</v>
      </c>
      <c r="D48" s="193">
        <v>3</v>
      </c>
      <c r="E48" s="194">
        <f t="shared" si="7"/>
        <v>0</v>
      </c>
      <c r="F48" s="194" t="str">
        <f t="shared" si="8"/>
        <v/>
      </c>
      <c r="G48" s="194" t="str">
        <f>IFERROR(INDEX(panduan!$C$167:$G$171,MATCH($F$37,panduan!$B$167:$B$171,0),MATCH($F48,panduan!$C$166:$G$166,0)),"")</f>
        <v/>
      </c>
      <c r="H48" s="195" t="str">
        <f t="shared" si="9"/>
        <v/>
      </c>
      <c r="I48" s="194" t="str">
        <f>IF(E48&lt;0,_xlfn.RANK.EQ(E48,$E$44:$E$57,1)+COUNTIF($E$44:E48,E48)-1,"")</f>
        <v/>
      </c>
      <c r="J48" s="85" t="str">
        <f t="shared" si="10"/>
        <v/>
      </c>
      <c r="K48" s="85" t="str">
        <f t="shared" si="11"/>
        <v/>
      </c>
      <c r="L48" s="85" t="str">
        <f t="shared" si="12"/>
        <v/>
      </c>
      <c r="M48" s="82" t="str">
        <f t="shared" si="13"/>
        <v/>
      </c>
      <c r="N48" s="194" t="str">
        <f ca="1" t="array" ref="N48">IF($J48="","",IFERROR(INDEX('sheet template'!$F$2:$M$1009,_xlfn.AGGREGATE(15,6,(ROW('sheet template'!$A$2:$A$1009)-ROW('sheet template'!$A$2)+1)/('sheet template'!$A$2:$A$1009=$J48),RANDBETWEEN(1,COUNTIF('sheet template'!$A$2:$A$1009,$J48))),0),""))</f>
        <v/>
      </c>
      <c r="O48" s="85"/>
      <c r="P48" s="85"/>
      <c r="Q48" s="85"/>
      <c r="R48" s="85"/>
      <c r="S48" s="85"/>
      <c r="T48" s="85"/>
      <c r="U48" s="85"/>
      <c r="V48" s="194" t="str">
        <f ca="1">IF($J48="","",IFERROR(INDEX('sheet template'!$F$2:$M$1009,_xlfn.AGGREGATE(15,6,(ROW('sheet template'!$A$2:$A$1009)-ROW('sheet template'!$A$2)+1)/('sheet template'!$A$2:$A$1009=$J48),RANDBETWEEN(1,COUNTIF('sheet template'!$A$2:$A$1009,$J48))),0),""))</f>
        <v/>
      </c>
      <c r="W48" s="85"/>
      <c r="X48" s="85"/>
      <c r="Y48" s="85"/>
      <c r="Z48" s="85"/>
      <c r="AA48" s="85"/>
      <c r="AB48" s="85"/>
      <c r="AC48" s="85"/>
      <c r="AD48" s="194" t="str">
        <f ca="1" t="array" ref="AD48">IF($L48="","",IFERROR(INDEX('sheet template'!$F$2:$M$1009,_xlfn.AGGREGATE(15,6,(ROW('sheet template'!$A$2:$A$1009)-ROW('sheet template'!$A$2)+1)/('sheet template'!$A$2:$A$1009=$L48),RANDBETWEEN(1,COUNTIF('sheet template'!$A$2:$A$1009,$L48))),0),""))</f>
        <v/>
      </c>
      <c r="AE48" s="85"/>
      <c r="AF48" s="85"/>
      <c r="AG48" s="85"/>
      <c r="AH48" s="85"/>
      <c r="AI48" s="85"/>
      <c r="AJ48" s="85"/>
      <c r="AK48" s="85"/>
      <c r="AL48" s="194" t="str">
        <f ca="1" t="array" ref="AL48">IF($L48="","",IFERROR(INDEX('sheet template'!$F$2:$M$1009,_xlfn.AGGREGATE(15,6,(ROW('sheet template'!$A$2:$A$1009)-ROW('sheet template'!$A$2)+1)/('sheet template'!$A$2:$A$1009=$L48),RANDBETWEEN(1,COUNTIF('sheet template'!$A$2:$A$1009,$L48))),0),""))</f>
        <v/>
      </c>
      <c r="AM48" s="85"/>
      <c r="AN48" s="85"/>
      <c r="AO48" s="85"/>
      <c r="AP48" s="85"/>
      <c r="AQ48" s="85"/>
      <c r="AR48" s="85"/>
      <c r="AS48" s="85"/>
    </row>
    <row r="49" ht="56" spans="1:45">
      <c r="A49" s="90" t="s">
        <v>448</v>
      </c>
      <c r="B49" s="191">
        <f>IFERROR(INDEX(panduan!$C$3:$H$16,MATCH(TRIM(A49),panduan!$B$3:$B$16,0),MATCH(TRIM($B$4),panduan!$C$2:$H$2,0)),"")</f>
        <v>1</v>
      </c>
      <c r="C49" s="192">
        <f>IFERROR(INDEX(panduan!$C$3:$H$16,MATCH(TRIM(A49),panduan!$B$3:$B$16,0),MATCH(TRIM($B$41),panduan!$C$2:$H$2,0)),"")</f>
        <v>3</v>
      </c>
      <c r="D49" s="193">
        <v>1</v>
      </c>
      <c r="E49" s="194">
        <f t="shared" si="7"/>
        <v>-2</v>
      </c>
      <c r="F49" s="194">
        <f t="shared" si="8"/>
        <v>2</v>
      </c>
      <c r="G49" s="194" t="str">
        <f>IFERROR(INDEX(panduan!$C$167:$G$171,MATCH($F$37,panduan!$B$167:$B$171,0),MATCH($F49,panduan!$C$166:$G$166,0)),"")</f>
        <v>1,2,3,4</v>
      </c>
      <c r="H49" s="195" t="str">
        <f t="shared" si="9"/>
        <v>Personal Development,Education-Based Development,Relation-Based Development,Experience-Based Development</v>
      </c>
      <c r="I49" s="194">
        <f>IF(E49&lt;0,_xlfn.RANK.EQ(E49,$E$44:$E$57,1)+COUNTIF($E$44:E49,E49)-1,"")</f>
        <v>3</v>
      </c>
      <c r="J49" s="85" t="str">
        <f t="shared" si="10"/>
        <v>Analytical Thinking|Analyst|1</v>
      </c>
      <c r="K49" s="85" t="str">
        <f t="shared" si="11"/>
        <v>Analytical Thinking|Analyst|2</v>
      </c>
      <c r="L49" s="85" t="str">
        <f t="shared" si="12"/>
        <v>Analytical Thinking|Analyst|3</v>
      </c>
      <c r="M49" s="82" t="str">
        <f t="shared" si="13"/>
        <v>Analytical Thinking|Analyst|4</v>
      </c>
      <c r="N49" s="194">
        <f ca="1" t="array" ref="N49:U49">IF($J49="","",IFERROR(INDEX('sheet template'!$F$2:$M$1009,_xlfn.AGGREGATE(15,6,(ROW('sheet template'!$A$2:$A$1009)-ROW('sheet template'!$A$2)+1)/('sheet template'!$A$2:$A$1009=$J49),RANDBETWEEN(1,COUNTIF('sheet template'!$A$2:$A$1009,$J49))),0),""))</f>
        <v>1</v>
      </c>
      <c r="O49" s="85" t="str">
        <v>Tugas361</v>
      </c>
      <c r="P49" s="85" t="str">
        <v>Tujuan361</v>
      </c>
      <c r="Q49" s="85" t="str">
        <v>Instruksi361</v>
      </c>
      <c r="R49" s="85" t="str">
        <v>Output361</v>
      </c>
      <c r="S49" s="85" t="str">
        <v>Waktu361</v>
      </c>
      <c r="T49" s="85" t="str">
        <v>Monitoring361</v>
      </c>
      <c r="U49" s="85" t="str">
        <v>Standar kelulusan361</v>
      </c>
      <c r="V49" s="194">
        <f ca="1" t="array" ref="V49:AC49">IF($J49="","",IFERROR(INDEX('sheet template'!$F$2:$M$1009,_xlfn.AGGREGATE(15,6,(ROW('sheet template'!$A$2:$A$1009)-ROW('sheet template'!$A$2)+1)/('sheet template'!$A$2:$A$1009=$J49),RANDBETWEEN(1,COUNTIF('sheet template'!$A$2:$A$1009,$J49))),0),""))</f>
        <v>3</v>
      </c>
      <c r="W49" s="85" t="str">
        <v>Tugas363</v>
      </c>
      <c r="X49" s="85" t="str">
        <v>Tujuan363</v>
      </c>
      <c r="Y49" s="85" t="str">
        <v>Instruksi363</v>
      </c>
      <c r="Z49" s="85" t="str">
        <v>Output363</v>
      </c>
      <c r="AA49" s="85" t="str">
        <v>Waktu363</v>
      </c>
      <c r="AB49" s="85" t="str">
        <v>Monitoring363</v>
      </c>
      <c r="AC49" s="85" t="str">
        <v>Standar kelulusan363</v>
      </c>
      <c r="AD49" s="194">
        <f ca="1" t="array" ref="AD49:AK49">IF($L49="","",IFERROR(INDEX('sheet template'!$F$2:$M$1009,_xlfn.AGGREGATE(15,6,(ROW('sheet template'!$A$2:$A$1009)-ROW('sheet template'!$A$2)+1)/('sheet template'!$A$2:$A$1009=$L49),RANDBETWEEN(1,COUNTIF('sheet template'!$A$2:$A$1009,$L49))),0),""))</f>
        <v>1</v>
      </c>
      <c r="AE49" s="85" t="str">
        <v>Tugas367</v>
      </c>
      <c r="AF49" s="85" t="str">
        <v>Tujuan367</v>
      </c>
      <c r="AG49" s="85" t="str">
        <v>Instruksi367</v>
      </c>
      <c r="AH49" s="85" t="str">
        <v>Output367</v>
      </c>
      <c r="AI49" s="85" t="str">
        <v>Waktu367</v>
      </c>
      <c r="AJ49" s="85" t="str">
        <v>Monitoring367</v>
      </c>
      <c r="AK49" s="85" t="str">
        <v>Standar kelulusan367</v>
      </c>
      <c r="AL49" s="194">
        <f ca="1" t="array" ref="AL49:AS49">IF($L49="","",IFERROR(INDEX('sheet template'!$F$2:$M$1009,_xlfn.AGGREGATE(15,6,(ROW('sheet template'!$A$2:$A$1009)-ROW('sheet template'!$A$2)+1)/('sheet template'!$A$2:$A$1009=$L49),RANDBETWEEN(1,COUNTIF('sheet template'!$A$2:$A$1009,$L49))),0),""))</f>
        <v>2</v>
      </c>
      <c r="AM49" s="85" t="str">
        <v>Tugas368</v>
      </c>
      <c r="AN49" s="85" t="str">
        <v>Tujuan368</v>
      </c>
      <c r="AO49" s="85" t="str">
        <v>Instruksi368</v>
      </c>
      <c r="AP49" s="85" t="str">
        <v>Output368</v>
      </c>
      <c r="AQ49" s="85" t="str">
        <v>Waktu368</v>
      </c>
      <c r="AR49" s="85" t="str">
        <v>Monitoring368</v>
      </c>
      <c r="AS49" s="85" t="str">
        <v>Standar kelulusan368</v>
      </c>
    </row>
    <row r="50" ht="56" spans="1:45">
      <c r="A50" s="90" t="s">
        <v>449</v>
      </c>
      <c r="B50" s="191">
        <f>IFERROR(INDEX(panduan!$C$3:$H$16,MATCH(TRIM(A50),panduan!$B$3:$B$16,0),MATCH(TRIM($B$4),panduan!$C$2:$H$2,0)),"")</f>
        <v>1</v>
      </c>
      <c r="C50" s="192">
        <f>IFERROR(INDEX(panduan!$C$3:$H$16,MATCH(TRIM(A50),panduan!$B$3:$B$16,0),MATCH(TRIM($B$41),panduan!$C$2:$H$2,0)),"")</f>
        <v>3</v>
      </c>
      <c r="D50" s="193">
        <v>1</v>
      </c>
      <c r="E50" s="194">
        <f t="shared" si="7"/>
        <v>-2</v>
      </c>
      <c r="F50" s="194">
        <f t="shared" si="8"/>
        <v>2</v>
      </c>
      <c r="G50" s="194" t="str">
        <f>IFERROR(INDEX(panduan!$C$167:$G$171,MATCH($F$37,panduan!$B$167:$B$171,0),MATCH($F50,panduan!$C$166:$G$166,0)),"")</f>
        <v>1,2,3,4</v>
      </c>
      <c r="H50" s="195" t="str">
        <f t="shared" si="9"/>
        <v>Personal Development,Education-Based Development,Relation-Based Development,Experience-Based Development</v>
      </c>
      <c r="I50" s="194">
        <f>IF(E50&lt;0,_xlfn.RANK.EQ(E50,$E$44:$E$57,1)+COUNTIF($E$44:E50,E50)-1,"")</f>
        <v>4</v>
      </c>
      <c r="J50" s="85" t="str">
        <f t="shared" si="10"/>
        <v>Managing Change|Analyst|1</v>
      </c>
      <c r="K50" s="85" t="str">
        <f t="shared" si="11"/>
        <v>Managing Change|Analyst|2</v>
      </c>
      <c r="L50" s="85" t="str">
        <f t="shared" si="12"/>
        <v>Managing Change|Analyst|3</v>
      </c>
      <c r="M50" s="82" t="str">
        <f t="shared" si="13"/>
        <v>Managing Change|Analyst|4</v>
      </c>
      <c r="N50" s="194">
        <f ca="1" t="array" ref="N50:U50">IF($J50="","",IFERROR(INDEX('sheet template'!$F$2:$M$1009,_xlfn.AGGREGATE(15,6,(ROW('sheet template'!$A$2:$A$1009)-ROW('sheet template'!$A$2)+1)/('sheet template'!$A$2:$A$1009=$J50),RANDBETWEEN(1,COUNTIF('sheet template'!$A$2:$A$1009,$J50))),0),""))</f>
        <v>1</v>
      </c>
      <c r="O50" s="85" t="str">
        <v>Tugas433</v>
      </c>
      <c r="P50" s="85" t="str">
        <v>Tujuan433</v>
      </c>
      <c r="Q50" s="85" t="str">
        <v>Instruksi433</v>
      </c>
      <c r="R50" s="85" t="str">
        <v>Output433</v>
      </c>
      <c r="S50" s="85" t="str">
        <v>Waktu433</v>
      </c>
      <c r="T50" s="85" t="str">
        <v>Monitoring433</v>
      </c>
      <c r="U50" s="85" t="str">
        <v>Standar kelulusan433</v>
      </c>
      <c r="V50" s="194">
        <f ca="1" t="array" ref="V50:AC50">IF($J50="","",IFERROR(INDEX('sheet template'!$F$2:$M$1009,_xlfn.AGGREGATE(15,6,(ROW('sheet template'!$A$2:$A$1009)-ROW('sheet template'!$A$2)+1)/('sheet template'!$A$2:$A$1009=$J50),RANDBETWEEN(1,COUNTIF('sheet template'!$A$2:$A$1009,$J50))),0),""))</f>
        <v>3</v>
      </c>
      <c r="W50" s="85" t="str">
        <v>Tugas435</v>
      </c>
      <c r="X50" s="85" t="str">
        <v>Tujuan435</v>
      </c>
      <c r="Y50" s="85" t="str">
        <v>Instruksi435</v>
      </c>
      <c r="Z50" s="85" t="str">
        <v>Output435</v>
      </c>
      <c r="AA50" s="85" t="str">
        <v>Waktu435</v>
      </c>
      <c r="AB50" s="85" t="str">
        <v>Monitoring435</v>
      </c>
      <c r="AC50" s="85" t="str">
        <v>Standar kelulusan435</v>
      </c>
      <c r="AD50" s="194">
        <f ca="1" t="array" ref="AD50:AK50">IF($L50="","",IFERROR(INDEX('sheet template'!$F$2:$M$1009,_xlfn.AGGREGATE(15,6,(ROW('sheet template'!$A$2:$A$1009)-ROW('sheet template'!$A$2)+1)/('sheet template'!$A$2:$A$1009=$L50),RANDBETWEEN(1,COUNTIF('sheet template'!$A$2:$A$1009,$L50))),0),""))</f>
        <v>3</v>
      </c>
      <c r="AE50" s="85" t="str">
        <v>Tugas441</v>
      </c>
      <c r="AF50" s="85" t="str">
        <v>Tujuan441</v>
      </c>
      <c r="AG50" s="85" t="str">
        <v>Instruksi441</v>
      </c>
      <c r="AH50" s="85" t="str">
        <v>Output441</v>
      </c>
      <c r="AI50" s="85" t="str">
        <v>Waktu441</v>
      </c>
      <c r="AJ50" s="85" t="str">
        <v>Monitoring441</v>
      </c>
      <c r="AK50" s="85" t="str">
        <v>Standar kelulusan441</v>
      </c>
      <c r="AL50" s="194">
        <f ca="1" t="array" ref="AL50:AS50">IF($L50="","",IFERROR(INDEX('sheet template'!$F$2:$M$1009,_xlfn.AGGREGATE(15,6,(ROW('sheet template'!$A$2:$A$1009)-ROW('sheet template'!$A$2)+1)/('sheet template'!$A$2:$A$1009=$L50),RANDBETWEEN(1,COUNTIF('sheet template'!$A$2:$A$1009,$L50))),0),""))</f>
        <v>1</v>
      </c>
      <c r="AM50" s="85" t="str">
        <v>Tugas439</v>
      </c>
      <c r="AN50" s="85" t="str">
        <v>Tujuan439</v>
      </c>
      <c r="AO50" s="85" t="str">
        <v>Instruksi439</v>
      </c>
      <c r="AP50" s="85" t="str">
        <v>Output439</v>
      </c>
      <c r="AQ50" s="85" t="str">
        <v>Waktu439</v>
      </c>
      <c r="AR50" s="85" t="str">
        <v>Monitoring439</v>
      </c>
      <c r="AS50" s="85" t="str">
        <v>Standar kelulusan439</v>
      </c>
    </row>
    <row r="51" ht="56" spans="1:45">
      <c r="A51" s="90" t="s">
        <v>450</v>
      </c>
      <c r="B51" s="191">
        <f>IFERROR(INDEX(panduan!$C$3:$H$16,MATCH(TRIM(A51),panduan!$B$3:$B$16,0),MATCH(TRIM($B$4),panduan!$C$2:$H$2,0)),"")</f>
        <v>1</v>
      </c>
      <c r="C51" s="192">
        <f>IFERROR(INDEX(panduan!$C$3:$H$16,MATCH(TRIM(A51),panduan!$B$3:$B$16,0),MATCH(TRIM($B$41),panduan!$C$2:$H$2,0)),"")</f>
        <v>3</v>
      </c>
      <c r="D51" s="193">
        <v>1</v>
      </c>
      <c r="E51" s="194">
        <f t="shared" si="7"/>
        <v>-2</v>
      </c>
      <c r="F51" s="194">
        <f t="shared" si="8"/>
        <v>2</v>
      </c>
      <c r="G51" s="194" t="str">
        <f>IFERROR(INDEX(panduan!$C$167:$G$171,MATCH($F$37,panduan!$B$167:$B$171,0),MATCH($F51,panduan!$C$166:$G$166,0)),"")</f>
        <v>1,2,3,4</v>
      </c>
      <c r="H51" s="195" t="str">
        <f t="shared" si="9"/>
        <v>Personal Development,Education-Based Development,Relation-Based Development,Experience-Based Development</v>
      </c>
      <c r="I51" s="194">
        <f>IF(E51&lt;0,_xlfn.RANK.EQ(E51,$E$44:$E$57,1)+COUNTIF($E$44:E51,E51)-1,"")</f>
        <v>5</v>
      </c>
      <c r="J51" s="85" t="str">
        <f t="shared" si="10"/>
        <v>Strategic Thinking|Analyst|1</v>
      </c>
      <c r="K51" s="85" t="str">
        <f t="shared" si="11"/>
        <v>Strategic Thinking|Analyst|2</v>
      </c>
      <c r="L51" s="85" t="str">
        <f t="shared" si="12"/>
        <v>Strategic Thinking|Analyst|3</v>
      </c>
      <c r="M51" s="82" t="str">
        <f t="shared" si="13"/>
        <v>Strategic Thinking|Analyst|4</v>
      </c>
      <c r="N51" s="194">
        <f ca="1" t="array" ref="N51:U51">IF($J51="","",IFERROR(INDEX('sheet template'!$F$2:$M$1009,_xlfn.AGGREGATE(15,6,(ROW('sheet template'!$A$2:$A$1009)-ROW('sheet template'!$A$2)+1)/('sheet template'!$A$2:$A$1009=$J51),RANDBETWEEN(1,COUNTIF('sheet template'!$A$2:$A$1009,$J51))),0),""))</f>
        <v>1</v>
      </c>
      <c r="O51" s="85" t="str">
        <v>Tugas505</v>
      </c>
      <c r="P51" s="85" t="str">
        <v>Tujuan505</v>
      </c>
      <c r="Q51" s="85" t="str">
        <v>Instruksi505</v>
      </c>
      <c r="R51" s="85" t="str">
        <v>Output505</v>
      </c>
      <c r="S51" s="85" t="str">
        <v>Waktu505</v>
      </c>
      <c r="T51" s="85" t="str">
        <v>Monitoring505</v>
      </c>
      <c r="U51" s="85" t="str">
        <v>Standar kelulusan505</v>
      </c>
      <c r="V51" s="194">
        <f ca="1" t="array" ref="V51:AC51">IF($J51="","",IFERROR(INDEX('sheet template'!$F$2:$M$1009,_xlfn.AGGREGATE(15,6,(ROW('sheet template'!$A$2:$A$1009)-ROW('sheet template'!$A$2)+1)/('sheet template'!$A$2:$A$1009=$J51),RANDBETWEEN(1,COUNTIF('sheet template'!$A$2:$A$1009,$J51))),0),""))</f>
        <v>3</v>
      </c>
      <c r="W51" s="85" t="str">
        <v>Tugas507</v>
      </c>
      <c r="X51" s="85" t="str">
        <v>Tujuan507</v>
      </c>
      <c r="Y51" s="85" t="str">
        <v>Instruksi507</v>
      </c>
      <c r="Z51" s="85" t="str">
        <v>Output507</v>
      </c>
      <c r="AA51" s="85" t="str">
        <v>Waktu507</v>
      </c>
      <c r="AB51" s="85" t="str">
        <v>Monitoring507</v>
      </c>
      <c r="AC51" s="85" t="str">
        <v>Standar kelulusan507</v>
      </c>
      <c r="AD51" s="194">
        <f ca="1" t="array" ref="AD51:AK51">IF($L51="","",IFERROR(INDEX('sheet template'!$F$2:$M$1009,_xlfn.AGGREGATE(15,6,(ROW('sheet template'!$A$2:$A$1009)-ROW('sheet template'!$A$2)+1)/('sheet template'!$A$2:$A$1009=$L51),RANDBETWEEN(1,COUNTIF('sheet template'!$A$2:$A$1009,$L51))),0),""))</f>
        <v>2</v>
      </c>
      <c r="AE51" s="85" t="str">
        <v>Tugas512</v>
      </c>
      <c r="AF51" s="85" t="str">
        <v>Tujuan512</v>
      </c>
      <c r="AG51" s="85" t="str">
        <v>Instruksi512</v>
      </c>
      <c r="AH51" s="85" t="str">
        <v>Output512</v>
      </c>
      <c r="AI51" s="85" t="str">
        <v>Waktu512</v>
      </c>
      <c r="AJ51" s="85" t="str">
        <v>Monitoring512</v>
      </c>
      <c r="AK51" s="85" t="str">
        <v>Standar kelulusan512</v>
      </c>
      <c r="AL51" s="194">
        <f ca="1" t="array" ref="AL51:AS51">IF($L51="","",IFERROR(INDEX('sheet template'!$F$2:$M$1009,_xlfn.AGGREGATE(15,6,(ROW('sheet template'!$A$2:$A$1009)-ROW('sheet template'!$A$2)+1)/('sheet template'!$A$2:$A$1009=$L51),RANDBETWEEN(1,COUNTIF('sheet template'!$A$2:$A$1009,$L51))),0),""))</f>
        <v>1</v>
      </c>
      <c r="AM51" s="85" t="str">
        <v>Tugas511</v>
      </c>
      <c r="AN51" s="85" t="str">
        <v>Tujuan511</v>
      </c>
      <c r="AO51" s="85" t="str">
        <v>Instruksi511</v>
      </c>
      <c r="AP51" s="85" t="str">
        <v>Output511</v>
      </c>
      <c r="AQ51" s="85" t="str">
        <v>Waktu511</v>
      </c>
      <c r="AR51" s="85" t="str">
        <v>Monitoring511</v>
      </c>
      <c r="AS51" s="85" t="str">
        <v>Standar kelulusan511</v>
      </c>
    </row>
    <row r="52" ht="56" spans="1:45">
      <c r="A52" s="90" t="s">
        <v>451</v>
      </c>
      <c r="B52" s="191">
        <f>IFERROR(INDEX(panduan!$C$3:$H$16,MATCH(TRIM(A52),panduan!$B$3:$B$16,0),MATCH(TRIM($B$4),panduan!$C$2:$H$2,0)),"")</f>
        <v>1</v>
      </c>
      <c r="C52" s="192">
        <f>IFERROR(INDEX(panduan!$C$3:$H$16,MATCH(TRIM(A52),panduan!$B$3:$B$16,0),MATCH(TRIM($B$41),panduan!$C$2:$H$2,0)),"")</f>
        <v>3</v>
      </c>
      <c r="D52" s="193">
        <v>2</v>
      </c>
      <c r="E52" s="194">
        <f t="shared" si="7"/>
        <v>-1</v>
      </c>
      <c r="F52" s="194">
        <f t="shared" si="8"/>
        <v>1</v>
      </c>
      <c r="G52" s="194" t="str">
        <f>IFERROR(INDEX(panduan!$C$167:$G$171,MATCH($F$37,panduan!$B$167:$B$171,0),MATCH($F52,panduan!$C$166:$G$166,0)),"")</f>
        <v>1,2,3,4</v>
      </c>
      <c r="H52" s="195" t="str">
        <f t="shared" si="9"/>
        <v>Personal Development,Education-Based Development,Relation-Based Development,Experience-Based Development</v>
      </c>
      <c r="I52" s="194">
        <f>IF(E52&lt;0,_xlfn.RANK.EQ(E52,$E$44:$E$57,1)+COUNTIF($E$44:E52,E52)-1,"")</f>
        <v>9</v>
      </c>
      <c r="J52" s="85" t="str">
        <f t="shared" si="10"/>
        <v>Conceptual Thinking|Analyst|1</v>
      </c>
      <c r="K52" s="85" t="str">
        <f t="shared" si="11"/>
        <v>Conceptual Thinking|Analyst|2</v>
      </c>
      <c r="L52" s="85" t="str">
        <f t="shared" si="12"/>
        <v>Conceptual Thinking|Analyst|3</v>
      </c>
      <c r="M52" s="82" t="str">
        <f t="shared" si="13"/>
        <v>Conceptual Thinking|Analyst|4</v>
      </c>
      <c r="N52" s="194">
        <f ca="1" t="array" ref="N52:U52">IF($J52="","",IFERROR(INDEX('sheet template'!$F$2:$M$1009,_xlfn.AGGREGATE(15,6,(ROW('sheet template'!$A$2:$A$1009)-ROW('sheet template'!$A$2)+1)/('sheet template'!$A$2:$A$1009=$J52),RANDBETWEEN(1,COUNTIF('sheet template'!$A$2:$A$1009,$J52))),0),""))</f>
        <v>1</v>
      </c>
      <c r="O52" s="85" t="str">
        <v>Tugas577</v>
      </c>
      <c r="P52" s="85" t="str">
        <v>Tujuan577</v>
      </c>
      <c r="Q52" s="85" t="str">
        <v>Instruksi577</v>
      </c>
      <c r="R52" s="85" t="str">
        <v>Output577</v>
      </c>
      <c r="S52" s="85" t="str">
        <v>Waktu577</v>
      </c>
      <c r="T52" s="85" t="str">
        <v>Monitoring577</v>
      </c>
      <c r="U52" s="85" t="str">
        <v>Standar kelulusan577</v>
      </c>
      <c r="V52" s="194">
        <f ca="1" t="array" ref="V52:AC52">IF($J52="","",IFERROR(INDEX('sheet template'!$F$2:$M$1009,_xlfn.AGGREGATE(15,6,(ROW('sheet template'!$A$2:$A$1009)-ROW('sheet template'!$A$2)+1)/('sheet template'!$A$2:$A$1009=$J52),RANDBETWEEN(1,COUNTIF('sheet template'!$A$2:$A$1009,$J52))),0),""))</f>
        <v>3</v>
      </c>
      <c r="W52" s="85" t="str">
        <v>Tugas579</v>
      </c>
      <c r="X52" s="85" t="str">
        <v>Tujuan579</v>
      </c>
      <c r="Y52" s="85" t="str">
        <v>Instruksi579</v>
      </c>
      <c r="Z52" s="85" t="str">
        <v>Output579</v>
      </c>
      <c r="AA52" s="85" t="str">
        <v>Waktu579</v>
      </c>
      <c r="AB52" s="85" t="str">
        <v>Monitoring579</v>
      </c>
      <c r="AC52" s="85" t="str">
        <v>Standar kelulusan579</v>
      </c>
      <c r="AD52" s="194">
        <f ca="1" t="array" ref="AD52:AK52">IF($L52="","",IFERROR(INDEX('sheet template'!$F$2:$M$1009,_xlfn.AGGREGATE(15,6,(ROW('sheet template'!$A$2:$A$1009)-ROW('sheet template'!$A$2)+1)/('sheet template'!$A$2:$A$1009=$L52),RANDBETWEEN(1,COUNTIF('sheet template'!$A$2:$A$1009,$L52))),0),""))</f>
        <v>3</v>
      </c>
      <c r="AE52" s="85" t="str">
        <v>Tugas585</v>
      </c>
      <c r="AF52" s="85" t="str">
        <v>Tujuan585</v>
      </c>
      <c r="AG52" s="85" t="str">
        <v>Instruksi585</v>
      </c>
      <c r="AH52" s="85" t="str">
        <v>Output585</v>
      </c>
      <c r="AI52" s="85" t="str">
        <v>Waktu585</v>
      </c>
      <c r="AJ52" s="85" t="str">
        <v>Monitoring585</v>
      </c>
      <c r="AK52" s="85" t="str">
        <v>Standar kelulusan585</v>
      </c>
      <c r="AL52" s="194">
        <f ca="1" t="array" ref="AL52:AS52">IF($L52="","",IFERROR(INDEX('sheet template'!$F$2:$M$1009,_xlfn.AGGREGATE(15,6,(ROW('sheet template'!$A$2:$A$1009)-ROW('sheet template'!$A$2)+1)/('sheet template'!$A$2:$A$1009=$L52),RANDBETWEEN(1,COUNTIF('sheet template'!$A$2:$A$1009,$L52))),0),""))</f>
        <v>3</v>
      </c>
      <c r="AM52" s="85" t="str">
        <v>Tugas585</v>
      </c>
      <c r="AN52" s="85" t="str">
        <v>Tujuan585</v>
      </c>
      <c r="AO52" s="85" t="str">
        <v>Instruksi585</v>
      </c>
      <c r="AP52" s="85" t="str">
        <v>Output585</v>
      </c>
      <c r="AQ52" s="85" t="str">
        <v>Waktu585</v>
      </c>
      <c r="AR52" s="85" t="str">
        <v>Monitoring585</v>
      </c>
      <c r="AS52" s="85" t="str">
        <v>Standar kelulusan585</v>
      </c>
    </row>
    <row r="53" ht="70" spans="1:45">
      <c r="A53" s="90" t="s">
        <v>452</v>
      </c>
      <c r="B53" s="191">
        <f>IFERROR(INDEX(panduan!$C$3:$H$16,MATCH(TRIM(A53),panduan!$B$3:$B$16,0),MATCH(TRIM($B$4),panduan!$C$2:$H$2,0)),"")</f>
        <v>2</v>
      </c>
      <c r="C53" s="192">
        <f>IFERROR(INDEX(panduan!$C$3:$H$16,MATCH(TRIM(A53),panduan!$B$3:$B$16,0),MATCH(TRIM($B$41),panduan!$C$2:$H$2,0)),"")</f>
        <v>4</v>
      </c>
      <c r="D53" s="193">
        <v>1</v>
      </c>
      <c r="E53" s="194">
        <f t="shared" si="7"/>
        <v>-3</v>
      </c>
      <c r="F53" s="194">
        <f t="shared" si="8"/>
        <v>3</v>
      </c>
      <c r="G53" s="194" t="str">
        <f>IFERROR(INDEX(panduan!$C$167:$G$171,MATCH($F$37,panduan!$B$167:$B$171,0),MATCH($F53,panduan!$C$166:$G$166,0)),"")</f>
        <v>1,2,3,4</v>
      </c>
      <c r="H53" s="195" t="str">
        <f t="shared" si="9"/>
        <v>Personal Development,Education-Based Development,Relation-Based Development,Experience-Based Development</v>
      </c>
      <c r="I53" s="194">
        <f>IF(E53&lt;0,_xlfn.RANK.EQ(E53,$E$44:$E$57,1)+COUNTIF($E$44:E53,E53)-1,"")</f>
        <v>1</v>
      </c>
      <c r="J53" s="85" t="str">
        <f t="shared" si="10"/>
        <v>Leadership|Analyst|1</v>
      </c>
      <c r="K53" s="85" t="str">
        <f t="shared" si="11"/>
        <v>Leadership|Analyst|2</v>
      </c>
      <c r="L53" s="85" t="str">
        <f t="shared" si="12"/>
        <v>Leadership|Analyst|3</v>
      </c>
      <c r="M53" s="85" t="str">
        <f t="shared" si="13"/>
        <v>Leadership|Analyst|4</v>
      </c>
      <c r="N53" s="194">
        <f ca="1" t="array" ref="N53:U53">IF($J53="","",IFERROR(INDEX('sheet template'!$F$2:$M$1009,_xlfn.AGGREGATE(15,6,(ROW('sheet template'!$A$2:$A$1009)-ROW('sheet template'!$A$2)+1)/('sheet template'!$A$2:$A$1009=$J53),RANDBETWEEN(1,COUNTIF('sheet template'!$A$2:$A$1009,$J53))),0),""))</f>
        <v>1</v>
      </c>
      <c r="O53" s="85" t="str">
        <v>Jurnal "Pertanyaan Eksploratif" Harian</v>
      </c>
      <c r="P53" s="85" t="str">
        <v>Melatih kebiasaan mengajukan pertanyaan yang menggali lebih dalam tentang orang lain.</v>
      </c>
      <c r="Q53" s="85" t="str">
        <v>Setiap hari, dalam 1 interaksi dengan rekan kerja, ajukan 1 pertanyaan eksploratif di luar topik pekerjaan (contoh: "Apa yang membuatmu tertarik di bidang ini?", "Bagaimana pengalamanmu sebelumnya membentuk cara kerjamu sekarang?"). Catat pertanyaan dan responsnya.</v>
      </c>
      <c r="R53" s="85" t="str">
        <v>Jurnal minimal 30 pertanyaan eksploratif; refleksi tentang pola respons yang muncul.</v>
      </c>
      <c r="S53" s="85" t="str">
        <v>Bulan 1–12</v>
      </c>
      <c r="T53" s="85" t="str">
        <v>Per bulan</v>
      </c>
      <c r="U53" s="85" t="str">
        <v>Minimal 80% dari 30 pertanyaan mendapat respons yang menunjukkan elaborasi, contoh, atau informasi baru; 5 contoh direview mentor.</v>
      </c>
      <c r="V53" s="194">
        <f ca="1" t="array" ref="V53:AC53">IF($J53="","",IFERROR(INDEX('sheet template'!$F$2:$M$1009,_xlfn.AGGREGATE(15,6,(ROW('sheet template'!$A$2:$A$1009)-ROW('sheet template'!$A$2)+1)/('sheet template'!$A$2:$A$1009=$J53),RANDBETWEEN(1,COUNTIF('sheet template'!$A$2:$A$1009,$J53))),0),""))</f>
        <v>2</v>
      </c>
      <c r="W53" s="85" t="str">
        <v>Latihan "Menahan Diri dari Memberi Solusi"</v>
      </c>
      <c r="X53" s="85" t="str">
        <v>Membangun kebiasaan mendengar dan bertanya, bukan langsung memberi solusi.</v>
      </c>
      <c r="Y53" s="85" t="str">
        <v>Dalam setiap percakapan dengan rekan yang sedang bercerita tentang masalahnya, tahan keinginan untuk memberi solusi. Sebaliknya, ajukan 3 pertanyaan eksploratif sebelum merespons. Catat keberhasilan.</v>
      </c>
      <c r="Z53" s="85" t="str">
        <v>Log 30 percakapan; rasio bertanya vs memberi solusi; target rasio bertanya:solusi ≥3:1</v>
      </c>
      <c r="AA53" s="85" t="str">
        <v>Bulan 1–12</v>
      </c>
      <c r="AB53" s="85" t="str">
        <v>Per bulan</v>
      </c>
      <c r="AC53" s="85" t="str">
        <v>Rasio bertanya:solusi ≥3:1 di akhir bulan ke-3.
Review log oleh mentor</v>
      </c>
      <c r="AD53" s="194">
        <f ca="1" t="array" ref="AD53:AK53">IF($L53="","",IFERROR(INDEX('sheet template'!$F$2:$M$1009,_xlfn.AGGREGATE(15,6,(ROW('sheet template'!$A$2:$A$1009)-ROW('sheet template'!$A$2)+1)/('sheet template'!$A$2:$A$1009=$L53),RANDBETWEEN(1,COUNTIF('sheet template'!$A$2:$A$1009,$L53))),0),""))</f>
        <v>1</v>
      </c>
      <c r="AE53" s="85" t="str">
        <v>"Curiosity Circle" dengan Rekan Lintas Fungsi</v>
      </c>
      <c r="AF53" s="85" t="str">
        <v>Mempraktikkan rasa ingin tahu tulus dengan orang-orang dari latar belakang berbeda.</v>
      </c>
      <c r="AG53" s="85" t="str">
        <v>Bentuk kelompok 4 orang dari berbagai fungsi. Setiap bulan, satu orang menjadi "narasumber" tentang perjalanan karier dan motivasi mereka. Anggota lain hanya bertanya—tidak memberi saran.</v>
      </c>
      <c r="AH53" s="85" t="str">
        <v>8 sesi; catatan tentang insight baru yang diperoleh; umpan balik dari narasumber.</v>
      </c>
      <c r="AI53" s="85" t="str">
        <v>Bulan 1–12</v>
      </c>
      <c r="AJ53" s="85" t="str">
        <v>Per bulan</v>
      </c>
      <c r="AK53" s="85" t="str">
        <v>Setiap peserta mendapat skor ≥4 untuk "rasa ingin tahu yang tulus" dari narasumber.
 Review catatan insight oleh mentor</v>
      </c>
      <c r="AL53" s="194">
        <f ca="1" t="array" ref="AL53:AS53">IF($L53="","",IFERROR(INDEX('sheet template'!$F$2:$M$1009,_xlfn.AGGREGATE(15,6,(ROW('sheet template'!$A$2:$A$1009)-ROW('sheet template'!$A$2)+1)/('sheet template'!$A$2:$A$1009=$L53),RANDBETWEEN(1,COUNTIF('sheet template'!$A$2:$A$1009,$L53))),0),""))</f>
        <v>1</v>
      </c>
      <c r="AM53" s="85" t="str">
        <v>"Curiosity Circle" dengan Rekan Lintas Fungsi</v>
      </c>
      <c r="AN53" s="85" t="str">
        <v>Mempraktikkan rasa ingin tahu tulus dengan orang-orang dari latar belakang berbeda.</v>
      </c>
      <c r="AO53" s="85" t="str">
        <v>Bentuk kelompok 4 orang dari berbagai fungsi. Setiap bulan, satu orang menjadi "narasumber" tentang perjalanan karier dan motivasi mereka. Anggota lain hanya bertanya—tidak memberi saran.</v>
      </c>
      <c r="AP53" s="85" t="str">
        <v>8 sesi; catatan tentang insight baru yang diperoleh; umpan balik dari narasumber.</v>
      </c>
      <c r="AQ53" s="85" t="str">
        <v>Bulan 1–12</v>
      </c>
      <c r="AR53" s="85" t="str">
        <v>Per bulan</v>
      </c>
      <c r="AS53" s="85" t="str">
        <v>Setiap peserta mendapat skor ≥4 untuk "rasa ingin tahu yang tulus" dari narasumber.
 Review catatan insight oleh mentor</v>
      </c>
    </row>
    <row r="54" spans="1:45">
      <c r="A54" s="90" t="s">
        <v>453</v>
      </c>
      <c r="B54" s="191">
        <f>IFERROR(INDEX(panduan!$C$3:$H$16,MATCH(TRIM(A54),panduan!$B$3:$B$16,0),MATCH(TRIM($B$4),panduan!$C$2:$H$2,0)),"")</f>
        <v>1</v>
      </c>
      <c r="C54" s="192">
        <f>IFERROR(INDEX(panduan!$C$3:$H$16,MATCH(TRIM(A54),panduan!$B$3:$B$16,0),MATCH(TRIM($B$41),panduan!$C$2:$H$2,0)),"")</f>
        <v>3</v>
      </c>
      <c r="D54" s="193">
        <v>3</v>
      </c>
      <c r="E54" s="194">
        <f t="shared" si="7"/>
        <v>0</v>
      </c>
      <c r="F54" s="194" t="str">
        <f t="shared" si="8"/>
        <v/>
      </c>
      <c r="G54" s="194" t="str">
        <f>IFERROR(INDEX(panduan!$C$167:$G$171,MATCH($F$37,panduan!$B$167:$B$171,0),MATCH($F54,panduan!$C$166:$G$166,0)),"")</f>
        <v/>
      </c>
      <c r="H54" s="195" t="str">
        <f t="shared" si="9"/>
        <v/>
      </c>
      <c r="I54" s="194" t="str">
        <f>IF(E54&lt;0,_xlfn.RANK.EQ(E54,$E$44:$E$57,1)+COUNTIF($E$44:E54,E54)-1,"")</f>
        <v/>
      </c>
      <c r="J54" s="85" t="str">
        <f t="shared" si="10"/>
        <v/>
      </c>
      <c r="K54" s="85" t="str">
        <f t="shared" si="11"/>
        <v/>
      </c>
      <c r="L54" s="85" t="str">
        <f t="shared" si="12"/>
        <v/>
      </c>
      <c r="M54" s="82" t="str">
        <f t="shared" si="13"/>
        <v/>
      </c>
      <c r="N54" s="194" t="str">
        <f ca="1" t="array" ref="N54">IF($J54="","",IFERROR(INDEX('sheet template'!$F$2:$M$1009,_xlfn.AGGREGATE(15,6,(ROW('sheet template'!$A$2:$A$1009)-ROW('sheet template'!$A$2)+1)/('sheet template'!$A$2:$A$1009=$J54),RANDBETWEEN(1,COUNTIF('sheet template'!$A$2:$A$1009,$J54))),0),""))</f>
        <v/>
      </c>
      <c r="O54" s="85"/>
      <c r="P54" s="85"/>
      <c r="Q54" s="85"/>
      <c r="R54" s="85"/>
      <c r="S54" s="85"/>
      <c r="T54" s="85"/>
      <c r="U54" s="85"/>
      <c r="V54" s="194" t="str">
        <f ca="1" t="array" ref="V54">IF($J54="","",IFERROR(INDEX('sheet template'!$F$2:$M$1009,_xlfn.AGGREGATE(15,6,(ROW('sheet template'!$A$2:$A$1009)-ROW('sheet template'!$A$2)+1)/('sheet template'!$A$2:$A$1009=$J54),RANDBETWEEN(1,COUNTIF('sheet template'!$A$2:$A$1009,$J54))),0),""))</f>
        <v/>
      </c>
      <c r="W54" s="85"/>
      <c r="X54" s="85"/>
      <c r="Y54" s="85"/>
      <c r="Z54" s="85"/>
      <c r="AA54" s="85"/>
      <c r="AB54" s="85"/>
      <c r="AC54" s="85"/>
      <c r="AD54" s="194" t="str">
        <f ca="1">IF($L54="","",IFERROR(INDEX('sheet template'!$F$2:$M$1009,_xlfn.AGGREGATE(15,6,(ROW('sheet template'!$A$2:$A$1009)-ROW('sheet template'!$A$2)+1)/('sheet template'!$A$2:$A$1009=$L54),RANDBETWEEN(1,COUNTIF('sheet template'!$A$2:$A$1009,$L54))),0),""))</f>
        <v/>
      </c>
      <c r="AE54" s="85"/>
      <c r="AF54" s="85"/>
      <c r="AG54" s="85"/>
      <c r="AH54" s="85"/>
      <c r="AI54" s="85"/>
      <c r="AJ54" s="85"/>
      <c r="AK54" s="85"/>
      <c r="AL54" s="194" t="str">
        <f ca="1" t="array" ref="AL54">IF($L54="","",IFERROR(INDEX('sheet template'!$F$2:$M$1009,_xlfn.AGGREGATE(15,6,(ROW('sheet template'!$A$2:$A$1009)-ROW('sheet template'!$A$2)+1)/('sheet template'!$A$2:$A$1009=$L54),RANDBETWEEN(1,COUNTIF('sheet template'!$A$2:$A$1009,$L54))),0),""))</f>
        <v/>
      </c>
      <c r="AM54" s="85"/>
      <c r="AN54" s="85"/>
      <c r="AO54" s="85"/>
      <c r="AP54" s="85"/>
      <c r="AQ54" s="85"/>
      <c r="AR54" s="85"/>
      <c r="AS54" s="85"/>
    </row>
    <row r="55" spans="1:45">
      <c r="A55" s="90" t="s">
        <v>454</v>
      </c>
      <c r="B55" s="191">
        <f>IFERROR(INDEX(panduan!$C$3:$H$16,MATCH(TRIM(A55),panduan!$B$3:$B$16,0),MATCH(TRIM($B$4),panduan!$C$2:$H$2,0)),"")</f>
        <v>2</v>
      </c>
      <c r="C55" s="192">
        <f>IFERROR(INDEX(panduan!$C$3:$H$16,MATCH(TRIM(A55),panduan!$B$3:$B$16,0),MATCH(TRIM($B$41),panduan!$C$2:$H$2,0)),"")</f>
        <v>3</v>
      </c>
      <c r="D55" s="193">
        <v>4</v>
      </c>
      <c r="E55" s="194">
        <f t="shared" si="7"/>
        <v>1</v>
      </c>
      <c r="F55" s="194" t="str">
        <f t="shared" si="8"/>
        <v/>
      </c>
      <c r="G55" s="194" t="str">
        <f>IFERROR(INDEX(panduan!$C$167:$G$171,MATCH($F$37,panduan!$B$167:$B$171,0),MATCH($F55,panduan!$C$166:$G$166,0)),"")</f>
        <v/>
      </c>
      <c r="H55" s="195" t="str">
        <f t="shared" si="9"/>
        <v/>
      </c>
      <c r="I55" s="194" t="str">
        <f>IF(E55&lt;0,_xlfn.RANK.EQ(E55,$E$44:$E$57,1)+COUNTIF($E$44:E55,E55)-1,"")</f>
        <v/>
      </c>
      <c r="J55" s="85" t="str">
        <f t="shared" si="10"/>
        <v/>
      </c>
      <c r="K55" s="85" t="str">
        <f t="shared" si="11"/>
        <v/>
      </c>
      <c r="L55" s="85" t="str">
        <f t="shared" si="12"/>
        <v/>
      </c>
      <c r="M55" s="82" t="str">
        <f t="shared" si="13"/>
        <v/>
      </c>
      <c r="N55" s="194" t="str">
        <f ca="1" t="array" ref="N55">IF($J55="","",IFERROR(INDEX('sheet template'!$F$2:$M$1009,_xlfn.AGGREGATE(15,6,(ROW('sheet template'!$A$2:$A$1009)-ROW('sheet template'!$A$2)+1)/('sheet template'!$A$2:$A$1009=$J55),RANDBETWEEN(1,COUNTIF('sheet template'!$A$2:$A$1009,$J55))),0),""))</f>
        <v/>
      </c>
      <c r="O55" s="85"/>
      <c r="P55" s="85"/>
      <c r="Q55" s="85"/>
      <c r="R55" s="85"/>
      <c r="S55" s="85"/>
      <c r="T55" s="85"/>
      <c r="U55" s="85"/>
      <c r="V55" s="194" t="str">
        <f ca="1" t="array" ref="V55">IF($J55="","",IFERROR(INDEX('sheet template'!$F$2:$M$1009,_xlfn.AGGREGATE(15,6,(ROW('sheet template'!$A$2:$A$1009)-ROW('sheet template'!$A$2)+1)/('sheet template'!$A$2:$A$1009=$J55),RANDBETWEEN(1,COUNTIF('sheet template'!$A$2:$A$1009,$J55))),0),""))</f>
        <v/>
      </c>
      <c r="W55" s="85"/>
      <c r="X55" s="85"/>
      <c r="Y55" s="85"/>
      <c r="Z55" s="85"/>
      <c r="AA55" s="85"/>
      <c r="AB55" s="85"/>
      <c r="AC55" s="85"/>
      <c r="AD55" s="194" t="str">
        <f ca="1">IF($L55="","",IFERROR(INDEX('sheet template'!$F$2:$M$1009,_xlfn.AGGREGATE(15,6,(ROW('sheet template'!$A$2:$A$1009)-ROW('sheet template'!$A$2)+1)/('sheet template'!$A$2:$A$1009=$L55),RANDBETWEEN(1,COUNTIF('sheet template'!$A$2:$A$1009,$L55))),0),""))</f>
        <v/>
      </c>
      <c r="AE55" s="85"/>
      <c r="AF55" s="85"/>
      <c r="AG55" s="85"/>
      <c r="AH55" s="85"/>
      <c r="AI55" s="85"/>
      <c r="AJ55" s="85"/>
      <c r="AK55" s="85"/>
      <c r="AL55" s="194" t="str">
        <f ca="1" t="array" ref="AL55">IF($L55="","",IFERROR(INDEX('sheet template'!$F$2:$M$1009,_xlfn.AGGREGATE(15,6,(ROW('sheet template'!$A$2:$A$1009)-ROW('sheet template'!$A$2)+1)/('sheet template'!$A$2:$A$1009=$L55),RANDBETWEEN(1,COUNTIF('sheet template'!$A$2:$A$1009,$L55))),0),""))</f>
        <v/>
      </c>
      <c r="AM55" s="85"/>
      <c r="AN55" s="85"/>
      <c r="AO55" s="85"/>
      <c r="AP55" s="85"/>
      <c r="AQ55" s="85"/>
      <c r="AR55" s="85"/>
      <c r="AS55" s="85"/>
    </row>
    <row r="56" spans="1:45">
      <c r="A56" s="90" t="s">
        <v>455</v>
      </c>
      <c r="B56" s="191">
        <f>IFERROR(INDEX(panduan!$C$3:$H$16,MATCH(TRIM(A56),panduan!$B$3:$B$16,0),MATCH(TRIM($B$4),panduan!$C$2:$H$2,0)),"")</f>
        <v>1</v>
      </c>
      <c r="C56" s="192">
        <f>IFERROR(INDEX(panduan!$C$3:$H$16,MATCH(TRIM(A56),panduan!$B$3:$B$16,0),MATCH(TRIM($B$41),panduan!$C$2:$H$2,0)),"")</f>
        <v>3</v>
      </c>
      <c r="D56" s="193">
        <v>4</v>
      </c>
      <c r="E56" s="194">
        <f t="shared" si="7"/>
        <v>1</v>
      </c>
      <c r="F56" s="194" t="str">
        <f t="shared" si="8"/>
        <v/>
      </c>
      <c r="G56" s="194" t="str">
        <f>IFERROR(INDEX(panduan!$C$167:$G$171,MATCH($F$37,panduan!$B$167:$B$171,0),MATCH($F56,panduan!$C$166:$G$166,0)),"")</f>
        <v/>
      </c>
      <c r="H56" s="195" t="str">
        <f t="shared" si="9"/>
        <v/>
      </c>
      <c r="I56" s="194" t="str">
        <f>IF(E56&lt;0,_xlfn.RANK.EQ(E56,$E$44:$E$57,1)+COUNTIF($E$44:E56,E56)-1,"")</f>
        <v/>
      </c>
      <c r="J56" s="85" t="str">
        <f t="shared" si="10"/>
        <v/>
      </c>
      <c r="K56" s="85" t="str">
        <f t="shared" si="11"/>
        <v/>
      </c>
      <c r="L56" s="85" t="str">
        <f t="shared" si="12"/>
        <v/>
      </c>
      <c r="M56" s="82" t="str">
        <f t="shared" si="13"/>
        <v/>
      </c>
      <c r="N56" s="194" t="str">
        <f ca="1" t="array" ref="N56">IF($J56="","",IFERROR(INDEX('sheet template'!$F$2:$M$1009,_xlfn.AGGREGATE(15,6,(ROW('sheet template'!$A$2:$A$1009)-ROW('sheet template'!$A$2)+1)/('sheet template'!$A$2:$A$1009=$J56),RANDBETWEEN(1,COUNTIF('sheet template'!$A$2:$A$1009,$J56))),0),""))</f>
        <v/>
      </c>
      <c r="O56" s="85"/>
      <c r="P56" s="85"/>
      <c r="Q56" s="85"/>
      <c r="R56" s="85"/>
      <c r="S56" s="85"/>
      <c r="T56" s="85"/>
      <c r="U56" s="85"/>
      <c r="V56" s="194" t="str">
        <f ca="1" t="array" ref="V56">IF($J56="","",IFERROR(INDEX('sheet template'!$F$2:$M$1009,_xlfn.AGGREGATE(15,6,(ROW('sheet template'!$A$2:$A$1009)-ROW('sheet template'!$A$2)+1)/('sheet template'!$A$2:$A$1009=$J56),RANDBETWEEN(1,COUNTIF('sheet template'!$A$2:$A$1009,$J56))),0),""))</f>
        <v/>
      </c>
      <c r="W56" s="85"/>
      <c r="X56" s="85"/>
      <c r="Y56" s="85"/>
      <c r="Z56" s="85"/>
      <c r="AA56" s="85"/>
      <c r="AB56" s="85"/>
      <c r="AC56" s="85"/>
      <c r="AD56" s="194" t="str">
        <f ca="1">IF($L56="","",IFERROR(INDEX('sheet template'!$F$2:$M$1009,_xlfn.AGGREGATE(15,6,(ROW('sheet template'!$A$2:$A$1009)-ROW('sheet template'!$A$2)+1)/('sheet template'!$A$2:$A$1009=$L56),RANDBETWEEN(1,COUNTIF('sheet template'!$A$2:$A$1009,$L56))),0),""))</f>
        <v/>
      </c>
      <c r="AE56" s="85"/>
      <c r="AF56" s="85"/>
      <c r="AG56" s="85"/>
      <c r="AH56" s="85"/>
      <c r="AI56" s="85"/>
      <c r="AJ56" s="85"/>
      <c r="AK56" s="85"/>
      <c r="AL56" s="194" t="str">
        <f ca="1" t="array" ref="AL56">IF($L56="","",IFERROR(INDEX('sheet template'!$F$2:$M$1009,_xlfn.AGGREGATE(15,6,(ROW('sheet template'!$A$2:$A$1009)-ROW('sheet template'!$A$2)+1)/('sheet template'!$A$2:$A$1009=$L56),RANDBETWEEN(1,COUNTIF('sheet template'!$A$2:$A$1009,$L56))),0),""))</f>
        <v/>
      </c>
      <c r="AM56" s="85"/>
      <c r="AN56" s="85"/>
      <c r="AO56" s="85"/>
      <c r="AP56" s="85"/>
      <c r="AQ56" s="85"/>
      <c r="AR56" s="85"/>
      <c r="AS56" s="85"/>
    </row>
    <row r="57" spans="1:45">
      <c r="A57" s="90" t="s">
        <v>456</v>
      </c>
      <c r="B57" s="191">
        <f>IFERROR(INDEX(panduan!$C$3:$H$16,MATCH(TRIM(A57),panduan!$B$3:$B$16,0),MATCH(TRIM($B$4),panduan!$C$2:$H$2,0)),"")</f>
        <v>1</v>
      </c>
      <c r="C57" s="192">
        <f>IFERROR(INDEX(panduan!$C$3:$H$16,MATCH(TRIM(A57),panduan!$B$3:$B$16,0),MATCH(TRIM($B$41),panduan!$C$2:$H$2,0)),"")</f>
        <v>3</v>
      </c>
      <c r="D57" s="193">
        <v>4</v>
      </c>
      <c r="E57" s="194">
        <f t="shared" si="7"/>
        <v>1</v>
      </c>
      <c r="F57" s="194" t="str">
        <f t="shared" si="8"/>
        <v/>
      </c>
      <c r="G57" s="194" t="str">
        <f>IFERROR(INDEX(panduan!$C$167:$G$171,MATCH($F$37,panduan!$B$167:$B$171,0),MATCH($F57,panduan!$C$166:$G$166,0)),"")</f>
        <v/>
      </c>
      <c r="H57" s="195" t="str">
        <f t="shared" si="9"/>
        <v/>
      </c>
      <c r="I57" s="194" t="str">
        <f>IF(E57&lt;0,_xlfn.RANK.EQ(E57,$E$44:$E$57,1)+COUNTIF($E$44:E57,E57)-1,"")</f>
        <v/>
      </c>
      <c r="J57" s="85" t="str">
        <f t="shared" si="10"/>
        <v/>
      </c>
      <c r="K57" s="85" t="str">
        <f t="shared" si="11"/>
        <v/>
      </c>
      <c r="L57" s="85" t="str">
        <f t="shared" si="12"/>
        <v/>
      </c>
      <c r="M57" s="82" t="str">
        <f t="shared" si="13"/>
        <v/>
      </c>
      <c r="N57" s="194" t="str">
        <f ca="1" t="array" ref="N57">IF($J57="","",IFERROR(INDEX('sheet template'!$F$2:$M$1009,_xlfn.AGGREGATE(15,6,(ROW('sheet template'!$A$2:$A$1009)-ROW('sheet template'!$A$2)+1)/('sheet template'!$A$2:$A$1009=$J57),RANDBETWEEN(1,COUNTIF('sheet template'!$A$2:$A$1009,$J57))),0),""))</f>
        <v/>
      </c>
      <c r="O57" s="85"/>
      <c r="P57" s="85"/>
      <c r="Q57" s="85"/>
      <c r="R57" s="85"/>
      <c r="S57" s="85"/>
      <c r="T57" s="85"/>
      <c r="U57" s="85"/>
      <c r="V57" s="194" t="str">
        <f ca="1" t="array" ref="V57">IF($J57="","",IFERROR(INDEX('sheet template'!$F$2:$M$1009,_xlfn.AGGREGATE(15,6,(ROW('sheet template'!$A$2:$A$1009)-ROW('sheet template'!$A$2)+1)/('sheet template'!$A$2:$A$1009=$J57),RANDBETWEEN(1,COUNTIF('sheet template'!$A$2:$A$1009,$J57))),0),""))</f>
        <v/>
      </c>
      <c r="W57" s="85"/>
      <c r="X57" s="85"/>
      <c r="Y57" s="85"/>
      <c r="Z57" s="85"/>
      <c r="AA57" s="85"/>
      <c r="AB57" s="85"/>
      <c r="AC57" s="85"/>
      <c r="AD57" s="194" t="str">
        <f ca="1">IF($L57="","",IFERROR(INDEX('sheet template'!$F$2:$M$1009,_xlfn.AGGREGATE(15,6,(ROW('sheet template'!$A$2:$A$1009)-ROW('sheet template'!$A$2)+1)/('sheet template'!$A$2:$A$1009=$L57),RANDBETWEEN(1,COUNTIF('sheet template'!$A$2:$A$1009,$L57))),0),""))</f>
        <v/>
      </c>
      <c r="AE57" s="85"/>
      <c r="AF57" s="85"/>
      <c r="AG57" s="85"/>
      <c r="AH57" s="85"/>
      <c r="AI57" s="85"/>
      <c r="AJ57" s="85"/>
      <c r="AK57" s="85"/>
      <c r="AL57" s="194" t="str">
        <f ca="1" t="array" ref="AL57">IF($L57="","",IFERROR(INDEX('sheet template'!$F$2:$M$1009,_xlfn.AGGREGATE(15,6,(ROW('sheet template'!$A$2:$A$1009)-ROW('sheet template'!$A$2)+1)/('sheet template'!$A$2:$A$1009=$L57),RANDBETWEEN(1,COUNTIF('sheet template'!$A$2:$A$1009,$L57))),0),""))</f>
        <v/>
      </c>
      <c r="AM57" s="85"/>
      <c r="AN57" s="85"/>
      <c r="AO57" s="85"/>
      <c r="AP57" s="85"/>
      <c r="AQ57" s="85"/>
      <c r="AR57" s="85"/>
      <c r="AS57" s="85"/>
    </row>
  </sheetData>
  <mergeCells count="8">
    <mergeCell ref="N12:U12"/>
    <mergeCell ref="V12:AC12"/>
    <mergeCell ref="AD12:AK12"/>
    <mergeCell ref="AL12:AS12"/>
    <mergeCell ref="N43:U43"/>
    <mergeCell ref="V43:AC43"/>
    <mergeCell ref="AD43:AK43"/>
    <mergeCell ref="AL43:AS43"/>
  </mergeCells>
  <conditionalFormatting sqref="E31:F31">
    <cfRule type="containsText" dxfId="0" priority="8" operator="between" text="major negativ">
      <formula>NOT(ISERROR(SEARCH("major negativ",E31)))</formula>
    </cfRule>
  </conditionalFormatting>
  <conditionalFormatting sqref="E12:E26">
    <cfRule type="cellIs" dxfId="6" priority="15" operator="lessThan">
      <formula>0</formula>
    </cfRule>
  </conditionalFormatting>
  <conditionalFormatting sqref="E13:E26">
    <cfRule type="cellIs" dxfId="7" priority="13" operator="equal">
      <formula>0</formula>
    </cfRule>
    <cfRule type="cellIs" dxfId="8" priority="14" operator="greaterThan">
      <formula>0</formula>
    </cfRule>
  </conditionalFormatting>
  <conditionalFormatting sqref="E43:E57">
    <cfRule type="cellIs" dxfId="6" priority="7" operator="lessThan">
      <formula>0</formula>
    </cfRule>
  </conditionalFormatting>
  <conditionalFormatting sqref="E44:E57">
    <cfRule type="cellIs" dxfId="7" priority="5" operator="equal">
      <formula>0</formula>
    </cfRule>
    <cfRule type="cellIs" dxfId="8" priority="6" operator="greaterThan">
      <formula>0</formula>
    </cfRule>
  </conditionalFormatting>
  <conditionalFormatting sqref="F13:F26">
    <cfRule type="containsText" dxfId="9" priority="9" operator="between" text="4">
      <formula>NOT(ISERROR(SEARCH("4",F13)))</formula>
    </cfRule>
    <cfRule type="containsText" dxfId="10" priority="10" operator="between" text="3">
      <formula>NOT(ISERROR(SEARCH("3",F13)))</formula>
    </cfRule>
    <cfRule type="containsText" dxfId="11" priority="11" operator="between" text="2">
      <formula>NOT(ISERROR(SEARCH("2",F13)))</formula>
    </cfRule>
    <cfRule type="containsText" dxfId="0" priority="12" operator="between" text="1">
      <formula>NOT(ISERROR(SEARCH("1",F13)))</formula>
    </cfRule>
  </conditionalFormatting>
  <conditionalFormatting sqref="F44:F57">
    <cfRule type="containsText" dxfId="9" priority="1" operator="between" text="4">
      <formula>NOT(ISERROR(SEARCH("4",F44)))</formula>
    </cfRule>
    <cfRule type="containsText" dxfId="10" priority="2" operator="between" text="3">
      <formula>NOT(ISERROR(SEARCH("3",F44)))</formula>
    </cfRule>
    <cfRule type="containsText" dxfId="11" priority="3" operator="between" text="2">
      <formula>NOT(ISERROR(SEARCH("2",F44)))</formula>
    </cfRule>
    <cfRule type="containsText" dxfId="0" priority="4" operator="between" text="1">
      <formula>NOT(ISERROR(SEARCH("1",F44)))</formula>
    </cfRule>
  </conditionalFormatting>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M1009"/>
  <sheetViews>
    <sheetView zoomScale="70" zoomScaleNormal="70" topLeftCell="A438" workbookViewId="0">
      <selection activeCell="N13" sqref="A12:P23"/>
    </sheetView>
  </sheetViews>
  <sheetFormatPr defaultColWidth="8.83636363636364" defaultRowHeight="14"/>
  <cols>
    <col min="1" max="1" width="34.5818181818182" style="57" customWidth="1"/>
    <col min="2" max="2" width="29.2545454545455" style="57" customWidth="1"/>
    <col min="3" max="3" width="15.1636363636364" style="177" customWidth="1"/>
    <col min="4" max="4" width="11.8363636363636" style="177" customWidth="1"/>
    <col min="5" max="5" width="19.2545454545455" style="177" customWidth="1"/>
    <col min="6" max="6" width="12.7545454545455" style="177" customWidth="1"/>
    <col min="7" max="10" width="40.7545454545455" style="57" customWidth="1"/>
    <col min="11" max="11" width="10.2545454545455" style="57" customWidth="1"/>
    <col min="12" max="12" width="22.7545454545455" style="57" customWidth="1"/>
    <col min="13" max="13" width="50.7545454545455" style="57" customWidth="1"/>
    <col min="14" max="14" width="27.8363636363636" style="57" customWidth="1"/>
    <col min="15" max="16384" width="8.83636363636364" style="57"/>
  </cols>
  <sheetData>
    <row r="1" ht="28" spans="1:13">
      <c r="A1" s="57" t="s">
        <v>461</v>
      </c>
      <c r="B1" s="57" t="s">
        <v>426</v>
      </c>
      <c r="C1" s="177" t="s">
        <v>462</v>
      </c>
      <c r="D1" s="177" t="s">
        <v>463</v>
      </c>
      <c r="E1" s="177" t="s">
        <v>464</v>
      </c>
      <c r="F1" s="177" t="s">
        <v>465</v>
      </c>
      <c r="G1" s="57" t="s">
        <v>466</v>
      </c>
      <c r="H1" s="57" t="s">
        <v>467</v>
      </c>
      <c r="I1" s="57" t="s">
        <v>468</v>
      </c>
      <c r="J1" s="57" t="s">
        <v>469</v>
      </c>
      <c r="K1" s="57" t="s">
        <v>470</v>
      </c>
      <c r="L1" s="57" t="s">
        <v>471</v>
      </c>
      <c r="M1" s="57" t="s">
        <v>472</v>
      </c>
    </row>
    <row r="2" ht="70" spans="1:13">
      <c r="A2" s="178" t="str">
        <f>B2&amp;"|"&amp;C2&amp;"|"&amp;D2</f>
        <v>Communication &amp; Deal with Others|Officer|1</v>
      </c>
      <c r="B2" s="57" t="s">
        <v>455</v>
      </c>
      <c r="C2" s="177" t="s">
        <v>6</v>
      </c>
      <c r="D2" s="177">
        <v>1</v>
      </c>
      <c r="E2" s="177" t="s">
        <v>473</v>
      </c>
      <c r="F2" s="177">
        <v>1</v>
      </c>
      <c r="G2" s="57" t="s">
        <v>474</v>
      </c>
      <c r="H2" s="57" t="s">
        <v>475</v>
      </c>
      <c r="I2" s="57" t="s">
        <v>476</v>
      </c>
      <c r="J2" s="57" t="s">
        <v>477</v>
      </c>
      <c r="K2" s="57" t="s">
        <v>478</v>
      </c>
      <c r="L2" s="57" t="s">
        <v>479</v>
      </c>
      <c r="M2" s="57" t="s">
        <v>480</v>
      </c>
    </row>
    <row r="3" ht="56" spans="1:13">
      <c r="A3" s="178" t="str">
        <f t="shared" ref="A3:A66" si="0">B3&amp;"|"&amp;C3&amp;"|"&amp;D3</f>
        <v>Communication &amp; Deal with Others|Officer|1</v>
      </c>
      <c r="B3" s="57" t="s">
        <v>455</v>
      </c>
      <c r="C3" s="177" t="s">
        <v>6</v>
      </c>
      <c r="D3" s="177">
        <v>1</v>
      </c>
      <c r="E3" s="177" t="s">
        <v>473</v>
      </c>
      <c r="F3" s="177">
        <v>2</v>
      </c>
      <c r="G3" s="57" t="s">
        <v>481</v>
      </c>
      <c r="H3" s="57" t="s">
        <v>482</v>
      </c>
      <c r="I3" s="57" t="s">
        <v>483</v>
      </c>
      <c r="J3" s="57" t="s">
        <v>484</v>
      </c>
      <c r="K3" s="57" t="s">
        <v>478</v>
      </c>
      <c r="L3" s="57" t="s">
        <v>479</v>
      </c>
      <c r="M3" s="57" t="s">
        <v>485</v>
      </c>
    </row>
    <row r="4" ht="70" spans="1:13">
      <c r="A4" s="178" t="str">
        <f t="shared" si="0"/>
        <v>Communication &amp; Deal with Others|Officer|1</v>
      </c>
      <c r="B4" s="57" t="s">
        <v>455</v>
      </c>
      <c r="C4" s="177" t="s">
        <v>6</v>
      </c>
      <c r="D4" s="177">
        <v>1</v>
      </c>
      <c r="E4" s="177" t="s">
        <v>473</v>
      </c>
      <c r="F4" s="177">
        <v>3</v>
      </c>
      <c r="G4" s="57" t="s">
        <v>486</v>
      </c>
      <c r="H4" s="57" t="s">
        <v>487</v>
      </c>
      <c r="I4" s="57" t="s">
        <v>488</v>
      </c>
      <c r="J4" s="57" t="s">
        <v>489</v>
      </c>
      <c r="K4" s="57" t="s">
        <v>478</v>
      </c>
      <c r="L4" s="57" t="s">
        <v>479</v>
      </c>
      <c r="M4" s="57" t="s">
        <v>490</v>
      </c>
    </row>
    <row r="5" ht="42" spans="1:13">
      <c r="A5" s="178" t="str">
        <f t="shared" si="0"/>
        <v>Communication &amp; Deal with Others|Officer|2</v>
      </c>
      <c r="B5" s="57" t="s">
        <v>455</v>
      </c>
      <c r="C5" s="177" t="s">
        <v>6</v>
      </c>
      <c r="D5" s="177">
        <v>2</v>
      </c>
      <c r="E5" s="177" t="s">
        <v>491</v>
      </c>
      <c r="F5" s="177">
        <v>1</v>
      </c>
      <c r="G5" s="57" t="s">
        <v>492</v>
      </c>
      <c r="H5" s="57" t="s">
        <v>493</v>
      </c>
      <c r="I5" s="57" t="s">
        <v>494</v>
      </c>
      <c r="J5" s="57" t="s">
        <v>495</v>
      </c>
      <c r="K5" s="57" t="s">
        <v>478</v>
      </c>
      <c r="L5" s="57" t="s">
        <v>479</v>
      </c>
      <c r="M5" s="57" t="s">
        <v>496</v>
      </c>
    </row>
    <row r="6" ht="42" spans="1:13">
      <c r="A6" s="178" t="str">
        <f t="shared" si="0"/>
        <v>Communication &amp; Deal with Others|Officer|2</v>
      </c>
      <c r="B6" s="57" t="s">
        <v>455</v>
      </c>
      <c r="C6" s="177" t="s">
        <v>6</v>
      </c>
      <c r="D6" s="177">
        <v>2</v>
      </c>
      <c r="E6" s="177" t="s">
        <v>491</v>
      </c>
      <c r="F6" s="177">
        <v>2</v>
      </c>
      <c r="G6" s="57" t="s">
        <v>497</v>
      </c>
      <c r="H6" s="57" t="s">
        <v>498</v>
      </c>
      <c r="I6" s="57" t="s">
        <v>499</v>
      </c>
      <c r="J6" s="57" t="s">
        <v>500</v>
      </c>
      <c r="K6" s="57" t="s">
        <v>478</v>
      </c>
      <c r="L6" s="57" t="s">
        <v>479</v>
      </c>
      <c r="M6" s="57" t="s">
        <v>501</v>
      </c>
    </row>
    <row r="7" ht="42" spans="1:13">
      <c r="A7" s="178" t="str">
        <f t="shared" si="0"/>
        <v>Communication &amp; Deal with Others|Officer|2</v>
      </c>
      <c r="B7" s="57" t="s">
        <v>455</v>
      </c>
      <c r="C7" s="177" t="s">
        <v>6</v>
      </c>
      <c r="D7" s="177">
        <v>2</v>
      </c>
      <c r="E7" s="177" t="s">
        <v>491</v>
      </c>
      <c r="F7" s="177">
        <v>3</v>
      </c>
      <c r="G7" s="57" t="s">
        <v>502</v>
      </c>
      <c r="H7" s="57" t="s">
        <v>503</v>
      </c>
      <c r="I7" s="57" t="s">
        <v>504</v>
      </c>
      <c r="J7" s="57" t="s">
        <v>505</v>
      </c>
      <c r="K7" s="57" t="s">
        <v>478</v>
      </c>
      <c r="L7" s="57" t="s">
        <v>479</v>
      </c>
      <c r="M7" s="57" t="s">
        <v>506</v>
      </c>
    </row>
    <row r="8" ht="70" spans="1:13">
      <c r="A8" s="178" t="str">
        <f t="shared" si="0"/>
        <v>Communication &amp; Deal with Others|Officer|3</v>
      </c>
      <c r="B8" s="57" t="s">
        <v>455</v>
      </c>
      <c r="C8" s="177" t="s">
        <v>6</v>
      </c>
      <c r="D8" s="177">
        <v>3</v>
      </c>
      <c r="E8" s="177" t="s">
        <v>507</v>
      </c>
      <c r="F8" s="177">
        <v>1</v>
      </c>
      <c r="G8" s="57" t="s">
        <v>508</v>
      </c>
      <c r="H8" s="57" t="s">
        <v>509</v>
      </c>
      <c r="I8" s="57" t="s">
        <v>510</v>
      </c>
      <c r="J8" s="57" t="s">
        <v>511</v>
      </c>
      <c r="K8" s="57" t="s">
        <v>478</v>
      </c>
      <c r="L8" s="57" t="s">
        <v>479</v>
      </c>
      <c r="M8" s="57" t="s">
        <v>512</v>
      </c>
    </row>
    <row r="9" ht="56" spans="1:13">
      <c r="A9" s="178" t="str">
        <f t="shared" si="0"/>
        <v>Communication &amp; Deal with Others|Officer|3</v>
      </c>
      <c r="B9" s="57" t="s">
        <v>455</v>
      </c>
      <c r="C9" s="177" t="s">
        <v>6</v>
      </c>
      <c r="D9" s="177">
        <v>3</v>
      </c>
      <c r="E9" s="177" t="s">
        <v>507</v>
      </c>
      <c r="F9" s="177">
        <v>2</v>
      </c>
      <c r="G9" s="57" t="s">
        <v>513</v>
      </c>
      <c r="H9" s="57" t="s">
        <v>514</v>
      </c>
      <c r="I9" s="57" t="s">
        <v>515</v>
      </c>
      <c r="J9" s="57" t="s">
        <v>516</v>
      </c>
      <c r="K9" s="57" t="s">
        <v>478</v>
      </c>
      <c r="L9" s="57" t="s">
        <v>479</v>
      </c>
      <c r="M9" s="57" t="s">
        <v>517</v>
      </c>
    </row>
    <row r="10" ht="42" spans="1:13">
      <c r="A10" s="178" t="str">
        <f t="shared" si="0"/>
        <v>Communication &amp; Deal with Others|Officer|3</v>
      </c>
      <c r="B10" s="57" t="s">
        <v>455</v>
      </c>
      <c r="C10" s="177" t="s">
        <v>6</v>
      </c>
      <c r="D10" s="177">
        <v>3</v>
      </c>
      <c r="E10" s="177" t="s">
        <v>507</v>
      </c>
      <c r="F10" s="177">
        <v>3</v>
      </c>
      <c r="G10" s="57" t="s">
        <v>518</v>
      </c>
      <c r="H10" s="57" t="s">
        <v>519</v>
      </c>
      <c r="I10" s="57" t="s">
        <v>520</v>
      </c>
      <c r="J10" s="57" t="s">
        <v>521</v>
      </c>
      <c r="K10" s="57" t="s">
        <v>478</v>
      </c>
      <c r="L10" s="57" t="s">
        <v>479</v>
      </c>
      <c r="M10" s="57" t="s">
        <v>522</v>
      </c>
    </row>
    <row r="11" ht="56" spans="1:13">
      <c r="A11" s="178" t="str">
        <f t="shared" si="0"/>
        <v>Communication &amp; Deal with Others|Officer|4</v>
      </c>
      <c r="B11" s="57" t="s">
        <v>455</v>
      </c>
      <c r="C11" s="177" t="s">
        <v>6</v>
      </c>
      <c r="D11" s="177">
        <v>4</v>
      </c>
      <c r="E11" s="177" t="s">
        <v>523</v>
      </c>
      <c r="F11" s="177">
        <v>1</v>
      </c>
      <c r="G11" s="57" t="s">
        <v>524</v>
      </c>
      <c r="H11" s="57" t="s">
        <v>525</v>
      </c>
      <c r="I11" s="57" t="s">
        <v>526</v>
      </c>
      <c r="J11" s="57" t="s">
        <v>527</v>
      </c>
      <c r="K11" s="57" t="s">
        <v>478</v>
      </c>
      <c r="L11" s="57" t="s">
        <v>479</v>
      </c>
      <c r="M11" s="57" t="s">
        <v>528</v>
      </c>
    </row>
    <row r="12" ht="56" spans="1:13">
      <c r="A12" s="178" t="str">
        <f t="shared" si="0"/>
        <v>Communication &amp; Deal with Others|Officer|4</v>
      </c>
      <c r="B12" s="57" t="s">
        <v>455</v>
      </c>
      <c r="C12" s="177" t="s">
        <v>6</v>
      </c>
      <c r="D12" s="177">
        <v>4</v>
      </c>
      <c r="E12" s="177" t="s">
        <v>523</v>
      </c>
      <c r="F12" s="177">
        <v>2</v>
      </c>
      <c r="G12" s="57" t="s">
        <v>529</v>
      </c>
      <c r="H12" s="57" t="s">
        <v>530</v>
      </c>
      <c r="I12" s="57" t="s">
        <v>531</v>
      </c>
      <c r="J12" s="57" t="s">
        <v>532</v>
      </c>
      <c r="K12" s="57" t="s">
        <v>478</v>
      </c>
      <c r="L12" s="57" t="s">
        <v>479</v>
      </c>
      <c r="M12" s="57" t="s">
        <v>533</v>
      </c>
    </row>
    <row r="13" ht="42" spans="1:13">
      <c r="A13" s="178" t="str">
        <f t="shared" si="0"/>
        <v>Communication &amp; Deal with Others|Officer|4</v>
      </c>
      <c r="B13" s="57" t="s">
        <v>455</v>
      </c>
      <c r="C13" s="177" t="s">
        <v>6</v>
      </c>
      <c r="D13" s="177">
        <v>4</v>
      </c>
      <c r="E13" s="177" t="s">
        <v>523</v>
      </c>
      <c r="F13" s="177">
        <v>3</v>
      </c>
      <c r="G13" s="57" t="s">
        <v>534</v>
      </c>
      <c r="H13" s="57" t="s">
        <v>535</v>
      </c>
      <c r="I13" s="57" t="s">
        <v>536</v>
      </c>
      <c r="J13" s="57" t="s">
        <v>537</v>
      </c>
      <c r="K13" s="57" t="s">
        <v>478</v>
      </c>
      <c r="L13" s="57" t="s">
        <v>479</v>
      </c>
      <c r="M13" s="57" t="s">
        <v>538</v>
      </c>
    </row>
    <row r="14" ht="70" spans="1:13">
      <c r="A14" s="178" t="str">
        <f t="shared" si="0"/>
        <v>Communication &amp; Deal with Others|Analyst|1</v>
      </c>
      <c r="B14" s="57" t="s">
        <v>455</v>
      </c>
      <c r="C14" s="177" t="s">
        <v>8</v>
      </c>
      <c r="D14" s="177">
        <v>1</v>
      </c>
      <c r="E14" s="177" t="s">
        <v>473</v>
      </c>
      <c r="F14" s="177">
        <v>1</v>
      </c>
      <c r="G14" s="57" t="s">
        <v>539</v>
      </c>
      <c r="H14" s="57" t="s">
        <v>540</v>
      </c>
      <c r="I14" s="57" t="s">
        <v>541</v>
      </c>
      <c r="J14" s="57" t="s">
        <v>542</v>
      </c>
      <c r="K14" s="57" t="s">
        <v>478</v>
      </c>
      <c r="L14" s="57" t="s">
        <v>479</v>
      </c>
      <c r="M14" s="57" t="s">
        <v>543</v>
      </c>
    </row>
    <row r="15" ht="56" spans="1:13">
      <c r="A15" s="178" t="str">
        <f t="shared" si="0"/>
        <v>Communication &amp; Deal with Others|Analyst|1</v>
      </c>
      <c r="B15" s="57" t="s">
        <v>455</v>
      </c>
      <c r="C15" s="177" t="s">
        <v>8</v>
      </c>
      <c r="D15" s="177">
        <v>1</v>
      </c>
      <c r="E15" s="177" t="s">
        <v>473</v>
      </c>
      <c r="F15" s="177">
        <v>2</v>
      </c>
      <c r="G15" s="57" t="s">
        <v>544</v>
      </c>
      <c r="H15" s="57" t="s">
        <v>545</v>
      </c>
      <c r="I15" s="57" t="s">
        <v>546</v>
      </c>
      <c r="J15" s="57" t="s">
        <v>547</v>
      </c>
      <c r="K15" s="57" t="s">
        <v>478</v>
      </c>
      <c r="L15" s="57" t="s">
        <v>479</v>
      </c>
      <c r="M15" s="57" t="s">
        <v>548</v>
      </c>
    </row>
    <row r="16" ht="56" spans="1:13">
      <c r="A16" s="178" t="str">
        <f t="shared" si="0"/>
        <v>Communication &amp; Deal with Others|Analyst|1</v>
      </c>
      <c r="B16" s="57" t="s">
        <v>455</v>
      </c>
      <c r="C16" s="177" t="s">
        <v>8</v>
      </c>
      <c r="D16" s="177">
        <v>1</v>
      </c>
      <c r="E16" s="177" t="s">
        <v>473</v>
      </c>
      <c r="F16" s="177">
        <v>3</v>
      </c>
      <c r="G16" s="57" t="s">
        <v>549</v>
      </c>
      <c r="H16" s="57" t="s">
        <v>550</v>
      </c>
      <c r="I16" s="57" t="s">
        <v>551</v>
      </c>
      <c r="J16" s="57" t="s">
        <v>552</v>
      </c>
      <c r="K16" s="57" t="s">
        <v>478</v>
      </c>
      <c r="L16" s="57" t="s">
        <v>479</v>
      </c>
      <c r="M16" s="57" t="s">
        <v>553</v>
      </c>
    </row>
    <row r="17" ht="56" spans="1:13">
      <c r="A17" s="178" t="str">
        <f t="shared" si="0"/>
        <v>Communication &amp; Deal with Others|Analyst|2</v>
      </c>
      <c r="B17" s="57" t="s">
        <v>455</v>
      </c>
      <c r="C17" s="177" t="s">
        <v>8</v>
      </c>
      <c r="D17" s="177">
        <v>2</v>
      </c>
      <c r="E17" s="177" t="s">
        <v>491</v>
      </c>
      <c r="F17" s="177">
        <v>1</v>
      </c>
      <c r="G17" s="57" t="s">
        <v>554</v>
      </c>
      <c r="H17" s="57" t="s">
        <v>555</v>
      </c>
      <c r="I17" s="57" t="s">
        <v>556</v>
      </c>
      <c r="J17" s="57" t="s">
        <v>557</v>
      </c>
      <c r="K17" s="57" t="s">
        <v>478</v>
      </c>
      <c r="L17" s="57" t="s">
        <v>479</v>
      </c>
      <c r="M17" s="57" t="s">
        <v>558</v>
      </c>
    </row>
    <row r="18" ht="42" spans="1:13">
      <c r="A18" s="178" t="str">
        <f t="shared" si="0"/>
        <v>Communication &amp; Deal with Others|Analyst|2</v>
      </c>
      <c r="B18" s="57" t="s">
        <v>455</v>
      </c>
      <c r="C18" s="177" t="s">
        <v>8</v>
      </c>
      <c r="D18" s="177">
        <v>2</v>
      </c>
      <c r="E18" s="177" t="s">
        <v>491</v>
      </c>
      <c r="F18" s="177">
        <v>2</v>
      </c>
      <c r="G18" s="57" t="s">
        <v>559</v>
      </c>
      <c r="H18" s="57" t="s">
        <v>560</v>
      </c>
      <c r="I18" s="57" t="s">
        <v>561</v>
      </c>
      <c r="J18" s="57" t="s">
        <v>562</v>
      </c>
      <c r="K18" s="57" t="s">
        <v>478</v>
      </c>
      <c r="L18" s="57" t="s">
        <v>479</v>
      </c>
      <c r="M18" s="57" t="s">
        <v>563</v>
      </c>
    </row>
    <row r="19" ht="42" spans="1:13">
      <c r="A19" s="178" t="str">
        <f t="shared" si="0"/>
        <v>Communication &amp; Deal with Others|Analyst|2</v>
      </c>
      <c r="B19" s="57" t="s">
        <v>455</v>
      </c>
      <c r="C19" s="177" t="s">
        <v>8</v>
      </c>
      <c r="D19" s="177">
        <v>2</v>
      </c>
      <c r="E19" s="177" t="s">
        <v>491</v>
      </c>
      <c r="F19" s="177">
        <v>3</v>
      </c>
      <c r="G19" s="57" t="s">
        <v>564</v>
      </c>
      <c r="H19" s="57" t="s">
        <v>565</v>
      </c>
      <c r="I19" s="57" t="s">
        <v>566</v>
      </c>
      <c r="J19" s="57" t="s">
        <v>567</v>
      </c>
      <c r="K19" s="57" t="s">
        <v>478</v>
      </c>
      <c r="L19" s="57" t="s">
        <v>479</v>
      </c>
      <c r="M19" s="57" t="s">
        <v>568</v>
      </c>
    </row>
    <row r="20" ht="56" spans="1:13">
      <c r="A20" s="178" t="str">
        <f t="shared" si="0"/>
        <v>Communication &amp; Deal with Others|Analyst|3</v>
      </c>
      <c r="B20" s="57" t="s">
        <v>455</v>
      </c>
      <c r="C20" s="177" t="s">
        <v>8</v>
      </c>
      <c r="D20" s="177">
        <v>3</v>
      </c>
      <c r="E20" s="177" t="s">
        <v>507</v>
      </c>
      <c r="F20" s="177">
        <v>1</v>
      </c>
      <c r="G20" s="57" t="s">
        <v>569</v>
      </c>
      <c r="H20" s="57" t="s">
        <v>570</v>
      </c>
      <c r="I20" s="57" t="s">
        <v>571</v>
      </c>
      <c r="J20" s="57" t="s">
        <v>572</v>
      </c>
      <c r="K20" s="57" t="s">
        <v>478</v>
      </c>
      <c r="L20" s="57" t="s">
        <v>479</v>
      </c>
      <c r="M20" s="57" t="s">
        <v>573</v>
      </c>
    </row>
    <row r="21" ht="56" spans="1:13">
      <c r="A21" s="178" t="str">
        <f t="shared" si="0"/>
        <v>Communication &amp; Deal with Others|Analyst|3</v>
      </c>
      <c r="B21" s="57" t="s">
        <v>455</v>
      </c>
      <c r="C21" s="177" t="s">
        <v>8</v>
      </c>
      <c r="D21" s="177">
        <v>3</v>
      </c>
      <c r="E21" s="177" t="s">
        <v>507</v>
      </c>
      <c r="F21" s="177">
        <v>2</v>
      </c>
      <c r="G21" s="57" t="s">
        <v>574</v>
      </c>
      <c r="H21" s="57" t="s">
        <v>575</v>
      </c>
      <c r="I21" s="57" t="s">
        <v>576</v>
      </c>
      <c r="J21" s="57" t="s">
        <v>577</v>
      </c>
      <c r="K21" s="57" t="s">
        <v>478</v>
      </c>
      <c r="L21" s="57" t="s">
        <v>479</v>
      </c>
      <c r="M21" s="57" t="s">
        <v>517</v>
      </c>
    </row>
    <row r="22" ht="56" spans="1:13">
      <c r="A22" s="178" t="str">
        <f t="shared" si="0"/>
        <v>Communication &amp; Deal with Others|Analyst|3</v>
      </c>
      <c r="B22" s="57" t="s">
        <v>455</v>
      </c>
      <c r="C22" s="177" t="s">
        <v>8</v>
      </c>
      <c r="D22" s="177">
        <v>3</v>
      </c>
      <c r="E22" s="177" t="s">
        <v>507</v>
      </c>
      <c r="F22" s="177">
        <v>3</v>
      </c>
      <c r="G22" s="57" t="s">
        <v>578</v>
      </c>
      <c r="H22" s="57" t="s">
        <v>579</v>
      </c>
      <c r="I22" s="57" t="s">
        <v>580</v>
      </c>
      <c r="J22" s="57" t="s">
        <v>581</v>
      </c>
      <c r="K22" s="57" t="s">
        <v>478</v>
      </c>
      <c r="L22" s="57" t="s">
        <v>479</v>
      </c>
      <c r="M22" s="57" t="s">
        <v>582</v>
      </c>
    </row>
    <row r="23" ht="56" spans="1:13">
      <c r="A23" s="178" t="str">
        <f t="shared" si="0"/>
        <v>Communication &amp; Deal with Others|Analyst|4</v>
      </c>
      <c r="B23" s="57" t="s">
        <v>455</v>
      </c>
      <c r="C23" s="177" t="s">
        <v>8</v>
      </c>
      <c r="D23" s="177">
        <v>4</v>
      </c>
      <c r="E23" s="177" t="s">
        <v>523</v>
      </c>
      <c r="F23" s="177">
        <v>1</v>
      </c>
      <c r="G23" s="57" t="s">
        <v>583</v>
      </c>
      <c r="H23" s="57" t="s">
        <v>584</v>
      </c>
      <c r="I23" s="57" t="s">
        <v>585</v>
      </c>
      <c r="J23" s="57" t="s">
        <v>586</v>
      </c>
      <c r="K23" s="57" t="s">
        <v>478</v>
      </c>
      <c r="L23" s="57" t="s">
        <v>479</v>
      </c>
      <c r="M23" s="57" t="s">
        <v>587</v>
      </c>
    </row>
    <row r="24" ht="70" spans="1:13">
      <c r="A24" s="178" t="str">
        <f t="shared" si="0"/>
        <v>Communication &amp; Deal with Others|Analyst|4</v>
      </c>
      <c r="B24" s="57" t="s">
        <v>455</v>
      </c>
      <c r="C24" s="177" t="s">
        <v>8</v>
      </c>
      <c r="D24" s="177">
        <v>4</v>
      </c>
      <c r="E24" s="177" t="s">
        <v>523</v>
      </c>
      <c r="F24" s="177">
        <v>2</v>
      </c>
      <c r="G24" s="57" t="s">
        <v>588</v>
      </c>
      <c r="H24" s="57" t="s">
        <v>589</v>
      </c>
      <c r="I24" s="57" t="s">
        <v>590</v>
      </c>
      <c r="J24" s="57" t="s">
        <v>591</v>
      </c>
      <c r="K24" s="57" t="s">
        <v>478</v>
      </c>
      <c r="L24" s="57" t="s">
        <v>479</v>
      </c>
      <c r="M24" s="57" t="s">
        <v>592</v>
      </c>
    </row>
    <row r="25" ht="56" spans="1:13">
      <c r="A25" s="178" t="str">
        <f t="shared" si="0"/>
        <v>Communication &amp; Deal with Others|Analyst|4</v>
      </c>
      <c r="B25" s="57" t="s">
        <v>455</v>
      </c>
      <c r="C25" s="177" t="s">
        <v>8</v>
      </c>
      <c r="D25" s="177">
        <v>4</v>
      </c>
      <c r="E25" s="177" t="s">
        <v>523</v>
      </c>
      <c r="F25" s="177">
        <v>3</v>
      </c>
      <c r="G25" s="57" t="s">
        <v>593</v>
      </c>
      <c r="H25" s="57" t="s">
        <v>594</v>
      </c>
      <c r="I25" s="57" t="s">
        <v>595</v>
      </c>
      <c r="J25" s="57" t="s">
        <v>596</v>
      </c>
      <c r="K25" s="57" t="s">
        <v>478</v>
      </c>
      <c r="L25" s="57" t="s">
        <v>479</v>
      </c>
      <c r="M25" s="57" t="s">
        <v>597</v>
      </c>
    </row>
    <row r="26" ht="56" spans="1:13">
      <c r="A26" s="178" t="str">
        <f t="shared" si="0"/>
        <v>Communication &amp; Deal with Others|Unit Head/Specialist|1</v>
      </c>
      <c r="B26" s="57" t="s">
        <v>455</v>
      </c>
      <c r="C26" s="177" t="s">
        <v>18</v>
      </c>
      <c r="D26" s="177">
        <v>1</v>
      </c>
      <c r="E26" s="177" t="s">
        <v>473</v>
      </c>
      <c r="F26" s="177">
        <v>1</v>
      </c>
      <c r="G26" s="57" t="s">
        <v>598</v>
      </c>
      <c r="H26" s="57" t="s">
        <v>599</v>
      </c>
      <c r="I26" s="57" t="s">
        <v>600</v>
      </c>
      <c r="J26" s="57" t="s">
        <v>601</v>
      </c>
      <c r="K26" s="57" t="s">
        <v>478</v>
      </c>
      <c r="L26" s="57" t="s">
        <v>479</v>
      </c>
      <c r="M26" s="57" t="s">
        <v>602</v>
      </c>
    </row>
    <row r="27" ht="70" spans="1:13">
      <c r="A27" s="178" t="str">
        <f t="shared" si="0"/>
        <v>Communication &amp; Deal with Others|Unit Head/Specialist|1</v>
      </c>
      <c r="B27" s="57" t="s">
        <v>455</v>
      </c>
      <c r="C27" s="177" t="s">
        <v>18</v>
      </c>
      <c r="D27" s="177">
        <v>1</v>
      </c>
      <c r="E27" s="177" t="s">
        <v>473</v>
      </c>
      <c r="F27" s="177">
        <v>2</v>
      </c>
      <c r="G27" s="57" t="s">
        <v>603</v>
      </c>
      <c r="H27" s="57" t="s">
        <v>604</v>
      </c>
      <c r="I27" s="57" t="s">
        <v>605</v>
      </c>
      <c r="J27" s="57" t="s">
        <v>606</v>
      </c>
      <c r="K27" s="57" t="s">
        <v>478</v>
      </c>
      <c r="L27" s="57" t="s">
        <v>479</v>
      </c>
      <c r="M27" s="57" t="s">
        <v>607</v>
      </c>
    </row>
    <row r="28" ht="70" spans="1:13">
      <c r="A28" s="178" t="str">
        <f t="shared" si="0"/>
        <v>Communication &amp; Deal with Others|Unit Head/Specialist|1</v>
      </c>
      <c r="B28" s="57" t="s">
        <v>455</v>
      </c>
      <c r="C28" s="177" t="s">
        <v>18</v>
      </c>
      <c r="D28" s="177">
        <v>1</v>
      </c>
      <c r="E28" s="177" t="s">
        <v>473</v>
      </c>
      <c r="F28" s="177">
        <v>3</v>
      </c>
      <c r="G28" s="57" t="s">
        <v>608</v>
      </c>
      <c r="H28" s="57" t="s">
        <v>609</v>
      </c>
      <c r="I28" s="57" t="s">
        <v>610</v>
      </c>
      <c r="J28" s="57" t="s">
        <v>611</v>
      </c>
      <c r="K28" s="57" t="s">
        <v>478</v>
      </c>
      <c r="L28" s="57" t="s">
        <v>479</v>
      </c>
      <c r="M28" s="57" t="s">
        <v>612</v>
      </c>
    </row>
    <row r="29" ht="42" spans="1:13">
      <c r="A29" s="178" t="str">
        <f t="shared" si="0"/>
        <v>Communication &amp; Deal with Others|Unit Head/Specialist|2</v>
      </c>
      <c r="B29" s="57" t="s">
        <v>455</v>
      </c>
      <c r="C29" s="177" t="s">
        <v>18</v>
      </c>
      <c r="D29" s="177">
        <v>2</v>
      </c>
      <c r="E29" s="177" t="s">
        <v>491</v>
      </c>
      <c r="F29" s="177">
        <v>1</v>
      </c>
      <c r="G29" s="57" t="s">
        <v>613</v>
      </c>
      <c r="H29" s="57" t="s">
        <v>614</v>
      </c>
      <c r="I29" s="57" t="s">
        <v>615</v>
      </c>
      <c r="J29" s="57" t="s">
        <v>616</v>
      </c>
      <c r="K29" s="57" t="s">
        <v>478</v>
      </c>
      <c r="L29" s="57" t="s">
        <v>479</v>
      </c>
      <c r="M29" s="57" t="s">
        <v>617</v>
      </c>
    </row>
    <row r="30" ht="42" spans="1:13">
      <c r="A30" s="178" t="str">
        <f t="shared" si="0"/>
        <v>Communication &amp; Deal with Others|Unit Head/Specialist|2</v>
      </c>
      <c r="B30" s="57" t="s">
        <v>455</v>
      </c>
      <c r="C30" s="177" t="s">
        <v>18</v>
      </c>
      <c r="D30" s="177">
        <v>2</v>
      </c>
      <c r="E30" s="177" t="s">
        <v>491</v>
      </c>
      <c r="F30" s="177">
        <v>2</v>
      </c>
      <c r="G30" s="57" t="s">
        <v>618</v>
      </c>
      <c r="H30" s="57" t="s">
        <v>619</v>
      </c>
      <c r="I30" s="57" t="s">
        <v>620</v>
      </c>
      <c r="J30" s="57" t="s">
        <v>621</v>
      </c>
      <c r="K30" s="57" t="s">
        <v>478</v>
      </c>
      <c r="L30" s="57" t="s">
        <v>479</v>
      </c>
      <c r="M30" s="57" t="s">
        <v>563</v>
      </c>
    </row>
    <row r="31" ht="56" spans="1:13">
      <c r="A31" s="178" t="str">
        <f t="shared" si="0"/>
        <v>Communication &amp; Deal with Others|Unit Head/Specialist|2</v>
      </c>
      <c r="B31" s="57" t="s">
        <v>455</v>
      </c>
      <c r="C31" s="177" t="s">
        <v>18</v>
      </c>
      <c r="D31" s="177">
        <v>2</v>
      </c>
      <c r="E31" s="177" t="s">
        <v>491</v>
      </c>
      <c r="F31" s="177">
        <v>3</v>
      </c>
      <c r="G31" s="57" t="s">
        <v>622</v>
      </c>
      <c r="H31" s="57" t="s">
        <v>623</v>
      </c>
      <c r="I31" s="57" t="s">
        <v>624</v>
      </c>
      <c r="J31" s="57" t="s">
        <v>625</v>
      </c>
      <c r="K31" s="57" t="s">
        <v>478</v>
      </c>
      <c r="L31" s="57" t="s">
        <v>479</v>
      </c>
      <c r="M31" s="57" t="s">
        <v>626</v>
      </c>
    </row>
    <row r="32" ht="70" spans="1:13">
      <c r="A32" s="178" t="str">
        <f t="shared" si="0"/>
        <v>Communication &amp; Deal with Others|Unit Head/Specialist|3</v>
      </c>
      <c r="B32" s="57" t="s">
        <v>455</v>
      </c>
      <c r="C32" s="177" t="s">
        <v>18</v>
      </c>
      <c r="D32" s="177">
        <v>3</v>
      </c>
      <c r="E32" s="177" t="s">
        <v>507</v>
      </c>
      <c r="F32" s="177">
        <v>1</v>
      </c>
      <c r="G32" s="57" t="s">
        <v>627</v>
      </c>
      <c r="H32" s="57" t="s">
        <v>628</v>
      </c>
      <c r="I32" s="57" t="s">
        <v>629</v>
      </c>
      <c r="J32" s="57" t="s">
        <v>630</v>
      </c>
      <c r="K32" s="57" t="s">
        <v>478</v>
      </c>
      <c r="L32" s="57" t="s">
        <v>479</v>
      </c>
      <c r="M32" s="57" t="s">
        <v>631</v>
      </c>
    </row>
    <row r="33" ht="56" spans="1:13">
      <c r="A33" s="178" t="str">
        <f t="shared" si="0"/>
        <v>Communication &amp; Deal with Others|Unit Head/Specialist|3</v>
      </c>
      <c r="B33" s="57" t="s">
        <v>455</v>
      </c>
      <c r="C33" s="177" t="s">
        <v>18</v>
      </c>
      <c r="D33" s="177">
        <v>3</v>
      </c>
      <c r="E33" s="177" t="s">
        <v>507</v>
      </c>
      <c r="F33" s="177">
        <v>2</v>
      </c>
      <c r="G33" s="57" t="s">
        <v>632</v>
      </c>
      <c r="H33" s="57" t="s">
        <v>633</v>
      </c>
      <c r="I33" s="57" t="s">
        <v>634</v>
      </c>
      <c r="J33" s="57" t="s">
        <v>635</v>
      </c>
      <c r="K33" s="57" t="s">
        <v>478</v>
      </c>
      <c r="L33" s="57" t="s">
        <v>479</v>
      </c>
      <c r="M33" s="57" t="s">
        <v>636</v>
      </c>
    </row>
    <row r="34" ht="56" spans="1:13">
      <c r="A34" s="178" t="str">
        <f t="shared" si="0"/>
        <v>Communication &amp; Deal with Others|Unit Head/Specialist|3</v>
      </c>
      <c r="B34" s="57" t="s">
        <v>455</v>
      </c>
      <c r="C34" s="177" t="s">
        <v>18</v>
      </c>
      <c r="D34" s="177">
        <v>3</v>
      </c>
      <c r="E34" s="177" t="s">
        <v>507</v>
      </c>
      <c r="F34" s="177">
        <v>3</v>
      </c>
      <c r="G34" s="57" t="s">
        <v>637</v>
      </c>
      <c r="H34" s="57" t="s">
        <v>638</v>
      </c>
      <c r="I34" s="57" t="s">
        <v>639</v>
      </c>
      <c r="J34" s="57" t="s">
        <v>581</v>
      </c>
      <c r="K34" s="57" t="s">
        <v>478</v>
      </c>
      <c r="L34" s="57" t="s">
        <v>479</v>
      </c>
      <c r="M34" s="57" t="s">
        <v>582</v>
      </c>
    </row>
    <row r="35" ht="84" spans="1:13">
      <c r="A35" s="178" t="str">
        <f t="shared" si="0"/>
        <v>Communication &amp; Deal with Others|Unit Head/Specialist|4</v>
      </c>
      <c r="B35" s="57" t="s">
        <v>455</v>
      </c>
      <c r="C35" s="177" t="s">
        <v>18</v>
      </c>
      <c r="D35" s="177">
        <v>4</v>
      </c>
      <c r="E35" s="177" t="s">
        <v>523</v>
      </c>
      <c r="F35" s="177">
        <v>1</v>
      </c>
      <c r="G35" s="57" t="s">
        <v>640</v>
      </c>
      <c r="H35" s="57" t="s">
        <v>641</v>
      </c>
      <c r="I35" s="57" t="s">
        <v>642</v>
      </c>
      <c r="J35" s="57" t="s">
        <v>643</v>
      </c>
      <c r="K35" s="57" t="s">
        <v>478</v>
      </c>
      <c r="L35" s="57" t="s">
        <v>479</v>
      </c>
      <c r="M35" s="57" t="s">
        <v>644</v>
      </c>
    </row>
    <row r="36" ht="56" spans="1:13">
      <c r="A36" s="178" t="str">
        <f t="shared" si="0"/>
        <v>Communication &amp; Deal with Others|Unit Head/Specialist|4</v>
      </c>
      <c r="B36" s="57" t="s">
        <v>455</v>
      </c>
      <c r="C36" s="177" t="s">
        <v>18</v>
      </c>
      <c r="D36" s="177">
        <v>4</v>
      </c>
      <c r="E36" s="177" t="s">
        <v>523</v>
      </c>
      <c r="F36" s="177">
        <v>2</v>
      </c>
      <c r="G36" s="57" t="s">
        <v>645</v>
      </c>
      <c r="H36" s="57" t="s">
        <v>646</v>
      </c>
      <c r="I36" s="57" t="s">
        <v>647</v>
      </c>
      <c r="J36" s="57" t="s">
        <v>648</v>
      </c>
      <c r="K36" s="57" t="s">
        <v>478</v>
      </c>
      <c r="L36" s="57" t="s">
        <v>479</v>
      </c>
      <c r="M36" s="57" t="s">
        <v>649</v>
      </c>
    </row>
    <row r="37" ht="70" spans="1:13">
      <c r="A37" s="178" t="str">
        <f t="shared" si="0"/>
        <v>Communication &amp; Deal with Others|Unit Head/Specialist|4</v>
      </c>
      <c r="B37" s="57" t="s">
        <v>455</v>
      </c>
      <c r="C37" s="177" t="s">
        <v>18</v>
      </c>
      <c r="D37" s="177">
        <v>4</v>
      </c>
      <c r="E37" s="177" t="s">
        <v>523</v>
      </c>
      <c r="F37" s="177">
        <v>3</v>
      </c>
      <c r="G37" s="57" t="s">
        <v>650</v>
      </c>
      <c r="H37" s="57" t="s">
        <v>651</v>
      </c>
      <c r="I37" s="57" t="s">
        <v>652</v>
      </c>
      <c r="J37" s="57" t="s">
        <v>653</v>
      </c>
      <c r="K37" s="57" t="s">
        <v>478</v>
      </c>
      <c r="L37" s="57" t="s">
        <v>479</v>
      </c>
      <c r="M37" s="57" t="s">
        <v>654</v>
      </c>
    </row>
    <row r="38" ht="56" spans="1:13">
      <c r="A38" s="178" t="str">
        <f t="shared" si="0"/>
        <v>Communication &amp; Deal with Others|Department Head|1</v>
      </c>
      <c r="B38" s="57" t="s">
        <v>455</v>
      </c>
      <c r="C38" s="177" t="s">
        <v>655</v>
      </c>
      <c r="D38" s="177">
        <v>1</v>
      </c>
      <c r="E38" s="177" t="s">
        <v>473</v>
      </c>
      <c r="F38" s="177">
        <v>1</v>
      </c>
      <c r="G38" s="57" t="s">
        <v>656</v>
      </c>
      <c r="H38" s="57" t="s">
        <v>657</v>
      </c>
      <c r="I38" s="57" t="s">
        <v>658</v>
      </c>
      <c r="J38" s="57" t="s">
        <v>659</v>
      </c>
      <c r="K38" s="57" t="s">
        <v>478</v>
      </c>
      <c r="L38" s="57" t="s">
        <v>479</v>
      </c>
      <c r="M38" s="57" t="s">
        <v>660</v>
      </c>
    </row>
    <row r="39" ht="56" spans="1:13">
      <c r="A39" s="178" t="str">
        <f t="shared" si="0"/>
        <v>Communication &amp; Deal with Others|Department Head|1</v>
      </c>
      <c r="B39" s="57" t="s">
        <v>455</v>
      </c>
      <c r="C39" s="177" t="s">
        <v>655</v>
      </c>
      <c r="D39" s="177">
        <v>1</v>
      </c>
      <c r="E39" s="177" t="s">
        <v>473</v>
      </c>
      <c r="F39" s="177">
        <v>2</v>
      </c>
      <c r="G39" s="57" t="s">
        <v>661</v>
      </c>
      <c r="H39" s="57" t="s">
        <v>662</v>
      </c>
      <c r="I39" s="57" t="s">
        <v>663</v>
      </c>
      <c r="J39" s="57" t="s">
        <v>664</v>
      </c>
      <c r="K39" s="57" t="s">
        <v>478</v>
      </c>
      <c r="L39" s="57" t="s">
        <v>479</v>
      </c>
      <c r="M39" s="57" t="s">
        <v>665</v>
      </c>
    </row>
    <row r="40" ht="56" spans="1:13">
      <c r="A40" s="178" t="str">
        <f t="shared" si="0"/>
        <v>Communication &amp; Deal with Others|Department Head|1</v>
      </c>
      <c r="B40" s="57" t="s">
        <v>455</v>
      </c>
      <c r="C40" s="177" t="s">
        <v>655</v>
      </c>
      <c r="D40" s="177">
        <v>1</v>
      </c>
      <c r="E40" s="177" t="s">
        <v>473</v>
      </c>
      <c r="F40" s="177">
        <v>3</v>
      </c>
      <c r="G40" s="57" t="s">
        <v>666</v>
      </c>
      <c r="H40" s="57" t="s">
        <v>667</v>
      </c>
      <c r="I40" s="57" t="s">
        <v>668</v>
      </c>
      <c r="J40" s="57" t="s">
        <v>669</v>
      </c>
      <c r="K40" s="57" t="s">
        <v>478</v>
      </c>
      <c r="L40" s="57" t="s">
        <v>479</v>
      </c>
      <c r="M40" s="57" t="s">
        <v>670</v>
      </c>
    </row>
    <row r="41" ht="42" spans="1:13">
      <c r="A41" s="178" t="str">
        <f t="shared" si="0"/>
        <v>Communication &amp; Deal with Others|Department Head|2</v>
      </c>
      <c r="B41" s="57" t="s">
        <v>455</v>
      </c>
      <c r="C41" s="177" t="s">
        <v>655</v>
      </c>
      <c r="D41" s="177">
        <v>2</v>
      </c>
      <c r="E41" s="177" t="s">
        <v>491</v>
      </c>
      <c r="F41" s="177">
        <v>1</v>
      </c>
      <c r="G41" s="57" t="s">
        <v>671</v>
      </c>
      <c r="H41" s="57" t="s">
        <v>672</v>
      </c>
      <c r="I41" s="57" t="s">
        <v>673</v>
      </c>
      <c r="J41" s="57" t="s">
        <v>674</v>
      </c>
      <c r="K41" s="57" t="s">
        <v>478</v>
      </c>
      <c r="L41" s="57" t="s">
        <v>479</v>
      </c>
      <c r="M41" s="57" t="s">
        <v>617</v>
      </c>
    </row>
    <row r="42" ht="56" spans="1:13">
      <c r="A42" s="178" t="str">
        <f t="shared" si="0"/>
        <v>Communication &amp; Deal with Others|Department Head|2</v>
      </c>
      <c r="B42" s="57" t="s">
        <v>455</v>
      </c>
      <c r="C42" s="177" t="s">
        <v>655</v>
      </c>
      <c r="D42" s="177">
        <v>2</v>
      </c>
      <c r="E42" s="177" t="s">
        <v>491</v>
      </c>
      <c r="F42" s="177">
        <v>2</v>
      </c>
      <c r="G42" s="57" t="s">
        <v>675</v>
      </c>
      <c r="H42" s="57" t="s">
        <v>676</v>
      </c>
      <c r="I42" s="57" t="s">
        <v>677</v>
      </c>
      <c r="J42" s="57" t="s">
        <v>678</v>
      </c>
      <c r="K42" s="57" t="s">
        <v>478</v>
      </c>
      <c r="L42" s="57" t="s">
        <v>479</v>
      </c>
      <c r="M42" s="57" t="s">
        <v>679</v>
      </c>
    </row>
    <row r="43" ht="56" spans="1:13">
      <c r="A43" s="178" t="str">
        <f t="shared" si="0"/>
        <v>Communication &amp; Deal with Others|Department Head|2</v>
      </c>
      <c r="B43" s="57" t="s">
        <v>455</v>
      </c>
      <c r="C43" s="177" t="s">
        <v>655</v>
      </c>
      <c r="D43" s="177">
        <v>2</v>
      </c>
      <c r="E43" s="177" t="s">
        <v>491</v>
      </c>
      <c r="F43" s="177">
        <v>3</v>
      </c>
      <c r="G43" s="57" t="s">
        <v>680</v>
      </c>
      <c r="H43" s="57" t="s">
        <v>681</v>
      </c>
      <c r="I43" s="57" t="s">
        <v>682</v>
      </c>
      <c r="J43" s="57" t="s">
        <v>683</v>
      </c>
      <c r="K43" s="57" t="s">
        <v>478</v>
      </c>
      <c r="L43" s="57" t="s">
        <v>479</v>
      </c>
      <c r="M43" s="57" t="s">
        <v>684</v>
      </c>
    </row>
    <row r="44" ht="56" spans="1:13">
      <c r="A44" s="178" t="str">
        <f t="shared" si="0"/>
        <v>Communication &amp; Deal with Others|Department Head|3</v>
      </c>
      <c r="B44" s="57" t="s">
        <v>455</v>
      </c>
      <c r="C44" s="177" t="s">
        <v>655</v>
      </c>
      <c r="D44" s="177">
        <v>3</v>
      </c>
      <c r="E44" s="177" t="s">
        <v>507</v>
      </c>
      <c r="F44" s="177">
        <v>1</v>
      </c>
      <c r="G44" s="57" t="s">
        <v>685</v>
      </c>
      <c r="H44" s="57" t="s">
        <v>686</v>
      </c>
      <c r="I44" s="57" t="s">
        <v>687</v>
      </c>
      <c r="J44" s="57" t="s">
        <v>688</v>
      </c>
      <c r="K44" s="57" t="s">
        <v>478</v>
      </c>
      <c r="L44" s="57" t="s">
        <v>479</v>
      </c>
      <c r="M44" s="57" t="s">
        <v>689</v>
      </c>
    </row>
    <row r="45" ht="56" spans="1:13">
      <c r="A45" s="178" t="str">
        <f t="shared" si="0"/>
        <v>Communication &amp; Deal with Others|Department Head|3</v>
      </c>
      <c r="B45" s="57" t="s">
        <v>455</v>
      </c>
      <c r="C45" s="177" t="s">
        <v>655</v>
      </c>
      <c r="D45" s="177">
        <v>3</v>
      </c>
      <c r="E45" s="177" t="s">
        <v>507</v>
      </c>
      <c r="F45" s="177">
        <v>2</v>
      </c>
      <c r="G45" s="57" t="s">
        <v>690</v>
      </c>
      <c r="H45" s="57" t="s">
        <v>691</v>
      </c>
      <c r="I45" s="57" t="s">
        <v>692</v>
      </c>
      <c r="J45" s="57" t="s">
        <v>635</v>
      </c>
      <c r="K45" s="57" t="s">
        <v>478</v>
      </c>
      <c r="L45" s="57" t="s">
        <v>479</v>
      </c>
      <c r="M45" s="57" t="s">
        <v>693</v>
      </c>
    </row>
    <row r="46" ht="56" spans="1:13">
      <c r="A46" s="178" t="str">
        <f t="shared" si="0"/>
        <v>Communication &amp; Deal with Others|Department Head|3</v>
      </c>
      <c r="B46" s="57" t="s">
        <v>455</v>
      </c>
      <c r="C46" s="177" t="s">
        <v>655</v>
      </c>
      <c r="D46" s="177">
        <v>3</v>
      </c>
      <c r="E46" s="177" t="s">
        <v>507</v>
      </c>
      <c r="F46" s="177">
        <v>3</v>
      </c>
      <c r="G46" s="57" t="s">
        <v>694</v>
      </c>
      <c r="H46" s="57" t="s">
        <v>695</v>
      </c>
      <c r="I46" s="57" t="s">
        <v>696</v>
      </c>
      <c r="J46" s="57" t="s">
        <v>581</v>
      </c>
      <c r="K46" s="57" t="s">
        <v>478</v>
      </c>
      <c r="L46" s="57" t="s">
        <v>479</v>
      </c>
      <c r="M46" s="57" t="s">
        <v>582</v>
      </c>
    </row>
    <row r="47" ht="56" spans="1:13">
      <c r="A47" s="178" t="str">
        <f t="shared" si="0"/>
        <v>Communication &amp; Deal with Others|Department Head|4</v>
      </c>
      <c r="B47" s="57" t="s">
        <v>455</v>
      </c>
      <c r="C47" s="177" t="s">
        <v>655</v>
      </c>
      <c r="D47" s="177">
        <v>4</v>
      </c>
      <c r="E47" s="177" t="s">
        <v>523</v>
      </c>
      <c r="F47" s="177">
        <v>1</v>
      </c>
      <c r="G47" s="57" t="s">
        <v>697</v>
      </c>
      <c r="H47" s="57" t="s">
        <v>698</v>
      </c>
      <c r="I47" s="57" t="s">
        <v>699</v>
      </c>
      <c r="J47" s="57" t="s">
        <v>700</v>
      </c>
      <c r="K47" s="57" t="s">
        <v>478</v>
      </c>
      <c r="L47" s="57" t="s">
        <v>479</v>
      </c>
      <c r="M47" s="57" t="s">
        <v>701</v>
      </c>
    </row>
    <row r="48" ht="56" spans="1:13">
      <c r="A48" s="178" t="str">
        <f t="shared" si="0"/>
        <v>Communication &amp; Deal with Others|Department Head|4</v>
      </c>
      <c r="B48" s="57" t="s">
        <v>455</v>
      </c>
      <c r="C48" s="177" t="s">
        <v>655</v>
      </c>
      <c r="D48" s="177">
        <v>4</v>
      </c>
      <c r="E48" s="177" t="s">
        <v>523</v>
      </c>
      <c r="F48" s="177">
        <v>2</v>
      </c>
      <c r="G48" s="57" t="s">
        <v>702</v>
      </c>
      <c r="H48" s="57" t="s">
        <v>703</v>
      </c>
      <c r="I48" s="57" t="s">
        <v>704</v>
      </c>
      <c r="J48" s="57" t="s">
        <v>705</v>
      </c>
      <c r="K48" s="57" t="s">
        <v>478</v>
      </c>
      <c r="L48" s="57" t="s">
        <v>479</v>
      </c>
      <c r="M48" s="57" t="s">
        <v>706</v>
      </c>
    </row>
    <row r="49" ht="70" spans="1:13">
      <c r="A49" s="178" t="str">
        <f t="shared" si="0"/>
        <v>Communication &amp; Deal with Others|Department Head|4</v>
      </c>
      <c r="B49" s="57" t="s">
        <v>455</v>
      </c>
      <c r="C49" s="177" t="s">
        <v>655</v>
      </c>
      <c r="D49" s="177">
        <v>4</v>
      </c>
      <c r="E49" s="177" t="s">
        <v>523</v>
      </c>
      <c r="F49" s="177">
        <v>3</v>
      </c>
      <c r="G49" s="57" t="s">
        <v>707</v>
      </c>
      <c r="H49" s="57" t="s">
        <v>708</v>
      </c>
      <c r="I49" s="57" t="s">
        <v>709</v>
      </c>
      <c r="J49" s="57" t="s">
        <v>710</v>
      </c>
      <c r="K49" s="57" t="s">
        <v>478</v>
      </c>
      <c r="L49" s="57" t="s">
        <v>479</v>
      </c>
      <c r="M49" s="57" t="s">
        <v>711</v>
      </c>
    </row>
    <row r="50" ht="70" spans="1:13">
      <c r="A50" s="178" t="str">
        <f t="shared" si="0"/>
        <v>Communication &amp; Deal with Others|Division Head|1</v>
      </c>
      <c r="B50" s="57" t="s">
        <v>455</v>
      </c>
      <c r="C50" s="177" t="s">
        <v>712</v>
      </c>
      <c r="D50" s="177">
        <v>1</v>
      </c>
      <c r="E50" s="177" t="s">
        <v>473</v>
      </c>
      <c r="F50" s="177">
        <v>1</v>
      </c>
      <c r="G50" s="57" t="s">
        <v>713</v>
      </c>
      <c r="H50" s="57" t="s">
        <v>714</v>
      </c>
      <c r="I50" s="57" t="s">
        <v>715</v>
      </c>
      <c r="J50" s="57" t="s">
        <v>716</v>
      </c>
      <c r="K50" s="57" t="s">
        <v>478</v>
      </c>
      <c r="L50" s="57" t="s">
        <v>479</v>
      </c>
      <c r="M50" s="57" t="s">
        <v>717</v>
      </c>
    </row>
    <row r="51" ht="56" spans="1:13">
      <c r="A51" s="178" t="str">
        <f t="shared" si="0"/>
        <v>Communication &amp; Deal with Others|Division Head|1</v>
      </c>
      <c r="B51" s="57" t="s">
        <v>455</v>
      </c>
      <c r="C51" s="177" t="s">
        <v>712</v>
      </c>
      <c r="D51" s="177">
        <v>1</v>
      </c>
      <c r="E51" s="177" t="s">
        <v>473</v>
      </c>
      <c r="F51" s="177">
        <v>2</v>
      </c>
      <c r="G51" s="57" t="s">
        <v>718</v>
      </c>
      <c r="H51" s="57" t="s">
        <v>719</v>
      </c>
      <c r="I51" s="57" t="s">
        <v>720</v>
      </c>
      <c r="J51" s="57" t="s">
        <v>721</v>
      </c>
      <c r="K51" s="57" t="s">
        <v>478</v>
      </c>
      <c r="L51" s="57" t="s">
        <v>479</v>
      </c>
      <c r="M51" s="57" t="s">
        <v>722</v>
      </c>
    </row>
    <row r="52" ht="70" spans="1:13">
      <c r="A52" s="178" t="str">
        <f t="shared" si="0"/>
        <v>Communication &amp; Deal with Others|Division Head|1</v>
      </c>
      <c r="B52" s="57" t="s">
        <v>455</v>
      </c>
      <c r="C52" s="177" t="s">
        <v>712</v>
      </c>
      <c r="D52" s="177">
        <v>1</v>
      </c>
      <c r="E52" s="177" t="s">
        <v>473</v>
      </c>
      <c r="F52" s="177">
        <v>3</v>
      </c>
      <c r="G52" s="57" t="s">
        <v>723</v>
      </c>
      <c r="H52" s="57" t="s">
        <v>724</v>
      </c>
      <c r="I52" s="57" t="s">
        <v>725</v>
      </c>
      <c r="J52" s="57" t="s">
        <v>726</v>
      </c>
      <c r="K52" s="57" t="s">
        <v>478</v>
      </c>
      <c r="L52" s="57" t="s">
        <v>479</v>
      </c>
      <c r="M52" s="57" t="s">
        <v>727</v>
      </c>
    </row>
    <row r="53" ht="56" spans="1:13">
      <c r="A53" s="178" t="str">
        <f t="shared" si="0"/>
        <v>Communication &amp; Deal with Others|Division Head|2</v>
      </c>
      <c r="B53" s="57" t="s">
        <v>455</v>
      </c>
      <c r="C53" s="177" t="s">
        <v>712</v>
      </c>
      <c r="D53" s="177">
        <v>2</v>
      </c>
      <c r="E53" s="177" t="s">
        <v>491</v>
      </c>
      <c r="F53" s="177">
        <v>1</v>
      </c>
      <c r="G53" s="57" t="s">
        <v>728</v>
      </c>
      <c r="H53" s="57" t="s">
        <v>729</v>
      </c>
      <c r="I53" s="57" t="s">
        <v>730</v>
      </c>
      <c r="J53" s="57" t="s">
        <v>731</v>
      </c>
      <c r="K53" s="57" t="s">
        <v>478</v>
      </c>
      <c r="L53" s="57" t="s">
        <v>479</v>
      </c>
      <c r="M53" s="57" t="s">
        <v>732</v>
      </c>
    </row>
    <row r="54" ht="56" spans="1:13">
      <c r="A54" s="178" t="str">
        <f t="shared" si="0"/>
        <v>Communication &amp; Deal with Others|Division Head|2</v>
      </c>
      <c r="B54" s="57" t="s">
        <v>455</v>
      </c>
      <c r="C54" s="177" t="s">
        <v>712</v>
      </c>
      <c r="D54" s="177">
        <v>2</v>
      </c>
      <c r="E54" s="177" t="s">
        <v>491</v>
      </c>
      <c r="F54" s="177">
        <v>2</v>
      </c>
      <c r="G54" s="57" t="s">
        <v>733</v>
      </c>
      <c r="H54" s="57" t="s">
        <v>734</v>
      </c>
      <c r="I54" s="57" t="s">
        <v>735</v>
      </c>
      <c r="J54" s="57" t="s">
        <v>736</v>
      </c>
      <c r="K54" s="57" t="s">
        <v>478</v>
      </c>
      <c r="L54" s="57" t="s">
        <v>479</v>
      </c>
      <c r="M54" s="57" t="s">
        <v>737</v>
      </c>
    </row>
    <row r="55" ht="42" spans="1:13">
      <c r="A55" s="178" t="str">
        <f t="shared" si="0"/>
        <v>Communication &amp; Deal with Others|Division Head|2</v>
      </c>
      <c r="B55" s="57" t="s">
        <v>455</v>
      </c>
      <c r="C55" s="177" t="s">
        <v>712</v>
      </c>
      <c r="D55" s="177">
        <v>2</v>
      </c>
      <c r="E55" s="177" t="s">
        <v>491</v>
      </c>
      <c r="F55" s="177">
        <v>3</v>
      </c>
      <c r="G55" s="57" t="s">
        <v>738</v>
      </c>
      <c r="H55" s="57" t="s">
        <v>739</v>
      </c>
      <c r="I55" s="57" t="s">
        <v>740</v>
      </c>
      <c r="J55" s="57" t="s">
        <v>741</v>
      </c>
      <c r="K55" s="57" t="s">
        <v>478</v>
      </c>
      <c r="L55" s="57" t="s">
        <v>479</v>
      </c>
      <c r="M55" s="57" t="s">
        <v>742</v>
      </c>
    </row>
    <row r="56" ht="70" spans="1:13">
      <c r="A56" s="178" t="str">
        <f t="shared" si="0"/>
        <v>Communication &amp; Deal with Others|Division Head|3</v>
      </c>
      <c r="B56" s="57" t="s">
        <v>455</v>
      </c>
      <c r="C56" s="177" t="s">
        <v>712</v>
      </c>
      <c r="D56" s="177">
        <v>3</v>
      </c>
      <c r="E56" s="177" t="s">
        <v>507</v>
      </c>
      <c r="F56" s="177">
        <v>1</v>
      </c>
      <c r="G56" s="57" t="s">
        <v>743</v>
      </c>
      <c r="H56" s="57" t="s">
        <v>744</v>
      </c>
      <c r="I56" s="57" t="s">
        <v>745</v>
      </c>
      <c r="J56" s="57" t="s">
        <v>746</v>
      </c>
      <c r="K56" s="57" t="s">
        <v>478</v>
      </c>
      <c r="L56" s="57" t="s">
        <v>479</v>
      </c>
      <c r="M56" s="57" t="s">
        <v>747</v>
      </c>
    </row>
    <row r="57" ht="70" spans="1:13">
      <c r="A57" s="178" t="str">
        <f t="shared" si="0"/>
        <v>Communication &amp; Deal with Others|Division Head|3</v>
      </c>
      <c r="B57" s="57" t="s">
        <v>455</v>
      </c>
      <c r="C57" s="177" t="s">
        <v>712</v>
      </c>
      <c r="D57" s="177">
        <v>3</v>
      </c>
      <c r="E57" s="177" t="s">
        <v>507</v>
      </c>
      <c r="F57" s="177">
        <v>2</v>
      </c>
      <c r="G57" s="57" t="s">
        <v>748</v>
      </c>
      <c r="H57" s="57" t="s">
        <v>749</v>
      </c>
      <c r="I57" s="57" t="s">
        <v>750</v>
      </c>
      <c r="J57" s="57" t="s">
        <v>751</v>
      </c>
      <c r="K57" s="57" t="s">
        <v>478</v>
      </c>
      <c r="L57" s="57" t="s">
        <v>479</v>
      </c>
      <c r="M57" s="57" t="s">
        <v>752</v>
      </c>
    </row>
    <row r="58" ht="70" spans="1:13">
      <c r="A58" s="178" t="str">
        <f t="shared" si="0"/>
        <v>Communication &amp; Deal with Others|Division Head|3</v>
      </c>
      <c r="B58" s="57" t="s">
        <v>455</v>
      </c>
      <c r="C58" s="177" t="s">
        <v>712</v>
      </c>
      <c r="D58" s="177">
        <v>3</v>
      </c>
      <c r="E58" s="177" t="s">
        <v>507</v>
      </c>
      <c r="F58" s="177">
        <v>3</v>
      </c>
      <c r="G58" s="57" t="s">
        <v>753</v>
      </c>
      <c r="H58" s="57" t="s">
        <v>754</v>
      </c>
      <c r="I58" s="57" t="s">
        <v>755</v>
      </c>
      <c r="J58" s="57" t="s">
        <v>756</v>
      </c>
      <c r="K58" s="57" t="s">
        <v>478</v>
      </c>
      <c r="L58" s="57" t="s">
        <v>479</v>
      </c>
      <c r="M58" s="57" t="s">
        <v>757</v>
      </c>
    </row>
    <row r="59" ht="84" spans="1:13">
      <c r="A59" s="178" t="str">
        <f t="shared" si="0"/>
        <v>Communication &amp; Deal with Others|Division Head|4</v>
      </c>
      <c r="B59" s="57" t="s">
        <v>455</v>
      </c>
      <c r="C59" s="177" t="s">
        <v>712</v>
      </c>
      <c r="D59" s="177">
        <v>4</v>
      </c>
      <c r="E59" s="177" t="s">
        <v>523</v>
      </c>
      <c r="F59" s="177">
        <v>1</v>
      </c>
      <c r="G59" s="57" t="s">
        <v>758</v>
      </c>
      <c r="H59" s="57" t="s">
        <v>759</v>
      </c>
      <c r="I59" s="57" t="s">
        <v>760</v>
      </c>
      <c r="J59" s="57" t="s">
        <v>761</v>
      </c>
      <c r="K59" s="57" t="s">
        <v>478</v>
      </c>
      <c r="L59" s="57" t="s">
        <v>479</v>
      </c>
      <c r="M59" s="57" t="s">
        <v>762</v>
      </c>
    </row>
    <row r="60" ht="70" spans="1:13">
      <c r="A60" s="178" t="str">
        <f t="shared" si="0"/>
        <v>Communication &amp; Deal with Others|Division Head|4</v>
      </c>
      <c r="B60" s="57" t="s">
        <v>455</v>
      </c>
      <c r="C60" s="177" t="s">
        <v>712</v>
      </c>
      <c r="D60" s="177">
        <v>4</v>
      </c>
      <c r="E60" s="177" t="s">
        <v>523</v>
      </c>
      <c r="F60" s="177">
        <v>2</v>
      </c>
      <c r="G60" s="57" t="s">
        <v>763</v>
      </c>
      <c r="H60" s="57" t="s">
        <v>764</v>
      </c>
      <c r="I60" s="57" t="s">
        <v>765</v>
      </c>
      <c r="J60" s="57" t="s">
        <v>766</v>
      </c>
      <c r="K60" s="57" t="s">
        <v>478</v>
      </c>
      <c r="L60" s="57" t="s">
        <v>479</v>
      </c>
      <c r="M60" s="57" t="s">
        <v>767</v>
      </c>
    </row>
    <row r="61" ht="70" spans="1:13">
      <c r="A61" s="178" t="str">
        <f t="shared" si="0"/>
        <v>Communication &amp; Deal with Others|Division Head|4</v>
      </c>
      <c r="B61" s="57" t="s">
        <v>455</v>
      </c>
      <c r="C61" s="177" t="s">
        <v>712</v>
      </c>
      <c r="D61" s="177">
        <v>4</v>
      </c>
      <c r="E61" s="177" t="s">
        <v>523</v>
      </c>
      <c r="F61" s="177">
        <v>3</v>
      </c>
      <c r="G61" s="57" t="s">
        <v>768</v>
      </c>
      <c r="H61" s="57" t="s">
        <v>769</v>
      </c>
      <c r="I61" s="57" t="s">
        <v>770</v>
      </c>
      <c r="J61" s="57" t="s">
        <v>771</v>
      </c>
      <c r="K61" s="57" t="s">
        <v>478</v>
      </c>
      <c r="L61" s="57" t="s">
        <v>479</v>
      </c>
      <c r="M61" s="57" t="s">
        <v>772</v>
      </c>
    </row>
    <row r="62" ht="56" spans="1:13">
      <c r="A62" s="178" t="str">
        <f t="shared" si="0"/>
        <v>Communication &amp; Deal with Others|Director|1</v>
      </c>
      <c r="B62" s="57" t="s">
        <v>455</v>
      </c>
      <c r="C62" s="177" t="s">
        <v>773</v>
      </c>
      <c r="D62" s="177">
        <v>1</v>
      </c>
      <c r="E62" s="177" t="s">
        <v>473</v>
      </c>
      <c r="F62" s="177">
        <v>1</v>
      </c>
      <c r="G62" s="57" t="s">
        <v>774</v>
      </c>
      <c r="H62" s="57" t="s">
        <v>775</v>
      </c>
      <c r="I62" s="57" t="s">
        <v>776</v>
      </c>
      <c r="J62" s="57" t="s">
        <v>777</v>
      </c>
      <c r="K62" s="57" t="s">
        <v>478</v>
      </c>
      <c r="L62" s="57" t="s">
        <v>479</v>
      </c>
      <c r="M62" s="57" t="s">
        <v>778</v>
      </c>
    </row>
    <row r="63" ht="56" spans="1:13">
      <c r="A63" s="178" t="str">
        <f t="shared" si="0"/>
        <v>Communication &amp; Deal with Others|Director|1</v>
      </c>
      <c r="B63" s="57" t="s">
        <v>455</v>
      </c>
      <c r="C63" s="177" t="s">
        <v>773</v>
      </c>
      <c r="D63" s="177">
        <v>1</v>
      </c>
      <c r="E63" s="177" t="s">
        <v>473</v>
      </c>
      <c r="F63" s="177">
        <v>2</v>
      </c>
      <c r="G63" s="57" t="s">
        <v>779</v>
      </c>
      <c r="H63" s="57" t="s">
        <v>780</v>
      </c>
      <c r="I63" s="57" t="s">
        <v>781</v>
      </c>
      <c r="J63" s="57" t="s">
        <v>782</v>
      </c>
      <c r="K63" s="57" t="s">
        <v>478</v>
      </c>
      <c r="L63" s="57" t="s">
        <v>479</v>
      </c>
      <c r="M63" s="57" t="s">
        <v>783</v>
      </c>
    </row>
    <row r="64" ht="56" spans="1:13">
      <c r="A64" s="178" t="str">
        <f t="shared" si="0"/>
        <v>Communication &amp; Deal with Others|Director|1</v>
      </c>
      <c r="B64" s="57" t="s">
        <v>455</v>
      </c>
      <c r="C64" s="177" t="s">
        <v>773</v>
      </c>
      <c r="D64" s="177">
        <v>1</v>
      </c>
      <c r="E64" s="177" t="s">
        <v>473</v>
      </c>
      <c r="F64" s="177">
        <v>3</v>
      </c>
      <c r="G64" s="57" t="s">
        <v>784</v>
      </c>
      <c r="H64" s="57" t="s">
        <v>785</v>
      </c>
      <c r="I64" s="57" t="s">
        <v>786</v>
      </c>
      <c r="J64" s="57" t="s">
        <v>787</v>
      </c>
      <c r="K64" s="57" t="s">
        <v>478</v>
      </c>
      <c r="L64" s="57" t="s">
        <v>479</v>
      </c>
      <c r="M64" s="57" t="s">
        <v>788</v>
      </c>
    </row>
    <row r="65" ht="56" spans="1:13">
      <c r="A65" s="178" t="str">
        <f t="shared" si="0"/>
        <v>Communication &amp; Deal with Others|Director|2</v>
      </c>
      <c r="B65" s="57" t="s">
        <v>455</v>
      </c>
      <c r="C65" s="177" t="s">
        <v>773</v>
      </c>
      <c r="D65" s="177">
        <v>2</v>
      </c>
      <c r="E65" s="177" t="s">
        <v>491</v>
      </c>
      <c r="F65" s="177">
        <v>1</v>
      </c>
      <c r="G65" s="57" t="s">
        <v>789</v>
      </c>
      <c r="H65" s="57" t="s">
        <v>790</v>
      </c>
      <c r="I65" s="57" t="s">
        <v>791</v>
      </c>
      <c r="J65" s="57" t="s">
        <v>792</v>
      </c>
      <c r="K65" s="57" t="s">
        <v>478</v>
      </c>
      <c r="L65" s="57" t="s">
        <v>479</v>
      </c>
      <c r="M65" s="57" t="s">
        <v>793</v>
      </c>
    </row>
    <row r="66" ht="56" spans="1:13">
      <c r="A66" s="178" t="str">
        <f t="shared" si="0"/>
        <v>Communication &amp; Deal with Others|Director|2</v>
      </c>
      <c r="B66" s="57" t="s">
        <v>455</v>
      </c>
      <c r="C66" s="177" t="s">
        <v>773</v>
      </c>
      <c r="D66" s="177">
        <v>2</v>
      </c>
      <c r="E66" s="177" t="s">
        <v>491</v>
      </c>
      <c r="F66" s="177">
        <v>2</v>
      </c>
      <c r="G66" s="57" t="s">
        <v>794</v>
      </c>
      <c r="H66" s="57" t="s">
        <v>795</v>
      </c>
      <c r="I66" s="57" t="s">
        <v>796</v>
      </c>
      <c r="J66" s="57" t="s">
        <v>797</v>
      </c>
      <c r="K66" s="57" t="s">
        <v>478</v>
      </c>
      <c r="L66" s="57" t="s">
        <v>479</v>
      </c>
      <c r="M66" s="57" t="s">
        <v>798</v>
      </c>
    </row>
    <row r="67" ht="42" spans="1:13">
      <c r="A67" s="178" t="str">
        <f t="shared" ref="A67:A130" si="1">B67&amp;"|"&amp;C67&amp;"|"&amp;D67</f>
        <v>Communication &amp; Deal with Others|Director|2</v>
      </c>
      <c r="B67" s="57" t="s">
        <v>455</v>
      </c>
      <c r="C67" s="177" t="s">
        <v>773</v>
      </c>
      <c r="D67" s="177">
        <v>2</v>
      </c>
      <c r="E67" s="177" t="s">
        <v>491</v>
      </c>
      <c r="F67" s="177">
        <v>3</v>
      </c>
      <c r="G67" s="57" t="s">
        <v>799</v>
      </c>
      <c r="H67" s="57" t="s">
        <v>800</v>
      </c>
      <c r="I67" s="57" t="s">
        <v>801</v>
      </c>
      <c r="J67" s="57" t="s">
        <v>802</v>
      </c>
      <c r="K67" s="57" t="s">
        <v>478</v>
      </c>
      <c r="L67" s="57" t="s">
        <v>479</v>
      </c>
      <c r="M67" s="57" t="s">
        <v>803</v>
      </c>
    </row>
    <row r="68" ht="56" spans="1:13">
      <c r="A68" s="178" t="str">
        <f t="shared" si="1"/>
        <v>Communication &amp; Deal with Others|Director|3</v>
      </c>
      <c r="B68" s="57" t="s">
        <v>455</v>
      </c>
      <c r="C68" s="177" t="s">
        <v>773</v>
      </c>
      <c r="D68" s="177">
        <v>3</v>
      </c>
      <c r="E68" s="177" t="s">
        <v>507</v>
      </c>
      <c r="F68" s="177">
        <v>1</v>
      </c>
      <c r="G68" s="57" t="s">
        <v>804</v>
      </c>
      <c r="H68" s="57" t="s">
        <v>805</v>
      </c>
      <c r="I68" s="57" t="s">
        <v>806</v>
      </c>
      <c r="J68" s="57" t="s">
        <v>807</v>
      </c>
      <c r="K68" s="57" t="s">
        <v>478</v>
      </c>
      <c r="L68" s="57" t="s">
        <v>479</v>
      </c>
      <c r="M68" s="57" t="s">
        <v>808</v>
      </c>
    </row>
    <row r="69" ht="56" spans="1:13">
      <c r="A69" s="178" t="str">
        <f t="shared" si="1"/>
        <v>Communication &amp; Deal with Others|Director|3</v>
      </c>
      <c r="B69" s="57" t="s">
        <v>455</v>
      </c>
      <c r="C69" s="177" t="s">
        <v>773</v>
      </c>
      <c r="D69" s="177">
        <v>3</v>
      </c>
      <c r="E69" s="177" t="s">
        <v>507</v>
      </c>
      <c r="F69" s="177">
        <v>2</v>
      </c>
      <c r="G69" s="57" t="s">
        <v>809</v>
      </c>
      <c r="H69" s="57" t="s">
        <v>810</v>
      </c>
      <c r="I69" s="57" t="s">
        <v>811</v>
      </c>
      <c r="J69" s="57" t="s">
        <v>812</v>
      </c>
      <c r="K69" s="57" t="s">
        <v>478</v>
      </c>
      <c r="L69" s="57" t="s">
        <v>479</v>
      </c>
      <c r="M69" s="57" t="s">
        <v>813</v>
      </c>
    </row>
    <row r="70" ht="56" spans="1:13">
      <c r="A70" s="178" t="str">
        <f t="shared" si="1"/>
        <v>Communication &amp; Deal with Others|Director|3</v>
      </c>
      <c r="B70" s="57" t="s">
        <v>455</v>
      </c>
      <c r="C70" s="177" t="s">
        <v>773</v>
      </c>
      <c r="D70" s="177">
        <v>3</v>
      </c>
      <c r="E70" s="177" t="s">
        <v>507</v>
      </c>
      <c r="F70" s="177">
        <v>3</v>
      </c>
      <c r="G70" s="57" t="s">
        <v>814</v>
      </c>
      <c r="H70" s="57" t="s">
        <v>815</v>
      </c>
      <c r="I70" s="57" t="s">
        <v>816</v>
      </c>
      <c r="J70" s="57" t="s">
        <v>581</v>
      </c>
      <c r="K70" s="57" t="s">
        <v>478</v>
      </c>
      <c r="L70" s="57" t="s">
        <v>479</v>
      </c>
      <c r="M70" s="57" t="s">
        <v>582</v>
      </c>
    </row>
    <row r="71" ht="84" spans="1:13">
      <c r="A71" s="178" t="str">
        <f t="shared" si="1"/>
        <v>Communication &amp; Deal with Others|Director|4</v>
      </c>
      <c r="B71" s="57" t="s">
        <v>455</v>
      </c>
      <c r="C71" s="177" t="s">
        <v>773</v>
      </c>
      <c r="D71" s="177">
        <v>4</v>
      </c>
      <c r="E71" s="177" t="s">
        <v>523</v>
      </c>
      <c r="F71" s="177">
        <v>1</v>
      </c>
      <c r="G71" s="57" t="s">
        <v>817</v>
      </c>
      <c r="H71" s="57" t="s">
        <v>818</v>
      </c>
      <c r="I71" s="57" t="s">
        <v>819</v>
      </c>
      <c r="J71" s="57" t="s">
        <v>820</v>
      </c>
      <c r="K71" s="57" t="s">
        <v>478</v>
      </c>
      <c r="L71" s="57" t="s">
        <v>479</v>
      </c>
      <c r="M71" s="57" t="s">
        <v>821</v>
      </c>
    </row>
    <row r="72" ht="56" spans="1:13">
      <c r="A72" s="178" t="str">
        <f t="shared" si="1"/>
        <v>Communication &amp; Deal with Others|Director|4</v>
      </c>
      <c r="B72" s="57" t="s">
        <v>455</v>
      </c>
      <c r="C72" s="177" t="s">
        <v>773</v>
      </c>
      <c r="D72" s="177">
        <v>4</v>
      </c>
      <c r="E72" s="177" t="s">
        <v>523</v>
      </c>
      <c r="F72" s="177">
        <v>2</v>
      </c>
      <c r="G72" s="57" t="s">
        <v>822</v>
      </c>
      <c r="H72" s="57" t="s">
        <v>823</v>
      </c>
      <c r="I72" s="57" t="s">
        <v>824</v>
      </c>
      <c r="J72" s="57" t="s">
        <v>825</v>
      </c>
      <c r="K72" s="57" t="s">
        <v>478</v>
      </c>
      <c r="L72" s="57" t="s">
        <v>479</v>
      </c>
      <c r="M72" s="57" t="s">
        <v>826</v>
      </c>
    </row>
    <row r="73" ht="56" spans="1:13">
      <c r="A73" s="178" t="str">
        <f t="shared" si="1"/>
        <v>Communication &amp; Deal with Others|Director|4</v>
      </c>
      <c r="B73" s="57" t="s">
        <v>455</v>
      </c>
      <c r="C73" s="177" t="s">
        <v>773</v>
      </c>
      <c r="D73" s="177">
        <v>4</v>
      </c>
      <c r="E73" s="177" t="s">
        <v>523</v>
      </c>
      <c r="F73" s="177">
        <v>3</v>
      </c>
      <c r="G73" s="57" t="s">
        <v>827</v>
      </c>
      <c r="H73" s="57" t="s">
        <v>828</v>
      </c>
      <c r="I73" s="57" t="s">
        <v>829</v>
      </c>
      <c r="J73" s="57" t="s">
        <v>830</v>
      </c>
      <c r="K73" s="57" t="s">
        <v>478</v>
      </c>
      <c r="L73" s="57" t="s">
        <v>479</v>
      </c>
      <c r="M73" s="57" t="s">
        <v>831</v>
      </c>
    </row>
    <row r="74" ht="70" spans="1:13">
      <c r="A74" s="178" t="str">
        <f t="shared" si="1"/>
        <v>Customer Focus|Officer|1</v>
      </c>
      <c r="B74" s="57" t="s">
        <v>456</v>
      </c>
      <c r="C74" s="177" t="s">
        <v>6</v>
      </c>
      <c r="D74" s="177">
        <v>1</v>
      </c>
      <c r="E74" s="177" t="s">
        <v>473</v>
      </c>
      <c r="F74" s="177">
        <v>1</v>
      </c>
      <c r="G74" s="57" t="s">
        <v>832</v>
      </c>
      <c r="H74" s="57" t="s">
        <v>833</v>
      </c>
      <c r="I74" s="57" t="s">
        <v>834</v>
      </c>
      <c r="J74" s="57" t="s">
        <v>835</v>
      </c>
      <c r="K74" s="57" t="s">
        <v>478</v>
      </c>
      <c r="L74" s="57" t="s">
        <v>479</v>
      </c>
      <c r="M74" s="57" t="s">
        <v>836</v>
      </c>
    </row>
    <row r="75" ht="70" spans="1:13">
      <c r="A75" s="178" t="str">
        <f t="shared" si="1"/>
        <v>Customer Focus|Officer|1</v>
      </c>
      <c r="B75" s="57" t="s">
        <v>456</v>
      </c>
      <c r="C75" s="177" t="s">
        <v>6</v>
      </c>
      <c r="D75" s="177">
        <v>1</v>
      </c>
      <c r="E75" s="177" t="s">
        <v>473</v>
      </c>
      <c r="F75" s="177">
        <v>2</v>
      </c>
      <c r="G75" s="57" t="s">
        <v>837</v>
      </c>
      <c r="H75" s="57" t="s">
        <v>838</v>
      </c>
      <c r="I75" s="57" t="s">
        <v>839</v>
      </c>
      <c r="J75" s="57" t="s">
        <v>840</v>
      </c>
      <c r="K75" s="57" t="s">
        <v>478</v>
      </c>
      <c r="L75" s="57" t="s">
        <v>479</v>
      </c>
      <c r="M75" s="57" t="s">
        <v>841</v>
      </c>
    </row>
    <row r="76" ht="56" spans="1:13">
      <c r="A76" s="178" t="str">
        <f t="shared" si="1"/>
        <v>Customer Focus|Officer|1</v>
      </c>
      <c r="B76" s="57" t="s">
        <v>456</v>
      </c>
      <c r="C76" s="177" t="s">
        <v>6</v>
      </c>
      <c r="D76" s="177">
        <v>1</v>
      </c>
      <c r="E76" s="177" t="s">
        <v>473</v>
      </c>
      <c r="F76" s="177">
        <v>3</v>
      </c>
      <c r="G76" s="57" t="s">
        <v>842</v>
      </c>
      <c r="H76" s="57" t="s">
        <v>843</v>
      </c>
      <c r="I76" s="57" t="s">
        <v>844</v>
      </c>
      <c r="J76" s="57" t="s">
        <v>845</v>
      </c>
      <c r="K76" s="57" t="s">
        <v>478</v>
      </c>
      <c r="L76" s="57" t="s">
        <v>479</v>
      </c>
      <c r="M76" s="57" t="s">
        <v>846</v>
      </c>
    </row>
    <row r="77" ht="56" spans="1:13">
      <c r="A77" s="178" t="str">
        <f t="shared" si="1"/>
        <v>Customer Focus|Officer|2</v>
      </c>
      <c r="B77" s="57" t="s">
        <v>456</v>
      </c>
      <c r="C77" s="177" t="s">
        <v>6</v>
      </c>
      <c r="D77" s="177">
        <v>2</v>
      </c>
      <c r="E77" s="177" t="s">
        <v>491</v>
      </c>
      <c r="F77" s="177">
        <v>1</v>
      </c>
      <c r="G77" s="57" t="s">
        <v>847</v>
      </c>
      <c r="H77" s="57" t="s">
        <v>848</v>
      </c>
      <c r="I77" s="57" t="s">
        <v>849</v>
      </c>
      <c r="J77" s="57" t="s">
        <v>850</v>
      </c>
      <c r="K77" s="57" t="s">
        <v>478</v>
      </c>
      <c r="L77" s="57" t="s">
        <v>479</v>
      </c>
      <c r="M77" s="57" t="s">
        <v>851</v>
      </c>
    </row>
    <row r="78" ht="42" spans="1:13">
      <c r="A78" s="178" t="str">
        <f t="shared" si="1"/>
        <v>Customer Focus|Officer|2</v>
      </c>
      <c r="B78" s="57" t="s">
        <v>456</v>
      </c>
      <c r="C78" s="177" t="s">
        <v>6</v>
      </c>
      <c r="D78" s="177">
        <v>2</v>
      </c>
      <c r="E78" s="177" t="s">
        <v>491</v>
      </c>
      <c r="F78" s="177">
        <v>2</v>
      </c>
      <c r="G78" s="57" t="s">
        <v>852</v>
      </c>
      <c r="H78" s="57" t="s">
        <v>853</v>
      </c>
      <c r="I78" s="57" t="s">
        <v>854</v>
      </c>
      <c r="J78" s="57" t="s">
        <v>855</v>
      </c>
      <c r="K78" s="57" t="s">
        <v>478</v>
      </c>
      <c r="L78" s="57" t="s">
        <v>479</v>
      </c>
      <c r="M78" s="57" t="s">
        <v>856</v>
      </c>
    </row>
    <row r="79" ht="42" spans="1:13">
      <c r="A79" s="178" t="str">
        <f t="shared" si="1"/>
        <v>Customer Focus|Officer|2</v>
      </c>
      <c r="B79" s="57" t="s">
        <v>456</v>
      </c>
      <c r="C79" s="177" t="s">
        <v>6</v>
      </c>
      <c r="D79" s="177">
        <v>2</v>
      </c>
      <c r="E79" s="177" t="s">
        <v>491</v>
      </c>
      <c r="F79" s="177">
        <v>3</v>
      </c>
      <c r="G79" s="57" t="s">
        <v>857</v>
      </c>
      <c r="H79" s="57" t="s">
        <v>858</v>
      </c>
      <c r="I79" s="57" t="s">
        <v>859</v>
      </c>
      <c r="J79" s="57" t="s">
        <v>860</v>
      </c>
      <c r="K79" s="57" t="s">
        <v>478</v>
      </c>
      <c r="L79" s="57" t="s">
        <v>479</v>
      </c>
      <c r="M79" s="57" t="s">
        <v>861</v>
      </c>
    </row>
    <row r="80" ht="84" spans="1:13">
      <c r="A80" s="178" t="str">
        <f t="shared" si="1"/>
        <v>Customer Focus|Officer|3</v>
      </c>
      <c r="B80" s="57" t="s">
        <v>456</v>
      </c>
      <c r="C80" s="177" t="s">
        <v>6</v>
      </c>
      <c r="D80" s="177">
        <v>3</v>
      </c>
      <c r="E80" s="177" t="s">
        <v>507</v>
      </c>
      <c r="F80" s="177">
        <v>1</v>
      </c>
      <c r="G80" s="57" t="s">
        <v>862</v>
      </c>
      <c r="H80" s="57" t="s">
        <v>863</v>
      </c>
      <c r="I80" s="57" t="s">
        <v>864</v>
      </c>
      <c r="J80" s="57" t="s">
        <v>865</v>
      </c>
      <c r="K80" s="57" t="s">
        <v>478</v>
      </c>
      <c r="L80" s="57" t="s">
        <v>479</v>
      </c>
      <c r="M80" s="57" t="s">
        <v>866</v>
      </c>
    </row>
    <row r="81" ht="84" spans="1:13">
      <c r="A81" s="178" t="str">
        <f t="shared" si="1"/>
        <v>Customer Focus|Officer|3</v>
      </c>
      <c r="B81" s="57" t="s">
        <v>456</v>
      </c>
      <c r="C81" s="177" t="s">
        <v>6</v>
      </c>
      <c r="D81" s="177">
        <v>3</v>
      </c>
      <c r="E81" s="177" t="s">
        <v>507</v>
      </c>
      <c r="F81" s="177">
        <v>2</v>
      </c>
      <c r="G81" s="57" t="s">
        <v>867</v>
      </c>
      <c r="H81" s="57" t="s">
        <v>868</v>
      </c>
      <c r="I81" s="57" t="s">
        <v>869</v>
      </c>
      <c r="J81" s="57" t="s">
        <v>870</v>
      </c>
      <c r="K81" s="57" t="s">
        <v>478</v>
      </c>
      <c r="L81" s="57" t="s">
        <v>479</v>
      </c>
      <c r="M81" s="57" t="s">
        <v>871</v>
      </c>
    </row>
    <row r="82" ht="70" spans="1:13">
      <c r="A82" s="178" t="str">
        <f t="shared" si="1"/>
        <v>Customer Focus|Officer|3</v>
      </c>
      <c r="B82" s="57" t="s">
        <v>456</v>
      </c>
      <c r="C82" s="177" t="s">
        <v>6</v>
      </c>
      <c r="D82" s="177">
        <v>3</v>
      </c>
      <c r="E82" s="177" t="s">
        <v>507</v>
      </c>
      <c r="F82" s="177">
        <v>3</v>
      </c>
      <c r="G82" s="57" t="s">
        <v>872</v>
      </c>
      <c r="H82" s="57" t="s">
        <v>873</v>
      </c>
      <c r="I82" s="57" t="s">
        <v>874</v>
      </c>
      <c r="J82" s="57" t="s">
        <v>875</v>
      </c>
      <c r="K82" s="57" t="s">
        <v>478</v>
      </c>
      <c r="L82" s="57" t="s">
        <v>479</v>
      </c>
      <c r="M82" s="57" t="s">
        <v>522</v>
      </c>
    </row>
    <row r="83" ht="56" spans="1:13">
      <c r="A83" s="178" t="str">
        <f t="shared" si="1"/>
        <v>Customer Focus|Officer|4</v>
      </c>
      <c r="B83" s="57" t="s">
        <v>456</v>
      </c>
      <c r="C83" s="177" t="s">
        <v>6</v>
      </c>
      <c r="D83" s="177">
        <v>4</v>
      </c>
      <c r="E83" s="177" t="s">
        <v>523</v>
      </c>
      <c r="F83" s="177">
        <v>1</v>
      </c>
      <c r="G83" s="57" t="s">
        <v>876</v>
      </c>
      <c r="H83" s="57" t="s">
        <v>877</v>
      </c>
      <c r="I83" s="57" t="s">
        <v>878</v>
      </c>
      <c r="J83" s="57" t="s">
        <v>879</v>
      </c>
      <c r="K83" s="57" t="s">
        <v>478</v>
      </c>
      <c r="L83" s="57" t="s">
        <v>479</v>
      </c>
      <c r="M83" s="57" t="s">
        <v>880</v>
      </c>
    </row>
    <row r="84" ht="70" spans="1:13">
      <c r="A84" s="178" t="str">
        <f t="shared" si="1"/>
        <v>Customer Focus|Officer|4</v>
      </c>
      <c r="B84" s="57" t="s">
        <v>456</v>
      </c>
      <c r="C84" s="177" t="s">
        <v>6</v>
      </c>
      <c r="D84" s="177">
        <v>4</v>
      </c>
      <c r="E84" s="177" t="s">
        <v>523</v>
      </c>
      <c r="F84" s="177">
        <v>2</v>
      </c>
      <c r="G84" s="57" t="s">
        <v>881</v>
      </c>
      <c r="H84" s="57" t="s">
        <v>882</v>
      </c>
      <c r="I84" s="57" t="s">
        <v>883</v>
      </c>
      <c r="J84" s="57" t="s">
        <v>884</v>
      </c>
      <c r="K84" s="57" t="s">
        <v>478</v>
      </c>
      <c r="L84" s="57" t="s">
        <v>479</v>
      </c>
      <c r="M84" s="57" t="s">
        <v>885</v>
      </c>
    </row>
    <row r="85" ht="70" spans="1:13">
      <c r="A85" s="178" t="str">
        <f t="shared" si="1"/>
        <v>Customer Focus|Officer|4</v>
      </c>
      <c r="B85" s="57" t="s">
        <v>456</v>
      </c>
      <c r="C85" s="177" t="s">
        <v>6</v>
      </c>
      <c r="D85" s="177">
        <v>4</v>
      </c>
      <c r="E85" s="177" t="s">
        <v>523</v>
      </c>
      <c r="F85" s="177">
        <v>3</v>
      </c>
      <c r="G85" s="57" t="s">
        <v>886</v>
      </c>
      <c r="H85" s="57" t="s">
        <v>887</v>
      </c>
      <c r="I85" s="57" t="s">
        <v>888</v>
      </c>
      <c r="J85" s="57" t="s">
        <v>889</v>
      </c>
      <c r="K85" s="57" t="s">
        <v>478</v>
      </c>
      <c r="L85" s="57" t="s">
        <v>479</v>
      </c>
      <c r="M85" s="57" t="s">
        <v>890</v>
      </c>
    </row>
    <row r="86" ht="84" spans="1:13">
      <c r="A86" s="178" t="str">
        <f t="shared" si="1"/>
        <v>Customer Focus|Analyst|1</v>
      </c>
      <c r="B86" s="57" t="s">
        <v>456</v>
      </c>
      <c r="C86" s="177" t="s">
        <v>8</v>
      </c>
      <c r="D86" s="177">
        <v>1</v>
      </c>
      <c r="E86" s="177" t="s">
        <v>473</v>
      </c>
      <c r="F86" s="177">
        <v>1</v>
      </c>
      <c r="G86" s="57" t="s">
        <v>891</v>
      </c>
      <c r="H86" s="57" t="s">
        <v>892</v>
      </c>
      <c r="I86" s="57" t="s">
        <v>893</v>
      </c>
      <c r="J86" s="57" t="s">
        <v>894</v>
      </c>
      <c r="K86" s="57" t="s">
        <v>478</v>
      </c>
      <c r="L86" s="57" t="s">
        <v>479</v>
      </c>
      <c r="M86" s="57" t="s">
        <v>895</v>
      </c>
    </row>
    <row r="87" ht="42" spans="1:13">
      <c r="A87" s="178" t="str">
        <f t="shared" si="1"/>
        <v>Customer Focus|Analyst|1</v>
      </c>
      <c r="B87" s="57" t="s">
        <v>456</v>
      </c>
      <c r="C87" s="177" t="s">
        <v>8</v>
      </c>
      <c r="D87" s="177">
        <v>1</v>
      </c>
      <c r="E87" s="177" t="s">
        <v>473</v>
      </c>
      <c r="F87" s="177">
        <v>2</v>
      </c>
      <c r="G87" s="57" t="s">
        <v>896</v>
      </c>
      <c r="H87" s="57" t="s">
        <v>897</v>
      </c>
      <c r="I87" s="57" t="s">
        <v>898</v>
      </c>
      <c r="J87" s="57" t="s">
        <v>899</v>
      </c>
      <c r="K87" s="57" t="s">
        <v>478</v>
      </c>
      <c r="L87" s="57" t="s">
        <v>479</v>
      </c>
      <c r="M87" s="57" t="s">
        <v>900</v>
      </c>
    </row>
    <row r="88" ht="56" spans="1:13">
      <c r="A88" s="178" t="str">
        <f t="shared" si="1"/>
        <v>Customer Focus|Analyst|1</v>
      </c>
      <c r="B88" s="57" t="s">
        <v>456</v>
      </c>
      <c r="C88" s="177" t="s">
        <v>8</v>
      </c>
      <c r="D88" s="177">
        <v>1</v>
      </c>
      <c r="E88" s="177" t="s">
        <v>473</v>
      </c>
      <c r="F88" s="177">
        <v>3</v>
      </c>
      <c r="G88" s="57" t="s">
        <v>901</v>
      </c>
      <c r="H88" s="57" t="s">
        <v>902</v>
      </c>
      <c r="I88" s="57" t="s">
        <v>903</v>
      </c>
      <c r="J88" s="57" t="s">
        <v>904</v>
      </c>
      <c r="K88" s="57" t="s">
        <v>478</v>
      </c>
      <c r="L88" s="57" t="s">
        <v>479</v>
      </c>
      <c r="M88" s="57" t="s">
        <v>905</v>
      </c>
    </row>
    <row r="89" ht="42" spans="1:13">
      <c r="A89" s="178" t="str">
        <f t="shared" si="1"/>
        <v>Customer Focus|Analyst|2</v>
      </c>
      <c r="B89" s="57" t="s">
        <v>456</v>
      </c>
      <c r="C89" s="177" t="s">
        <v>8</v>
      </c>
      <c r="D89" s="177">
        <v>2</v>
      </c>
      <c r="E89" s="177" t="s">
        <v>491</v>
      </c>
      <c r="F89" s="177">
        <v>1</v>
      </c>
      <c r="G89" s="57" t="s">
        <v>906</v>
      </c>
      <c r="H89" s="57" t="s">
        <v>907</v>
      </c>
      <c r="I89" s="57" t="s">
        <v>908</v>
      </c>
      <c r="J89" s="57" t="s">
        <v>909</v>
      </c>
      <c r="K89" s="57" t="s">
        <v>478</v>
      </c>
      <c r="L89" s="57" t="s">
        <v>479</v>
      </c>
      <c r="M89" s="57" t="s">
        <v>910</v>
      </c>
    </row>
    <row r="90" ht="56" spans="1:13">
      <c r="A90" s="178" t="str">
        <f t="shared" si="1"/>
        <v>Customer Focus|Analyst|2</v>
      </c>
      <c r="B90" s="57" t="s">
        <v>456</v>
      </c>
      <c r="C90" s="177" t="s">
        <v>8</v>
      </c>
      <c r="D90" s="177">
        <v>2</v>
      </c>
      <c r="E90" s="177" t="s">
        <v>491</v>
      </c>
      <c r="F90" s="177">
        <v>2</v>
      </c>
      <c r="G90" s="57" t="s">
        <v>911</v>
      </c>
      <c r="H90" s="57" t="s">
        <v>912</v>
      </c>
      <c r="I90" s="57" t="s">
        <v>913</v>
      </c>
      <c r="J90" s="57" t="s">
        <v>914</v>
      </c>
      <c r="K90" s="57" t="s">
        <v>478</v>
      </c>
      <c r="L90" s="57" t="s">
        <v>479</v>
      </c>
      <c r="M90" s="57" t="s">
        <v>915</v>
      </c>
    </row>
    <row r="91" ht="56" spans="1:13">
      <c r="A91" s="178" t="str">
        <f t="shared" si="1"/>
        <v>Customer Focus|Analyst|2</v>
      </c>
      <c r="B91" s="57" t="s">
        <v>456</v>
      </c>
      <c r="C91" s="177" t="s">
        <v>8</v>
      </c>
      <c r="D91" s="177">
        <v>2</v>
      </c>
      <c r="E91" s="177" t="s">
        <v>491</v>
      </c>
      <c r="F91" s="177">
        <v>3</v>
      </c>
      <c r="G91" s="57" t="s">
        <v>916</v>
      </c>
      <c r="H91" s="57" t="s">
        <v>917</v>
      </c>
      <c r="I91" s="57" t="s">
        <v>918</v>
      </c>
      <c r="J91" s="57" t="s">
        <v>919</v>
      </c>
      <c r="K91" s="57" t="s">
        <v>478</v>
      </c>
      <c r="L91" s="57" t="s">
        <v>479</v>
      </c>
      <c r="M91" s="57" t="s">
        <v>920</v>
      </c>
    </row>
    <row r="92" ht="56" spans="1:13">
      <c r="A92" s="178" t="str">
        <f t="shared" si="1"/>
        <v>Customer Focus|Analyst|3</v>
      </c>
      <c r="B92" s="57" t="s">
        <v>456</v>
      </c>
      <c r="C92" s="177" t="s">
        <v>8</v>
      </c>
      <c r="D92" s="177">
        <v>3</v>
      </c>
      <c r="E92" s="177" t="s">
        <v>507</v>
      </c>
      <c r="F92" s="177">
        <v>1</v>
      </c>
      <c r="G92" s="57" t="s">
        <v>921</v>
      </c>
      <c r="H92" s="57" t="s">
        <v>922</v>
      </c>
      <c r="I92" s="57" t="s">
        <v>923</v>
      </c>
      <c r="J92" s="57" t="s">
        <v>924</v>
      </c>
      <c r="K92" s="57" t="s">
        <v>478</v>
      </c>
      <c r="L92" s="57" t="s">
        <v>479</v>
      </c>
      <c r="M92" s="57" t="s">
        <v>925</v>
      </c>
    </row>
    <row r="93" ht="56" spans="1:13">
      <c r="A93" s="178" t="str">
        <f t="shared" si="1"/>
        <v>Customer Focus|Analyst|3</v>
      </c>
      <c r="B93" s="57" t="s">
        <v>456</v>
      </c>
      <c r="C93" s="177" t="s">
        <v>8</v>
      </c>
      <c r="D93" s="177">
        <v>3</v>
      </c>
      <c r="E93" s="177" t="s">
        <v>507</v>
      </c>
      <c r="F93" s="177">
        <v>2</v>
      </c>
      <c r="G93" s="57" t="s">
        <v>926</v>
      </c>
      <c r="H93" s="57" t="s">
        <v>927</v>
      </c>
      <c r="I93" s="57" t="s">
        <v>928</v>
      </c>
      <c r="J93" s="57" t="s">
        <v>929</v>
      </c>
      <c r="K93" s="57" t="s">
        <v>478</v>
      </c>
      <c r="L93" s="57" t="s">
        <v>479</v>
      </c>
      <c r="M93" s="57" t="s">
        <v>930</v>
      </c>
    </row>
    <row r="94" ht="56" spans="1:13">
      <c r="A94" s="178" t="str">
        <f t="shared" si="1"/>
        <v>Customer Focus|Analyst|3</v>
      </c>
      <c r="B94" s="57" t="s">
        <v>456</v>
      </c>
      <c r="C94" s="177" t="s">
        <v>8</v>
      </c>
      <c r="D94" s="177">
        <v>3</v>
      </c>
      <c r="E94" s="177" t="s">
        <v>507</v>
      </c>
      <c r="F94" s="177">
        <v>3</v>
      </c>
      <c r="G94" s="57" t="s">
        <v>931</v>
      </c>
      <c r="H94" s="57" t="s">
        <v>932</v>
      </c>
      <c r="I94" s="57" t="s">
        <v>933</v>
      </c>
      <c r="J94" s="57" t="s">
        <v>581</v>
      </c>
      <c r="K94" s="57" t="s">
        <v>478</v>
      </c>
      <c r="L94" s="57" t="s">
        <v>479</v>
      </c>
      <c r="M94" s="57" t="s">
        <v>582</v>
      </c>
    </row>
    <row r="95" ht="56" spans="1:13">
      <c r="A95" s="178" t="str">
        <f t="shared" si="1"/>
        <v>Customer Focus|Analyst|4</v>
      </c>
      <c r="B95" s="57" t="s">
        <v>456</v>
      </c>
      <c r="C95" s="177" t="s">
        <v>8</v>
      </c>
      <c r="D95" s="177">
        <v>4</v>
      </c>
      <c r="E95" s="177" t="s">
        <v>523</v>
      </c>
      <c r="F95" s="177">
        <v>1</v>
      </c>
      <c r="G95" s="57" t="s">
        <v>934</v>
      </c>
      <c r="H95" s="57" t="s">
        <v>935</v>
      </c>
      <c r="I95" s="57" t="s">
        <v>936</v>
      </c>
      <c r="J95" s="57" t="s">
        <v>937</v>
      </c>
      <c r="K95" s="57" t="s">
        <v>478</v>
      </c>
      <c r="L95" s="57" t="s">
        <v>479</v>
      </c>
      <c r="M95" s="57" t="s">
        <v>938</v>
      </c>
    </row>
    <row r="96" ht="56" spans="1:13">
      <c r="A96" s="178" t="str">
        <f t="shared" si="1"/>
        <v>Customer Focus|Analyst|4</v>
      </c>
      <c r="B96" s="57" t="s">
        <v>456</v>
      </c>
      <c r="C96" s="177" t="s">
        <v>8</v>
      </c>
      <c r="D96" s="177">
        <v>4</v>
      </c>
      <c r="E96" s="177" t="s">
        <v>523</v>
      </c>
      <c r="F96" s="177">
        <v>2</v>
      </c>
      <c r="G96" s="57" t="s">
        <v>939</v>
      </c>
      <c r="H96" s="57" t="s">
        <v>940</v>
      </c>
      <c r="I96" s="57" t="s">
        <v>941</v>
      </c>
      <c r="J96" s="57" t="s">
        <v>942</v>
      </c>
      <c r="K96" s="57" t="s">
        <v>478</v>
      </c>
      <c r="L96" s="57" t="s">
        <v>479</v>
      </c>
      <c r="M96" s="57" t="s">
        <v>943</v>
      </c>
    </row>
    <row r="97" ht="70" spans="1:13">
      <c r="A97" s="178" t="str">
        <f t="shared" si="1"/>
        <v>Customer Focus|Analyst|4</v>
      </c>
      <c r="B97" s="57" t="s">
        <v>456</v>
      </c>
      <c r="C97" s="177" t="s">
        <v>8</v>
      </c>
      <c r="D97" s="177">
        <v>4</v>
      </c>
      <c r="E97" s="177" t="s">
        <v>523</v>
      </c>
      <c r="F97" s="177">
        <v>3</v>
      </c>
      <c r="G97" s="57" t="s">
        <v>944</v>
      </c>
      <c r="H97" s="57" t="s">
        <v>945</v>
      </c>
      <c r="I97" s="57" t="s">
        <v>946</v>
      </c>
      <c r="J97" s="57" t="s">
        <v>947</v>
      </c>
      <c r="K97" s="57" t="s">
        <v>478</v>
      </c>
      <c r="L97" s="57" t="s">
        <v>479</v>
      </c>
      <c r="M97" s="57" t="s">
        <v>948</v>
      </c>
    </row>
    <row r="98" ht="70" spans="1:13">
      <c r="A98" s="178" t="str">
        <f t="shared" si="1"/>
        <v>Customer Focus|Unit Head/Specialist|1</v>
      </c>
      <c r="B98" s="57" t="s">
        <v>456</v>
      </c>
      <c r="C98" s="177" t="s">
        <v>18</v>
      </c>
      <c r="D98" s="177">
        <v>1</v>
      </c>
      <c r="E98" s="177" t="s">
        <v>473</v>
      </c>
      <c r="F98" s="177">
        <v>1</v>
      </c>
      <c r="G98" s="57" t="s">
        <v>949</v>
      </c>
      <c r="H98" s="57" t="s">
        <v>950</v>
      </c>
      <c r="I98" s="57" t="s">
        <v>951</v>
      </c>
      <c r="J98" s="57" t="s">
        <v>952</v>
      </c>
      <c r="K98" s="57" t="s">
        <v>478</v>
      </c>
      <c r="L98" s="57" t="s">
        <v>479</v>
      </c>
      <c r="M98" s="57" t="s">
        <v>953</v>
      </c>
    </row>
    <row r="99" ht="56" spans="1:13">
      <c r="A99" s="178" t="str">
        <f t="shared" si="1"/>
        <v>Customer Focus|Unit Head/Specialist|1</v>
      </c>
      <c r="B99" s="57" t="s">
        <v>456</v>
      </c>
      <c r="C99" s="177" t="s">
        <v>18</v>
      </c>
      <c r="D99" s="177">
        <v>1</v>
      </c>
      <c r="E99" s="177" t="s">
        <v>473</v>
      </c>
      <c r="F99" s="177">
        <v>2</v>
      </c>
      <c r="G99" s="57" t="s">
        <v>954</v>
      </c>
      <c r="H99" s="57" t="s">
        <v>955</v>
      </c>
      <c r="I99" s="57" t="s">
        <v>956</v>
      </c>
      <c r="J99" s="57" t="s">
        <v>957</v>
      </c>
      <c r="K99" s="57" t="s">
        <v>478</v>
      </c>
      <c r="L99" s="57" t="s">
        <v>479</v>
      </c>
      <c r="M99" s="57" t="s">
        <v>958</v>
      </c>
    </row>
    <row r="100" ht="42" spans="1:13">
      <c r="A100" s="178" t="str">
        <f t="shared" si="1"/>
        <v>Customer Focus|Unit Head/Specialist|1</v>
      </c>
      <c r="B100" s="57" t="s">
        <v>456</v>
      </c>
      <c r="C100" s="177" t="s">
        <v>18</v>
      </c>
      <c r="D100" s="177">
        <v>1</v>
      </c>
      <c r="E100" s="177" t="s">
        <v>473</v>
      </c>
      <c r="F100" s="177">
        <v>3</v>
      </c>
      <c r="G100" s="57" t="s">
        <v>959</v>
      </c>
      <c r="H100" s="57" t="s">
        <v>960</v>
      </c>
      <c r="I100" s="57" t="s">
        <v>961</v>
      </c>
      <c r="J100" s="57" t="s">
        <v>962</v>
      </c>
      <c r="K100" s="57" t="s">
        <v>478</v>
      </c>
      <c r="L100" s="57" t="s">
        <v>479</v>
      </c>
      <c r="M100" s="57" t="s">
        <v>963</v>
      </c>
    </row>
    <row r="101" ht="56" spans="1:13">
      <c r="A101" s="178" t="str">
        <f t="shared" si="1"/>
        <v>Customer Focus|Unit Head/Specialist|2</v>
      </c>
      <c r="B101" s="57" t="s">
        <v>456</v>
      </c>
      <c r="C101" s="177" t="s">
        <v>18</v>
      </c>
      <c r="D101" s="177">
        <v>2</v>
      </c>
      <c r="E101" s="177" t="s">
        <v>491</v>
      </c>
      <c r="F101" s="177">
        <v>1</v>
      </c>
      <c r="G101" s="57" t="s">
        <v>964</v>
      </c>
      <c r="H101" s="57" t="s">
        <v>965</v>
      </c>
      <c r="I101" s="57" t="s">
        <v>966</v>
      </c>
      <c r="J101" s="57" t="s">
        <v>967</v>
      </c>
      <c r="K101" s="57" t="s">
        <v>478</v>
      </c>
      <c r="L101" s="57" t="s">
        <v>479</v>
      </c>
      <c r="M101" s="57" t="s">
        <v>617</v>
      </c>
    </row>
    <row r="102" ht="56" spans="1:13">
      <c r="A102" s="178" t="str">
        <f t="shared" si="1"/>
        <v>Customer Focus|Unit Head/Specialist|2</v>
      </c>
      <c r="B102" s="57" t="s">
        <v>456</v>
      </c>
      <c r="C102" s="177" t="s">
        <v>18</v>
      </c>
      <c r="D102" s="177">
        <v>2</v>
      </c>
      <c r="E102" s="177" t="s">
        <v>491</v>
      </c>
      <c r="F102" s="177">
        <v>2</v>
      </c>
      <c r="G102" s="57" t="s">
        <v>968</v>
      </c>
      <c r="H102" s="57" t="s">
        <v>969</v>
      </c>
      <c r="I102" s="57" t="s">
        <v>970</v>
      </c>
      <c r="J102" s="57" t="s">
        <v>971</v>
      </c>
      <c r="K102" s="57" t="s">
        <v>478</v>
      </c>
      <c r="L102" s="57" t="s">
        <v>479</v>
      </c>
      <c r="M102" s="57" t="s">
        <v>972</v>
      </c>
    </row>
    <row r="103" ht="42" spans="1:13">
      <c r="A103" s="178" t="str">
        <f t="shared" si="1"/>
        <v>Customer Focus|Unit Head/Specialist|2</v>
      </c>
      <c r="B103" s="57" t="s">
        <v>456</v>
      </c>
      <c r="C103" s="177" t="s">
        <v>18</v>
      </c>
      <c r="D103" s="177">
        <v>2</v>
      </c>
      <c r="E103" s="177" t="s">
        <v>491</v>
      </c>
      <c r="F103" s="177">
        <v>3</v>
      </c>
      <c r="G103" s="57" t="s">
        <v>973</v>
      </c>
      <c r="H103" s="57" t="s">
        <v>974</v>
      </c>
      <c r="I103" s="57" t="s">
        <v>975</v>
      </c>
      <c r="J103" s="57" t="s">
        <v>976</v>
      </c>
      <c r="K103" s="57" t="s">
        <v>478</v>
      </c>
      <c r="L103" s="57" t="s">
        <v>479</v>
      </c>
      <c r="M103" s="57" t="s">
        <v>977</v>
      </c>
    </row>
    <row r="104" ht="56" spans="1:13">
      <c r="A104" s="178" t="str">
        <f t="shared" si="1"/>
        <v>Customer Focus|Unit Head/Specialist|3</v>
      </c>
      <c r="B104" s="57" t="s">
        <v>456</v>
      </c>
      <c r="C104" s="177" t="s">
        <v>18</v>
      </c>
      <c r="D104" s="177">
        <v>3</v>
      </c>
      <c r="E104" s="177" t="s">
        <v>507</v>
      </c>
      <c r="F104" s="177">
        <v>1</v>
      </c>
      <c r="G104" s="57" t="s">
        <v>978</v>
      </c>
      <c r="H104" s="57" t="s">
        <v>979</v>
      </c>
      <c r="I104" s="57" t="s">
        <v>980</v>
      </c>
      <c r="J104" s="57" t="s">
        <v>981</v>
      </c>
      <c r="K104" s="57" t="s">
        <v>478</v>
      </c>
      <c r="L104" s="57" t="s">
        <v>479</v>
      </c>
      <c r="M104" s="57" t="s">
        <v>982</v>
      </c>
    </row>
    <row r="105" ht="42" spans="1:13">
      <c r="A105" s="178" t="str">
        <f t="shared" si="1"/>
        <v>Customer Focus|Unit Head/Specialist|3</v>
      </c>
      <c r="B105" s="57" t="s">
        <v>456</v>
      </c>
      <c r="C105" s="177" t="s">
        <v>18</v>
      </c>
      <c r="D105" s="177">
        <v>3</v>
      </c>
      <c r="E105" s="177" t="s">
        <v>507</v>
      </c>
      <c r="F105" s="177">
        <v>2</v>
      </c>
      <c r="G105" s="57" t="s">
        <v>983</v>
      </c>
      <c r="H105" s="57" t="s">
        <v>984</v>
      </c>
      <c r="I105" s="57" t="s">
        <v>985</v>
      </c>
      <c r="J105" s="57" t="s">
        <v>929</v>
      </c>
      <c r="K105" s="57" t="s">
        <v>478</v>
      </c>
      <c r="L105" s="57" t="s">
        <v>479</v>
      </c>
      <c r="M105" s="57" t="s">
        <v>986</v>
      </c>
    </row>
    <row r="106" ht="56" spans="1:13">
      <c r="A106" s="178" t="str">
        <f t="shared" si="1"/>
        <v>Customer Focus|Unit Head/Specialist|3</v>
      </c>
      <c r="B106" s="57" t="s">
        <v>456</v>
      </c>
      <c r="C106" s="177" t="s">
        <v>18</v>
      </c>
      <c r="D106" s="177">
        <v>3</v>
      </c>
      <c r="E106" s="177" t="s">
        <v>507</v>
      </c>
      <c r="F106" s="177">
        <v>3</v>
      </c>
      <c r="G106" s="57" t="s">
        <v>987</v>
      </c>
      <c r="H106" s="57" t="s">
        <v>988</v>
      </c>
      <c r="I106" s="57" t="s">
        <v>989</v>
      </c>
      <c r="J106" s="57" t="s">
        <v>581</v>
      </c>
      <c r="K106" s="57" t="s">
        <v>478</v>
      </c>
      <c r="L106" s="57" t="s">
        <v>479</v>
      </c>
      <c r="M106" s="57" t="s">
        <v>582</v>
      </c>
    </row>
    <row r="107" ht="56" spans="1:13">
      <c r="A107" s="178" t="str">
        <f t="shared" si="1"/>
        <v>Customer Focus|Unit Head/Specialist|4</v>
      </c>
      <c r="B107" s="57" t="s">
        <v>456</v>
      </c>
      <c r="C107" s="177" t="s">
        <v>18</v>
      </c>
      <c r="D107" s="177">
        <v>4</v>
      </c>
      <c r="E107" s="177" t="s">
        <v>523</v>
      </c>
      <c r="F107" s="177">
        <v>1</v>
      </c>
      <c r="G107" s="57" t="s">
        <v>990</v>
      </c>
      <c r="H107" s="57" t="s">
        <v>991</v>
      </c>
      <c r="I107" s="57" t="s">
        <v>992</v>
      </c>
      <c r="J107" s="57" t="s">
        <v>993</v>
      </c>
      <c r="K107" s="57" t="s">
        <v>478</v>
      </c>
      <c r="L107" s="57" t="s">
        <v>479</v>
      </c>
      <c r="M107" s="57" t="s">
        <v>994</v>
      </c>
    </row>
    <row r="108" ht="42" spans="1:13">
      <c r="A108" s="178" t="str">
        <f t="shared" si="1"/>
        <v>Customer Focus|Unit Head/Specialist|4</v>
      </c>
      <c r="B108" s="57" t="s">
        <v>456</v>
      </c>
      <c r="C108" s="177" t="s">
        <v>18</v>
      </c>
      <c r="D108" s="177">
        <v>4</v>
      </c>
      <c r="E108" s="177" t="s">
        <v>523</v>
      </c>
      <c r="F108" s="177">
        <v>2</v>
      </c>
      <c r="G108" s="57" t="s">
        <v>995</v>
      </c>
      <c r="H108" s="57" t="s">
        <v>996</v>
      </c>
      <c r="I108" s="57" t="s">
        <v>997</v>
      </c>
      <c r="J108" s="57" t="s">
        <v>998</v>
      </c>
      <c r="K108" s="57" t="s">
        <v>478</v>
      </c>
      <c r="L108" s="57" t="s">
        <v>479</v>
      </c>
      <c r="M108" s="57" t="s">
        <v>999</v>
      </c>
    </row>
    <row r="109" ht="56" spans="1:13">
      <c r="A109" s="178" t="str">
        <f t="shared" si="1"/>
        <v>Customer Focus|Unit Head/Specialist|4</v>
      </c>
      <c r="B109" s="57" t="s">
        <v>456</v>
      </c>
      <c r="C109" s="177" t="s">
        <v>18</v>
      </c>
      <c r="D109" s="177">
        <v>4</v>
      </c>
      <c r="E109" s="177" t="s">
        <v>523</v>
      </c>
      <c r="F109" s="177">
        <v>3</v>
      </c>
      <c r="G109" s="57" t="s">
        <v>1000</v>
      </c>
      <c r="H109" s="57" t="s">
        <v>1001</v>
      </c>
      <c r="I109" s="57" t="s">
        <v>1002</v>
      </c>
      <c r="J109" s="57" t="s">
        <v>1003</v>
      </c>
      <c r="K109" s="57" t="s">
        <v>478</v>
      </c>
      <c r="L109" s="57" t="s">
        <v>479</v>
      </c>
      <c r="M109" s="57" t="s">
        <v>1004</v>
      </c>
    </row>
    <row r="110" ht="56" spans="1:13">
      <c r="A110" s="178" t="str">
        <f t="shared" si="1"/>
        <v>Customer Focus|Department Head|1</v>
      </c>
      <c r="B110" s="57" t="s">
        <v>456</v>
      </c>
      <c r="C110" s="177" t="s">
        <v>655</v>
      </c>
      <c r="D110" s="177">
        <v>1</v>
      </c>
      <c r="E110" s="177" t="s">
        <v>473</v>
      </c>
      <c r="F110" s="177">
        <v>1</v>
      </c>
      <c r="G110" s="57" t="s">
        <v>1005</v>
      </c>
      <c r="H110" s="57" t="s">
        <v>1006</v>
      </c>
      <c r="I110" s="57" t="s">
        <v>1007</v>
      </c>
      <c r="J110" s="57" t="s">
        <v>1008</v>
      </c>
      <c r="K110" s="57" t="s">
        <v>478</v>
      </c>
      <c r="L110" s="57" t="s">
        <v>479</v>
      </c>
      <c r="M110" s="57" t="s">
        <v>1009</v>
      </c>
    </row>
    <row r="111" ht="70" spans="1:13">
      <c r="A111" s="178" t="str">
        <f t="shared" si="1"/>
        <v>Customer Focus|Department Head|1</v>
      </c>
      <c r="B111" s="57" t="s">
        <v>456</v>
      </c>
      <c r="C111" s="177" t="s">
        <v>655</v>
      </c>
      <c r="D111" s="177">
        <v>1</v>
      </c>
      <c r="E111" s="177" t="s">
        <v>473</v>
      </c>
      <c r="F111" s="177">
        <v>2</v>
      </c>
      <c r="G111" s="57" t="s">
        <v>1010</v>
      </c>
      <c r="H111" s="57" t="s">
        <v>1011</v>
      </c>
      <c r="I111" s="57" t="s">
        <v>1012</v>
      </c>
      <c r="J111" s="57" t="s">
        <v>1013</v>
      </c>
      <c r="K111" s="57" t="s">
        <v>478</v>
      </c>
      <c r="L111" s="57" t="s">
        <v>479</v>
      </c>
      <c r="M111" s="57" t="s">
        <v>1014</v>
      </c>
    </row>
    <row r="112" ht="70" spans="1:13">
      <c r="A112" s="178" t="str">
        <f t="shared" si="1"/>
        <v>Customer Focus|Department Head|1</v>
      </c>
      <c r="B112" s="57" t="s">
        <v>456</v>
      </c>
      <c r="C112" s="177" t="s">
        <v>655</v>
      </c>
      <c r="D112" s="177">
        <v>1</v>
      </c>
      <c r="E112" s="177" t="s">
        <v>473</v>
      </c>
      <c r="F112" s="177">
        <v>3</v>
      </c>
      <c r="G112" s="57" t="s">
        <v>1015</v>
      </c>
      <c r="H112" s="57" t="s">
        <v>1016</v>
      </c>
      <c r="I112" s="57" t="s">
        <v>1017</v>
      </c>
      <c r="J112" s="57" t="s">
        <v>1018</v>
      </c>
      <c r="K112" s="57" t="s">
        <v>478</v>
      </c>
      <c r="L112" s="57" t="s">
        <v>479</v>
      </c>
      <c r="M112" s="57" t="s">
        <v>1019</v>
      </c>
    </row>
    <row r="113" ht="56" spans="1:13">
      <c r="A113" s="178" t="str">
        <f t="shared" si="1"/>
        <v>Customer Focus|Department Head|2</v>
      </c>
      <c r="B113" s="57" t="s">
        <v>456</v>
      </c>
      <c r="C113" s="177" t="s">
        <v>655</v>
      </c>
      <c r="D113" s="177">
        <v>2</v>
      </c>
      <c r="E113" s="177" t="s">
        <v>491</v>
      </c>
      <c r="F113" s="177">
        <v>1</v>
      </c>
      <c r="G113" s="57" t="s">
        <v>1020</v>
      </c>
      <c r="H113" s="57" t="s">
        <v>1021</v>
      </c>
      <c r="I113" s="57" t="s">
        <v>1022</v>
      </c>
      <c r="J113" s="57" t="s">
        <v>1023</v>
      </c>
      <c r="K113" s="57" t="s">
        <v>478</v>
      </c>
      <c r="L113" s="57" t="s">
        <v>479</v>
      </c>
      <c r="M113" s="57" t="s">
        <v>617</v>
      </c>
    </row>
    <row r="114" ht="56" spans="1:13">
      <c r="A114" s="178" t="str">
        <f t="shared" si="1"/>
        <v>Customer Focus|Department Head|2</v>
      </c>
      <c r="B114" s="57" t="s">
        <v>456</v>
      </c>
      <c r="C114" s="177" t="s">
        <v>655</v>
      </c>
      <c r="D114" s="177">
        <v>2</v>
      </c>
      <c r="E114" s="177" t="s">
        <v>491</v>
      </c>
      <c r="F114" s="177">
        <v>2</v>
      </c>
      <c r="G114" s="57" t="s">
        <v>1024</v>
      </c>
      <c r="H114" s="57" t="s">
        <v>1025</v>
      </c>
      <c r="I114" s="57" t="s">
        <v>1026</v>
      </c>
      <c r="J114" s="57" t="s">
        <v>1027</v>
      </c>
      <c r="K114" s="57" t="s">
        <v>478</v>
      </c>
      <c r="L114" s="57" t="s">
        <v>479</v>
      </c>
      <c r="M114" s="57" t="s">
        <v>1028</v>
      </c>
    </row>
    <row r="115" ht="42" spans="1:13">
      <c r="A115" s="178" t="str">
        <f t="shared" si="1"/>
        <v>Customer Focus|Department Head|2</v>
      </c>
      <c r="B115" s="57" t="s">
        <v>456</v>
      </c>
      <c r="C115" s="177" t="s">
        <v>655</v>
      </c>
      <c r="D115" s="177">
        <v>2</v>
      </c>
      <c r="E115" s="177" t="s">
        <v>491</v>
      </c>
      <c r="F115" s="177">
        <v>3</v>
      </c>
      <c r="G115" s="57" t="s">
        <v>1029</v>
      </c>
      <c r="H115" s="57" t="s">
        <v>1030</v>
      </c>
      <c r="I115" s="57" t="s">
        <v>1031</v>
      </c>
      <c r="J115" s="57" t="s">
        <v>1032</v>
      </c>
      <c r="K115" s="57" t="s">
        <v>478</v>
      </c>
      <c r="L115" s="57" t="s">
        <v>479</v>
      </c>
      <c r="M115" s="57" t="s">
        <v>1033</v>
      </c>
    </row>
    <row r="116" ht="56" spans="1:13">
      <c r="A116" s="178" t="str">
        <f t="shared" si="1"/>
        <v>Customer Focus|Department Head|3</v>
      </c>
      <c r="B116" s="57" t="s">
        <v>456</v>
      </c>
      <c r="C116" s="177" t="s">
        <v>655</v>
      </c>
      <c r="D116" s="177">
        <v>3</v>
      </c>
      <c r="E116" s="177" t="s">
        <v>507</v>
      </c>
      <c r="F116" s="177">
        <v>1</v>
      </c>
      <c r="G116" s="57" t="s">
        <v>1034</v>
      </c>
      <c r="H116" s="57" t="s">
        <v>1035</v>
      </c>
      <c r="I116" s="57" t="s">
        <v>1036</v>
      </c>
      <c r="J116" s="57" t="s">
        <v>1037</v>
      </c>
      <c r="K116" s="57" t="s">
        <v>478</v>
      </c>
      <c r="L116" s="57" t="s">
        <v>479</v>
      </c>
      <c r="M116" s="57" t="s">
        <v>1038</v>
      </c>
    </row>
    <row r="117" ht="56" spans="1:13">
      <c r="A117" s="178" t="str">
        <f t="shared" si="1"/>
        <v>Customer Focus|Department Head|3</v>
      </c>
      <c r="B117" s="57" t="s">
        <v>456</v>
      </c>
      <c r="C117" s="177" t="s">
        <v>655</v>
      </c>
      <c r="D117" s="177">
        <v>3</v>
      </c>
      <c r="E117" s="177" t="s">
        <v>507</v>
      </c>
      <c r="F117" s="177">
        <v>2</v>
      </c>
      <c r="G117" s="57" t="s">
        <v>1039</v>
      </c>
      <c r="H117" s="57" t="s">
        <v>1040</v>
      </c>
      <c r="I117" s="57" t="s">
        <v>1041</v>
      </c>
      <c r="J117" s="57" t="s">
        <v>929</v>
      </c>
      <c r="K117" s="57" t="s">
        <v>478</v>
      </c>
      <c r="L117" s="57" t="s">
        <v>479</v>
      </c>
      <c r="M117" s="57" t="s">
        <v>1042</v>
      </c>
    </row>
    <row r="118" ht="56" spans="1:13">
      <c r="A118" s="178" t="str">
        <f t="shared" si="1"/>
        <v>Customer Focus|Department Head|3</v>
      </c>
      <c r="B118" s="57" t="s">
        <v>456</v>
      </c>
      <c r="C118" s="177" t="s">
        <v>655</v>
      </c>
      <c r="D118" s="177">
        <v>3</v>
      </c>
      <c r="E118" s="177" t="s">
        <v>507</v>
      </c>
      <c r="F118" s="177">
        <v>3</v>
      </c>
      <c r="G118" s="57" t="s">
        <v>1043</v>
      </c>
      <c r="H118" s="57" t="s">
        <v>1044</v>
      </c>
      <c r="I118" s="57" t="s">
        <v>1045</v>
      </c>
      <c r="J118" s="57" t="s">
        <v>581</v>
      </c>
      <c r="K118" s="57" t="s">
        <v>478</v>
      </c>
      <c r="L118" s="57" t="s">
        <v>479</v>
      </c>
      <c r="M118" s="57" t="s">
        <v>582</v>
      </c>
    </row>
    <row r="119" ht="56" spans="1:13">
      <c r="A119" s="178" t="str">
        <f t="shared" si="1"/>
        <v>Customer Focus|Department Head|4</v>
      </c>
      <c r="B119" s="57" t="s">
        <v>456</v>
      </c>
      <c r="C119" s="177" t="s">
        <v>655</v>
      </c>
      <c r="D119" s="177">
        <v>4</v>
      </c>
      <c r="E119" s="177" t="s">
        <v>523</v>
      </c>
      <c r="F119" s="177">
        <v>1</v>
      </c>
      <c r="G119" s="57" t="s">
        <v>1046</v>
      </c>
      <c r="H119" s="57" t="s">
        <v>1047</v>
      </c>
      <c r="I119" s="57" t="s">
        <v>1048</v>
      </c>
      <c r="J119" s="57" t="s">
        <v>1049</v>
      </c>
      <c r="K119" s="57" t="s">
        <v>478</v>
      </c>
      <c r="L119" s="57" t="s">
        <v>479</v>
      </c>
      <c r="M119" s="57" t="s">
        <v>1050</v>
      </c>
    </row>
    <row r="120" ht="56" spans="1:13">
      <c r="A120" s="178" t="str">
        <f t="shared" si="1"/>
        <v>Customer Focus|Department Head|4</v>
      </c>
      <c r="B120" s="57" t="s">
        <v>456</v>
      </c>
      <c r="C120" s="177" t="s">
        <v>655</v>
      </c>
      <c r="D120" s="177">
        <v>4</v>
      </c>
      <c r="E120" s="177" t="s">
        <v>523</v>
      </c>
      <c r="F120" s="177">
        <v>2</v>
      </c>
      <c r="G120" s="57" t="s">
        <v>1051</v>
      </c>
      <c r="H120" s="57" t="s">
        <v>1052</v>
      </c>
      <c r="I120" s="57" t="s">
        <v>1053</v>
      </c>
      <c r="J120" s="57" t="s">
        <v>947</v>
      </c>
      <c r="K120" s="57" t="s">
        <v>478</v>
      </c>
      <c r="L120" s="57" t="s">
        <v>479</v>
      </c>
      <c r="M120" s="57" t="s">
        <v>1054</v>
      </c>
    </row>
    <row r="121" ht="70" spans="1:13">
      <c r="A121" s="178" t="str">
        <f t="shared" si="1"/>
        <v>Customer Focus|Department Head|4</v>
      </c>
      <c r="B121" s="57" t="s">
        <v>456</v>
      </c>
      <c r="C121" s="177" t="s">
        <v>655</v>
      </c>
      <c r="D121" s="177">
        <v>4</v>
      </c>
      <c r="E121" s="177" t="s">
        <v>523</v>
      </c>
      <c r="F121" s="177">
        <v>3</v>
      </c>
      <c r="G121" s="57" t="s">
        <v>1055</v>
      </c>
      <c r="H121" s="57" t="s">
        <v>1056</v>
      </c>
      <c r="I121" s="57" t="s">
        <v>1057</v>
      </c>
      <c r="J121" s="57" t="s">
        <v>1058</v>
      </c>
      <c r="K121" s="57" t="s">
        <v>478</v>
      </c>
      <c r="L121" s="57" t="s">
        <v>479</v>
      </c>
      <c r="M121" s="57" t="s">
        <v>1059</v>
      </c>
    </row>
    <row r="122" ht="70" spans="1:13">
      <c r="A122" s="178" t="str">
        <f t="shared" si="1"/>
        <v>Customer Focus|Division Head|1</v>
      </c>
      <c r="B122" s="57" t="s">
        <v>456</v>
      </c>
      <c r="C122" s="177" t="s">
        <v>712</v>
      </c>
      <c r="D122" s="177">
        <v>1</v>
      </c>
      <c r="E122" s="177" t="s">
        <v>473</v>
      </c>
      <c r="F122" s="177">
        <v>1</v>
      </c>
      <c r="G122" s="57" t="s">
        <v>1060</v>
      </c>
      <c r="H122" s="57" t="s">
        <v>1061</v>
      </c>
      <c r="I122" s="57" t="s">
        <v>1062</v>
      </c>
      <c r="J122" s="57" t="s">
        <v>1063</v>
      </c>
      <c r="K122" s="57" t="s">
        <v>478</v>
      </c>
      <c r="L122" s="57" t="s">
        <v>479</v>
      </c>
      <c r="M122" s="57" t="s">
        <v>1064</v>
      </c>
    </row>
    <row r="123" ht="84" spans="1:13">
      <c r="A123" s="178" t="str">
        <f t="shared" si="1"/>
        <v>Customer Focus|Division Head|1</v>
      </c>
      <c r="B123" s="57" t="s">
        <v>456</v>
      </c>
      <c r="C123" s="177" t="s">
        <v>712</v>
      </c>
      <c r="D123" s="177">
        <v>1</v>
      </c>
      <c r="E123" s="177" t="s">
        <v>473</v>
      </c>
      <c r="F123" s="177">
        <v>2</v>
      </c>
      <c r="G123" s="57" t="s">
        <v>1065</v>
      </c>
      <c r="H123" s="57" t="s">
        <v>1066</v>
      </c>
      <c r="I123" s="57" t="s">
        <v>1067</v>
      </c>
      <c r="J123" s="57" t="s">
        <v>1068</v>
      </c>
      <c r="K123" s="57" t="s">
        <v>478</v>
      </c>
      <c r="L123" s="57" t="s">
        <v>479</v>
      </c>
      <c r="M123" s="57" t="s">
        <v>1069</v>
      </c>
    </row>
    <row r="124" ht="56" spans="1:13">
      <c r="A124" s="178" t="str">
        <f t="shared" si="1"/>
        <v>Customer Focus|Division Head|1</v>
      </c>
      <c r="B124" s="57" t="s">
        <v>456</v>
      </c>
      <c r="C124" s="177" t="s">
        <v>712</v>
      </c>
      <c r="D124" s="177">
        <v>1</v>
      </c>
      <c r="E124" s="177" t="s">
        <v>473</v>
      </c>
      <c r="F124" s="177">
        <v>3</v>
      </c>
      <c r="G124" s="57" t="s">
        <v>1070</v>
      </c>
      <c r="H124" s="57" t="s">
        <v>1071</v>
      </c>
      <c r="I124" s="57" t="s">
        <v>1072</v>
      </c>
      <c r="J124" s="57" t="s">
        <v>1073</v>
      </c>
      <c r="K124" s="57" t="s">
        <v>478</v>
      </c>
      <c r="L124" s="57" t="s">
        <v>479</v>
      </c>
      <c r="M124" s="57" t="s">
        <v>1074</v>
      </c>
    </row>
    <row r="125" ht="56" spans="1:13">
      <c r="A125" s="178" t="str">
        <f t="shared" si="1"/>
        <v>Customer Focus|Division Head|2</v>
      </c>
      <c r="B125" s="57" t="s">
        <v>456</v>
      </c>
      <c r="C125" s="177" t="s">
        <v>712</v>
      </c>
      <c r="D125" s="177">
        <v>2</v>
      </c>
      <c r="E125" s="177" t="s">
        <v>491</v>
      </c>
      <c r="F125" s="177">
        <v>1</v>
      </c>
      <c r="G125" s="57" t="s">
        <v>1075</v>
      </c>
      <c r="H125" s="57" t="s">
        <v>1076</v>
      </c>
      <c r="I125" s="57" t="s">
        <v>1077</v>
      </c>
      <c r="J125" s="57" t="s">
        <v>1078</v>
      </c>
      <c r="K125" s="57" t="s">
        <v>478</v>
      </c>
      <c r="L125" s="57" t="s">
        <v>479</v>
      </c>
      <c r="M125" s="57" t="s">
        <v>1079</v>
      </c>
    </row>
    <row r="126" ht="56" spans="1:13">
      <c r="A126" s="178" t="str">
        <f t="shared" si="1"/>
        <v>Customer Focus|Division Head|2</v>
      </c>
      <c r="B126" s="57" t="s">
        <v>456</v>
      </c>
      <c r="C126" s="177" t="s">
        <v>712</v>
      </c>
      <c r="D126" s="177">
        <v>2</v>
      </c>
      <c r="E126" s="177" t="s">
        <v>491</v>
      </c>
      <c r="F126" s="177">
        <v>2</v>
      </c>
      <c r="G126" s="57" t="s">
        <v>1080</v>
      </c>
      <c r="H126" s="57" t="s">
        <v>1081</v>
      </c>
      <c r="I126" s="57" t="s">
        <v>1082</v>
      </c>
      <c r="J126" s="57" t="s">
        <v>1083</v>
      </c>
      <c r="K126" s="57" t="s">
        <v>478</v>
      </c>
      <c r="L126" s="57" t="s">
        <v>479</v>
      </c>
      <c r="M126" s="57" t="s">
        <v>1084</v>
      </c>
    </row>
    <row r="127" ht="42" spans="1:13">
      <c r="A127" s="178" t="str">
        <f t="shared" si="1"/>
        <v>Customer Focus|Division Head|2</v>
      </c>
      <c r="B127" s="57" t="s">
        <v>456</v>
      </c>
      <c r="C127" s="177" t="s">
        <v>712</v>
      </c>
      <c r="D127" s="177">
        <v>2</v>
      </c>
      <c r="E127" s="177" t="s">
        <v>491</v>
      </c>
      <c r="F127" s="177">
        <v>3</v>
      </c>
      <c r="G127" s="57" t="s">
        <v>1085</v>
      </c>
      <c r="H127" s="57" t="s">
        <v>1086</v>
      </c>
      <c r="I127" s="57" t="s">
        <v>1087</v>
      </c>
      <c r="J127" s="57" t="s">
        <v>1088</v>
      </c>
      <c r="K127" s="57" t="s">
        <v>478</v>
      </c>
      <c r="L127" s="57" t="s">
        <v>479</v>
      </c>
      <c r="M127" s="57" t="s">
        <v>1089</v>
      </c>
    </row>
    <row r="128" ht="70" spans="1:13">
      <c r="A128" s="178" t="str">
        <f t="shared" si="1"/>
        <v>Customer Focus|Division Head|3</v>
      </c>
      <c r="B128" s="57" t="s">
        <v>456</v>
      </c>
      <c r="C128" s="177" t="s">
        <v>712</v>
      </c>
      <c r="D128" s="177">
        <v>3</v>
      </c>
      <c r="E128" s="177" t="s">
        <v>507</v>
      </c>
      <c r="F128" s="177">
        <v>1</v>
      </c>
      <c r="G128" s="57" t="s">
        <v>1090</v>
      </c>
      <c r="H128" s="57" t="s">
        <v>1091</v>
      </c>
      <c r="I128" s="57" t="s">
        <v>1092</v>
      </c>
      <c r="J128" s="57" t="s">
        <v>1093</v>
      </c>
      <c r="K128" s="57" t="s">
        <v>478</v>
      </c>
      <c r="L128" s="57" t="s">
        <v>479</v>
      </c>
      <c r="M128" s="57" t="s">
        <v>1094</v>
      </c>
    </row>
    <row r="129" ht="84" spans="1:13">
      <c r="A129" s="178" t="str">
        <f t="shared" si="1"/>
        <v>Customer Focus|Division Head|3</v>
      </c>
      <c r="B129" s="57" t="s">
        <v>456</v>
      </c>
      <c r="C129" s="177" t="s">
        <v>712</v>
      </c>
      <c r="D129" s="177">
        <v>3</v>
      </c>
      <c r="E129" s="177" t="s">
        <v>507</v>
      </c>
      <c r="F129" s="177">
        <v>2</v>
      </c>
      <c r="G129" s="57" t="s">
        <v>1095</v>
      </c>
      <c r="H129" s="57" t="s">
        <v>1096</v>
      </c>
      <c r="I129" s="57" t="s">
        <v>1097</v>
      </c>
      <c r="J129" s="57" t="s">
        <v>1098</v>
      </c>
      <c r="K129" s="57" t="s">
        <v>478</v>
      </c>
      <c r="L129" s="57" t="s">
        <v>479</v>
      </c>
      <c r="M129" s="57" t="s">
        <v>1099</v>
      </c>
    </row>
    <row r="130" ht="84" spans="1:13">
      <c r="A130" s="178" t="str">
        <f t="shared" si="1"/>
        <v>Customer Focus|Division Head|3</v>
      </c>
      <c r="B130" s="57" t="s">
        <v>456</v>
      </c>
      <c r="C130" s="177" t="s">
        <v>712</v>
      </c>
      <c r="D130" s="177">
        <v>3</v>
      </c>
      <c r="E130" s="177" t="s">
        <v>507</v>
      </c>
      <c r="F130" s="177">
        <v>3</v>
      </c>
      <c r="G130" s="57" t="s">
        <v>1100</v>
      </c>
      <c r="H130" s="57" t="s">
        <v>1101</v>
      </c>
      <c r="I130" s="57" t="s">
        <v>1102</v>
      </c>
      <c r="J130" s="57" t="s">
        <v>756</v>
      </c>
      <c r="K130" s="57" t="s">
        <v>478</v>
      </c>
      <c r="L130" s="57" t="s">
        <v>479</v>
      </c>
      <c r="M130" s="57" t="s">
        <v>757</v>
      </c>
    </row>
    <row r="131" ht="70" spans="1:13">
      <c r="A131" s="178" t="str">
        <f t="shared" ref="A131:A194" si="2">B131&amp;"|"&amp;C131&amp;"|"&amp;D131</f>
        <v>Customer Focus|Division Head|4</v>
      </c>
      <c r="B131" s="57" t="s">
        <v>456</v>
      </c>
      <c r="C131" s="177" t="s">
        <v>712</v>
      </c>
      <c r="D131" s="177">
        <v>4</v>
      </c>
      <c r="E131" s="177" t="s">
        <v>523</v>
      </c>
      <c r="F131" s="177">
        <v>1</v>
      </c>
      <c r="G131" s="57" t="s">
        <v>1103</v>
      </c>
      <c r="H131" s="57" t="s">
        <v>1104</v>
      </c>
      <c r="I131" s="57" t="s">
        <v>1105</v>
      </c>
      <c r="J131" s="57" t="s">
        <v>1106</v>
      </c>
      <c r="K131" s="57" t="s">
        <v>478</v>
      </c>
      <c r="L131" s="57" t="s">
        <v>479</v>
      </c>
      <c r="M131" s="57" t="s">
        <v>1107</v>
      </c>
    </row>
    <row r="132" ht="70" spans="1:13">
      <c r="A132" s="178" t="str">
        <f t="shared" si="2"/>
        <v>Customer Focus|Division Head|4</v>
      </c>
      <c r="B132" s="57" t="s">
        <v>456</v>
      </c>
      <c r="C132" s="177" t="s">
        <v>712</v>
      </c>
      <c r="D132" s="177">
        <v>4</v>
      </c>
      <c r="E132" s="177" t="s">
        <v>523</v>
      </c>
      <c r="F132" s="177">
        <v>2</v>
      </c>
      <c r="G132" s="57" t="s">
        <v>1108</v>
      </c>
      <c r="H132" s="57" t="s">
        <v>1109</v>
      </c>
      <c r="I132" s="57" t="s">
        <v>1110</v>
      </c>
      <c r="J132" s="57" t="s">
        <v>1111</v>
      </c>
      <c r="K132" s="57" t="s">
        <v>478</v>
      </c>
      <c r="L132" s="57" t="s">
        <v>479</v>
      </c>
      <c r="M132" s="57" t="s">
        <v>1112</v>
      </c>
    </row>
    <row r="133" ht="84" spans="1:13">
      <c r="A133" s="178" t="str">
        <f t="shared" si="2"/>
        <v>Customer Focus|Division Head|4</v>
      </c>
      <c r="B133" s="57" t="s">
        <v>456</v>
      </c>
      <c r="C133" s="177" t="s">
        <v>712</v>
      </c>
      <c r="D133" s="177">
        <v>4</v>
      </c>
      <c r="E133" s="177" t="s">
        <v>523</v>
      </c>
      <c r="F133" s="177">
        <v>3</v>
      </c>
      <c r="G133" s="57" t="s">
        <v>1113</v>
      </c>
      <c r="H133" s="57" t="s">
        <v>1114</v>
      </c>
      <c r="I133" s="57" t="s">
        <v>1115</v>
      </c>
      <c r="J133" s="57" t="s">
        <v>1116</v>
      </c>
      <c r="K133" s="57" t="s">
        <v>478</v>
      </c>
      <c r="L133" s="57" t="s">
        <v>479</v>
      </c>
      <c r="M133" s="57" t="s">
        <v>1117</v>
      </c>
    </row>
    <row r="134" ht="70" spans="1:13">
      <c r="A134" s="178" t="str">
        <f t="shared" si="2"/>
        <v>Customer Focus|Director|1</v>
      </c>
      <c r="B134" s="57" t="s">
        <v>456</v>
      </c>
      <c r="C134" s="177" t="s">
        <v>773</v>
      </c>
      <c r="D134" s="177">
        <v>1</v>
      </c>
      <c r="E134" s="177" t="s">
        <v>473</v>
      </c>
      <c r="F134" s="177">
        <v>1</v>
      </c>
      <c r="G134" s="57" t="s">
        <v>1118</v>
      </c>
      <c r="H134" s="57" t="s">
        <v>1119</v>
      </c>
      <c r="I134" s="57" t="s">
        <v>1120</v>
      </c>
      <c r="J134" s="57" t="s">
        <v>1121</v>
      </c>
      <c r="K134" s="57" t="s">
        <v>478</v>
      </c>
      <c r="L134" s="57" t="s">
        <v>479</v>
      </c>
      <c r="M134" s="57" t="s">
        <v>1122</v>
      </c>
    </row>
    <row r="135" ht="70" spans="1:13">
      <c r="A135" s="178" t="str">
        <f t="shared" si="2"/>
        <v>Customer Focus|Director|1</v>
      </c>
      <c r="B135" s="57" t="s">
        <v>456</v>
      </c>
      <c r="C135" s="177" t="s">
        <v>773</v>
      </c>
      <c r="D135" s="177">
        <v>1</v>
      </c>
      <c r="E135" s="177" t="s">
        <v>473</v>
      </c>
      <c r="F135" s="177">
        <v>2</v>
      </c>
      <c r="G135" s="57" t="s">
        <v>1123</v>
      </c>
      <c r="H135" s="57" t="s">
        <v>1124</v>
      </c>
      <c r="I135" s="57" t="s">
        <v>1125</v>
      </c>
      <c r="J135" s="57" t="s">
        <v>1126</v>
      </c>
      <c r="K135" s="57" t="s">
        <v>478</v>
      </c>
      <c r="L135" s="57" t="s">
        <v>479</v>
      </c>
      <c r="M135" s="57" t="s">
        <v>1127</v>
      </c>
    </row>
    <row r="136" ht="56" spans="1:13">
      <c r="A136" s="178" t="str">
        <f t="shared" si="2"/>
        <v>Customer Focus|Director|1</v>
      </c>
      <c r="B136" s="57" t="s">
        <v>456</v>
      </c>
      <c r="C136" s="177" t="s">
        <v>773</v>
      </c>
      <c r="D136" s="177">
        <v>1</v>
      </c>
      <c r="E136" s="177" t="s">
        <v>473</v>
      </c>
      <c r="F136" s="177">
        <v>3</v>
      </c>
      <c r="G136" s="57" t="s">
        <v>1128</v>
      </c>
      <c r="H136" s="57" t="s">
        <v>1129</v>
      </c>
      <c r="I136" s="57" t="s">
        <v>1130</v>
      </c>
      <c r="J136" s="57" t="s">
        <v>1131</v>
      </c>
      <c r="K136" s="57" t="s">
        <v>478</v>
      </c>
      <c r="L136" s="57" t="s">
        <v>479</v>
      </c>
      <c r="M136" s="57" t="s">
        <v>1132</v>
      </c>
    </row>
    <row r="137" ht="56" spans="1:13">
      <c r="A137" s="178" t="str">
        <f t="shared" si="2"/>
        <v>Customer Focus|Director|2</v>
      </c>
      <c r="B137" s="57" t="s">
        <v>456</v>
      </c>
      <c r="C137" s="177" t="s">
        <v>773</v>
      </c>
      <c r="D137" s="177">
        <v>2</v>
      </c>
      <c r="E137" s="177" t="s">
        <v>491</v>
      </c>
      <c r="F137" s="177">
        <v>1</v>
      </c>
      <c r="G137" s="57" t="s">
        <v>1133</v>
      </c>
      <c r="H137" s="57" t="s">
        <v>1134</v>
      </c>
      <c r="I137" s="57" t="s">
        <v>1135</v>
      </c>
      <c r="J137" s="57" t="s">
        <v>1136</v>
      </c>
      <c r="K137" s="57" t="s">
        <v>478</v>
      </c>
      <c r="L137" s="57" t="s">
        <v>479</v>
      </c>
      <c r="M137" s="57" t="s">
        <v>1137</v>
      </c>
    </row>
    <row r="138" ht="56" spans="1:13">
      <c r="A138" s="178" t="str">
        <f t="shared" si="2"/>
        <v>Customer Focus|Director|2</v>
      </c>
      <c r="B138" s="57" t="s">
        <v>456</v>
      </c>
      <c r="C138" s="177" t="s">
        <v>773</v>
      </c>
      <c r="D138" s="177">
        <v>2</v>
      </c>
      <c r="E138" s="177" t="s">
        <v>491</v>
      </c>
      <c r="F138" s="177">
        <v>2</v>
      </c>
      <c r="G138" s="57" t="s">
        <v>1138</v>
      </c>
      <c r="H138" s="57" t="s">
        <v>1139</v>
      </c>
      <c r="I138" s="57" t="s">
        <v>1140</v>
      </c>
      <c r="J138" s="57" t="s">
        <v>1141</v>
      </c>
      <c r="K138" s="57" t="s">
        <v>478</v>
      </c>
      <c r="L138" s="57" t="s">
        <v>479</v>
      </c>
      <c r="M138" s="57" t="s">
        <v>1142</v>
      </c>
    </row>
    <row r="139" ht="42" spans="1:13">
      <c r="A139" s="178" t="str">
        <f t="shared" si="2"/>
        <v>Customer Focus|Director|2</v>
      </c>
      <c r="B139" s="57" t="s">
        <v>456</v>
      </c>
      <c r="C139" s="177" t="s">
        <v>773</v>
      </c>
      <c r="D139" s="177">
        <v>2</v>
      </c>
      <c r="E139" s="177" t="s">
        <v>491</v>
      </c>
      <c r="F139" s="177">
        <v>3</v>
      </c>
      <c r="G139" s="57" t="s">
        <v>1143</v>
      </c>
      <c r="H139" s="57" t="s">
        <v>1144</v>
      </c>
      <c r="I139" s="57" t="s">
        <v>1145</v>
      </c>
      <c r="J139" s="57" t="s">
        <v>1146</v>
      </c>
      <c r="K139" s="57" t="s">
        <v>478</v>
      </c>
      <c r="L139" s="57" t="s">
        <v>479</v>
      </c>
      <c r="M139" s="57" t="s">
        <v>1147</v>
      </c>
    </row>
    <row r="140" ht="56" spans="1:13">
      <c r="A140" s="178" t="str">
        <f t="shared" si="2"/>
        <v>Customer Focus|Director|3</v>
      </c>
      <c r="B140" s="57" t="s">
        <v>456</v>
      </c>
      <c r="C140" s="177" t="s">
        <v>773</v>
      </c>
      <c r="D140" s="177">
        <v>3</v>
      </c>
      <c r="E140" s="177" t="s">
        <v>507</v>
      </c>
      <c r="F140" s="177">
        <v>1</v>
      </c>
      <c r="G140" s="57" t="s">
        <v>1148</v>
      </c>
      <c r="H140" s="57" t="s">
        <v>1149</v>
      </c>
      <c r="I140" s="57" t="s">
        <v>1150</v>
      </c>
      <c r="J140" s="57" t="s">
        <v>1037</v>
      </c>
      <c r="K140" s="57" t="s">
        <v>478</v>
      </c>
      <c r="L140" s="57" t="s">
        <v>479</v>
      </c>
      <c r="M140" s="57" t="s">
        <v>1151</v>
      </c>
    </row>
    <row r="141" ht="56" spans="1:13">
      <c r="A141" s="178" t="str">
        <f t="shared" si="2"/>
        <v>Customer Focus|Director|3</v>
      </c>
      <c r="B141" s="57" t="s">
        <v>456</v>
      </c>
      <c r="C141" s="177" t="s">
        <v>773</v>
      </c>
      <c r="D141" s="177">
        <v>3</v>
      </c>
      <c r="E141" s="177" t="s">
        <v>507</v>
      </c>
      <c r="F141" s="177">
        <v>2</v>
      </c>
      <c r="G141" s="57" t="s">
        <v>1152</v>
      </c>
      <c r="H141" s="57" t="s">
        <v>1153</v>
      </c>
      <c r="I141" s="57" t="s">
        <v>1154</v>
      </c>
      <c r="J141" s="57" t="s">
        <v>812</v>
      </c>
      <c r="K141" s="57" t="s">
        <v>478</v>
      </c>
      <c r="L141" s="57" t="s">
        <v>479</v>
      </c>
      <c r="M141" s="57" t="s">
        <v>1155</v>
      </c>
    </row>
    <row r="142" ht="56" spans="1:13">
      <c r="A142" s="178" t="str">
        <f t="shared" si="2"/>
        <v>Customer Focus|Director|3</v>
      </c>
      <c r="B142" s="57" t="s">
        <v>456</v>
      </c>
      <c r="C142" s="177" t="s">
        <v>773</v>
      </c>
      <c r="D142" s="177">
        <v>3</v>
      </c>
      <c r="E142" s="177" t="s">
        <v>507</v>
      </c>
      <c r="F142" s="177">
        <v>3</v>
      </c>
      <c r="G142" s="57" t="s">
        <v>1156</v>
      </c>
      <c r="H142" s="57" t="s">
        <v>1157</v>
      </c>
      <c r="I142" s="57" t="s">
        <v>1158</v>
      </c>
      <c r="J142" s="57" t="s">
        <v>581</v>
      </c>
      <c r="K142" s="57" t="s">
        <v>478</v>
      </c>
      <c r="L142" s="57" t="s">
        <v>479</v>
      </c>
      <c r="M142" s="57" t="s">
        <v>582</v>
      </c>
    </row>
    <row r="143" ht="70" spans="1:13">
      <c r="A143" s="178" t="str">
        <f t="shared" si="2"/>
        <v>Customer Focus|Director|4</v>
      </c>
      <c r="B143" s="57" t="s">
        <v>456</v>
      </c>
      <c r="C143" s="177" t="s">
        <v>773</v>
      </c>
      <c r="D143" s="177">
        <v>4</v>
      </c>
      <c r="E143" s="177" t="s">
        <v>523</v>
      </c>
      <c r="F143" s="177">
        <v>1</v>
      </c>
      <c r="G143" s="57" t="s">
        <v>1159</v>
      </c>
      <c r="H143" s="57" t="s">
        <v>1160</v>
      </c>
      <c r="I143" s="57" t="s">
        <v>1161</v>
      </c>
      <c r="J143" s="57" t="s">
        <v>1162</v>
      </c>
      <c r="K143" s="57" t="s">
        <v>478</v>
      </c>
      <c r="L143" s="57" t="s">
        <v>479</v>
      </c>
      <c r="M143" s="57" t="s">
        <v>1163</v>
      </c>
    </row>
    <row r="144" ht="98" spans="1:13">
      <c r="A144" s="178" t="str">
        <f t="shared" si="2"/>
        <v>Customer Focus|Director|4</v>
      </c>
      <c r="B144" s="57" t="s">
        <v>456</v>
      </c>
      <c r="C144" s="177" t="s">
        <v>773</v>
      </c>
      <c r="D144" s="177">
        <v>4</v>
      </c>
      <c r="E144" s="177" t="s">
        <v>523</v>
      </c>
      <c r="F144" s="177">
        <v>2</v>
      </c>
      <c r="G144" s="57" t="s">
        <v>1164</v>
      </c>
      <c r="H144" s="57" t="s">
        <v>1165</v>
      </c>
      <c r="I144" s="57" t="s">
        <v>1166</v>
      </c>
      <c r="J144" s="57" t="s">
        <v>1167</v>
      </c>
      <c r="K144" s="57" t="s">
        <v>478</v>
      </c>
      <c r="L144" s="57" t="s">
        <v>479</v>
      </c>
      <c r="M144" s="57" t="s">
        <v>1168</v>
      </c>
    </row>
    <row r="145" ht="70" spans="1:13">
      <c r="A145" s="178" t="str">
        <f t="shared" si="2"/>
        <v>Customer Focus|Director|4</v>
      </c>
      <c r="B145" s="57" t="s">
        <v>456</v>
      </c>
      <c r="C145" s="177" t="s">
        <v>773</v>
      </c>
      <c r="D145" s="177">
        <v>4</v>
      </c>
      <c r="E145" s="177" t="s">
        <v>523</v>
      </c>
      <c r="F145" s="177">
        <v>3</v>
      </c>
      <c r="G145" s="57" t="s">
        <v>1169</v>
      </c>
      <c r="H145" s="57" t="s">
        <v>1170</v>
      </c>
      <c r="I145" s="57" t="s">
        <v>1171</v>
      </c>
      <c r="J145" s="57" t="s">
        <v>1172</v>
      </c>
      <c r="K145" s="57" t="s">
        <v>478</v>
      </c>
      <c r="L145" s="57" t="s">
        <v>479</v>
      </c>
      <c r="M145" s="57" t="s">
        <v>1173</v>
      </c>
    </row>
    <row r="146" ht="70" spans="1:13">
      <c r="A146" s="178" t="str">
        <f t="shared" si="2"/>
        <v>Developing Others|Officer|1</v>
      </c>
      <c r="B146" s="57" t="s">
        <v>453</v>
      </c>
      <c r="C146" s="177" t="s">
        <v>6</v>
      </c>
      <c r="D146" s="177">
        <v>1</v>
      </c>
      <c r="E146" s="177" t="s">
        <v>473</v>
      </c>
      <c r="F146" s="177">
        <v>1</v>
      </c>
      <c r="G146" s="57" t="s">
        <v>1174</v>
      </c>
      <c r="H146" s="57" t="s">
        <v>1175</v>
      </c>
      <c r="I146" s="57" t="s">
        <v>1176</v>
      </c>
      <c r="J146" s="57" t="s">
        <v>1177</v>
      </c>
      <c r="K146" s="57" t="s">
        <v>478</v>
      </c>
      <c r="L146" s="57" t="s">
        <v>479</v>
      </c>
      <c r="M146" s="57" t="s">
        <v>1178</v>
      </c>
    </row>
    <row r="147" ht="84" spans="1:13">
      <c r="A147" s="178" t="str">
        <f t="shared" si="2"/>
        <v>Developing Others|Officer|1</v>
      </c>
      <c r="B147" s="57" t="s">
        <v>453</v>
      </c>
      <c r="C147" s="177" t="s">
        <v>6</v>
      </c>
      <c r="D147" s="177">
        <v>1</v>
      </c>
      <c r="E147" s="177" t="s">
        <v>473</v>
      </c>
      <c r="F147" s="177">
        <v>2</v>
      </c>
      <c r="G147" s="57" t="s">
        <v>1179</v>
      </c>
      <c r="H147" s="57" t="s">
        <v>1180</v>
      </c>
      <c r="I147" s="57" t="s">
        <v>1181</v>
      </c>
      <c r="J147" s="57" t="s">
        <v>1182</v>
      </c>
      <c r="K147" s="57" t="s">
        <v>478</v>
      </c>
      <c r="L147" s="57" t="s">
        <v>479</v>
      </c>
      <c r="M147" s="57" t="s">
        <v>1183</v>
      </c>
    </row>
    <row r="148" ht="56" spans="1:13">
      <c r="A148" s="178" t="str">
        <f t="shared" si="2"/>
        <v>Developing Others|Officer|1</v>
      </c>
      <c r="B148" s="57" t="s">
        <v>453</v>
      </c>
      <c r="C148" s="177" t="s">
        <v>6</v>
      </c>
      <c r="D148" s="177">
        <v>1</v>
      </c>
      <c r="E148" s="177" t="s">
        <v>473</v>
      </c>
      <c r="F148" s="177">
        <v>3</v>
      </c>
      <c r="G148" s="57" t="s">
        <v>1184</v>
      </c>
      <c r="H148" s="57" t="s">
        <v>1185</v>
      </c>
      <c r="I148" s="57" t="s">
        <v>1186</v>
      </c>
      <c r="J148" s="57" t="s">
        <v>1187</v>
      </c>
      <c r="K148" s="57" t="s">
        <v>478</v>
      </c>
      <c r="L148" s="57" t="s">
        <v>479</v>
      </c>
      <c r="M148" s="57" t="s">
        <v>1188</v>
      </c>
    </row>
    <row r="149" ht="70" spans="1:13">
      <c r="A149" s="178" t="str">
        <f t="shared" si="2"/>
        <v>Developing Others|Officer|2</v>
      </c>
      <c r="B149" s="57" t="s">
        <v>453</v>
      </c>
      <c r="C149" s="177" t="s">
        <v>6</v>
      </c>
      <c r="D149" s="177">
        <v>2</v>
      </c>
      <c r="E149" s="177" t="s">
        <v>491</v>
      </c>
      <c r="F149" s="177">
        <v>1</v>
      </c>
      <c r="G149" s="57" t="s">
        <v>1189</v>
      </c>
      <c r="H149" s="57" t="s">
        <v>1190</v>
      </c>
      <c r="I149" s="57" t="s">
        <v>1191</v>
      </c>
      <c r="J149" s="57" t="s">
        <v>1192</v>
      </c>
      <c r="K149" s="57" t="s">
        <v>478</v>
      </c>
      <c r="L149" s="57" t="s">
        <v>479</v>
      </c>
      <c r="M149" s="57" t="s">
        <v>1193</v>
      </c>
    </row>
    <row r="150" ht="42" spans="1:13">
      <c r="A150" s="178" t="str">
        <f t="shared" si="2"/>
        <v>Developing Others|Officer|2</v>
      </c>
      <c r="B150" s="57" t="s">
        <v>453</v>
      </c>
      <c r="C150" s="177" t="s">
        <v>6</v>
      </c>
      <c r="D150" s="177">
        <v>2</v>
      </c>
      <c r="E150" s="177" t="s">
        <v>491</v>
      </c>
      <c r="F150" s="177">
        <v>2</v>
      </c>
      <c r="G150" s="57" t="s">
        <v>1194</v>
      </c>
      <c r="H150" s="57" t="s">
        <v>1195</v>
      </c>
      <c r="I150" s="57" t="s">
        <v>1196</v>
      </c>
      <c r="J150" s="57" t="s">
        <v>1197</v>
      </c>
      <c r="K150" s="57" t="s">
        <v>478</v>
      </c>
      <c r="L150" s="57" t="s">
        <v>479</v>
      </c>
      <c r="M150" s="57" t="s">
        <v>1198</v>
      </c>
    </row>
    <row r="151" ht="42" spans="1:13">
      <c r="A151" s="178" t="str">
        <f t="shared" si="2"/>
        <v>Developing Others|Officer|2</v>
      </c>
      <c r="B151" s="57" t="s">
        <v>453</v>
      </c>
      <c r="C151" s="177" t="s">
        <v>6</v>
      </c>
      <c r="D151" s="177">
        <v>2</v>
      </c>
      <c r="E151" s="177" t="s">
        <v>491</v>
      </c>
      <c r="F151" s="177">
        <v>3</v>
      </c>
      <c r="G151" s="57" t="s">
        <v>1199</v>
      </c>
      <c r="H151" s="57" t="s">
        <v>1200</v>
      </c>
      <c r="I151" s="57" t="s">
        <v>1201</v>
      </c>
      <c r="J151" s="57" t="s">
        <v>1202</v>
      </c>
      <c r="K151" s="57" t="s">
        <v>478</v>
      </c>
      <c r="L151" s="57" t="s">
        <v>479</v>
      </c>
      <c r="M151" s="57" t="s">
        <v>1203</v>
      </c>
    </row>
    <row r="152" ht="56" spans="1:13">
      <c r="A152" s="178" t="str">
        <f t="shared" si="2"/>
        <v>Developing Others|Officer|3</v>
      </c>
      <c r="B152" s="57" t="s">
        <v>453</v>
      </c>
      <c r="C152" s="177" t="s">
        <v>6</v>
      </c>
      <c r="D152" s="177">
        <v>3</v>
      </c>
      <c r="E152" s="177" t="s">
        <v>507</v>
      </c>
      <c r="F152" s="177">
        <v>1</v>
      </c>
      <c r="G152" s="57" t="s">
        <v>1204</v>
      </c>
      <c r="H152" s="57" t="s">
        <v>1205</v>
      </c>
      <c r="I152" s="57" t="s">
        <v>1206</v>
      </c>
      <c r="J152" s="57" t="s">
        <v>1207</v>
      </c>
      <c r="K152" s="57" t="s">
        <v>478</v>
      </c>
      <c r="L152" s="57" t="s">
        <v>479</v>
      </c>
      <c r="M152" s="57" t="s">
        <v>1208</v>
      </c>
    </row>
    <row r="153" ht="56" spans="1:13">
      <c r="A153" s="178" t="str">
        <f t="shared" si="2"/>
        <v>Developing Others|Officer|3</v>
      </c>
      <c r="B153" s="57" t="s">
        <v>453</v>
      </c>
      <c r="C153" s="177" t="s">
        <v>6</v>
      </c>
      <c r="D153" s="177">
        <v>3</v>
      </c>
      <c r="E153" s="177" t="s">
        <v>507</v>
      </c>
      <c r="F153" s="177">
        <v>2</v>
      </c>
      <c r="G153" s="57" t="s">
        <v>1209</v>
      </c>
      <c r="H153" s="57" t="s">
        <v>1210</v>
      </c>
      <c r="I153" s="57" t="s">
        <v>1211</v>
      </c>
      <c r="J153" s="57" t="s">
        <v>1212</v>
      </c>
      <c r="K153" s="57" t="s">
        <v>478</v>
      </c>
      <c r="L153" s="57" t="s">
        <v>479</v>
      </c>
      <c r="M153" s="57" t="s">
        <v>1213</v>
      </c>
    </row>
    <row r="154" ht="70" spans="1:13">
      <c r="A154" s="178" t="str">
        <f t="shared" si="2"/>
        <v>Developing Others|Officer|3</v>
      </c>
      <c r="B154" s="57" t="s">
        <v>453</v>
      </c>
      <c r="C154" s="177" t="s">
        <v>6</v>
      </c>
      <c r="D154" s="177">
        <v>3</v>
      </c>
      <c r="E154" s="177" t="s">
        <v>507</v>
      </c>
      <c r="F154" s="177">
        <v>3</v>
      </c>
      <c r="G154" s="57" t="s">
        <v>1214</v>
      </c>
      <c r="H154" s="57" t="s">
        <v>1215</v>
      </c>
      <c r="I154" s="57" t="s">
        <v>1216</v>
      </c>
      <c r="J154" s="57" t="s">
        <v>1217</v>
      </c>
      <c r="K154" s="57" t="s">
        <v>478</v>
      </c>
      <c r="L154" s="57" t="s">
        <v>479</v>
      </c>
      <c r="M154" s="57" t="s">
        <v>1218</v>
      </c>
    </row>
    <row r="155" ht="70" spans="1:13">
      <c r="A155" s="178" t="str">
        <f t="shared" si="2"/>
        <v>Developing Others|Officer|4</v>
      </c>
      <c r="B155" s="57" t="s">
        <v>453</v>
      </c>
      <c r="C155" s="177" t="s">
        <v>6</v>
      </c>
      <c r="D155" s="177">
        <v>4</v>
      </c>
      <c r="E155" s="177" t="s">
        <v>523</v>
      </c>
      <c r="F155" s="177">
        <v>1</v>
      </c>
      <c r="G155" s="57" t="s">
        <v>1219</v>
      </c>
      <c r="H155" s="57" t="s">
        <v>1220</v>
      </c>
      <c r="I155" s="57" t="s">
        <v>1221</v>
      </c>
      <c r="J155" s="57" t="s">
        <v>1222</v>
      </c>
      <c r="K155" s="57" t="s">
        <v>478</v>
      </c>
      <c r="L155" s="57" t="s">
        <v>479</v>
      </c>
      <c r="M155" s="57" t="s">
        <v>1223</v>
      </c>
    </row>
    <row r="156" ht="56" spans="1:13">
      <c r="A156" s="178" t="str">
        <f t="shared" si="2"/>
        <v>Developing Others|Officer|4</v>
      </c>
      <c r="B156" s="57" t="s">
        <v>453</v>
      </c>
      <c r="C156" s="177" t="s">
        <v>6</v>
      </c>
      <c r="D156" s="177">
        <v>4</v>
      </c>
      <c r="E156" s="177" t="s">
        <v>523</v>
      </c>
      <c r="F156" s="177">
        <v>2</v>
      </c>
      <c r="G156" s="57" t="s">
        <v>1224</v>
      </c>
      <c r="H156" s="57" t="s">
        <v>1225</v>
      </c>
      <c r="I156" s="57" t="s">
        <v>1226</v>
      </c>
      <c r="J156" s="57" t="s">
        <v>1227</v>
      </c>
      <c r="K156" s="57" t="s">
        <v>478</v>
      </c>
      <c r="L156" s="57" t="s">
        <v>479</v>
      </c>
      <c r="M156" s="57" t="s">
        <v>1228</v>
      </c>
    </row>
    <row r="157" ht="70" spans="1:13">
      <c r="A157" s="178" t="str">
        <f t="shared" si="2"/>
        <v>Developing Others|Officer|4</v>
      </c>
      <c r="B157" s="57" t="s">
        <v>453</v>
      </c>
      <c r="C157" s="177" t="s">
        <v>6</v>
      </c>
      <c r="D157" s="177">
        <v>4</v>
      </c>
      <c r="E157" s="177" t="s">
        <v>523</v>
      </c>
      <c r="F157" s="177">
        <v>3</v>
      </c>
      <c r="G157" s="57" t="s">
        <v>1229</v>
      </c>
      <c r="H157" s="57" t="s">
        <v>1230</v>
      </c>
      <c r="I157" s="57" t="s">
        <v>1231</v>
      </c>
      <c r="J157" s="57" t="s">
        <v>1232</v>
      </c>
      <c r="K157" s="57" t="s">
        <v>478</v>
      </c>
      <c r="L157" s="57" t="s">
        <v>479</v>
      </c>
      <c r="M157" s="57" t="s">
        <v>1233</v>
      </c>
    </row>
    <row r="158" ht="56" spans="1:13">
      <c r="A158" s="178" t="str">
        <f t="shared" si="2"/>
        <v>Developing Others|Analyst|1</v>
      </c>
      <c r="B158" s="57" t="s">
        <v>453</v>
      </c>
      <c r="C158" s="177" t="s">
        <v>8</v>
      </c>
      <c r="D158" s="177">
        <v>1</v>
      </c>
      <c r="E158" s="177" t="s">
        <v>473</v>
      </c>
      <c r="F158" s="177">
        <v>1</v>
      </c>
      <c r="G158" s="57" t="s">
        <v>1234</v>
      </c>
      <c r="H158" s="57" t="s">
        <v>1235</v>
      </c>
      <c r="I158" s="57" t="s">
        <v>1236</v>
      </c>
      <c r="J158" s="57" t="s">
        <v>1237</v>
      </c>
      <c r="K158" s="57" t="s">
        <v>478</v>
      </c>
      <c r="L158" s="57" t="s">
        <v>479</v>
      </c>
      <c r="M158" s="57" t="s">
        <v>1238</v>
      </c>
    </row>
    <row r="159" ht="56" spans="1:13">
      <c r="A159" s="178" t="str">
        <f t="shared" si="2"/>
        <v>Developing Others|Analyst|1</v>
      </c>
      <c r="B159" s="57" t="s">
        <v>453</v>
      </c>
      <c r="C159" s="177" t="s">
        <v>8</v>
      </c>
      <c r="D159" s="177">
        <v>1</v>
      </c>
      <c r="E159" s="177" t="s">
        <v>473</v>
      </c>
      <c r="F159" s="177">
        <v>2</v>
      </c>
      <c r="G159" s="57" t="s">
        <v>1239</v>
      </c>
      <c r="H159" s="57" t="s">
        <v>1240</v>
      </c>
      <c r="I159" s="57" t="s">
        <v>1241</v>
      </c>
      <c r="J159" s="57" t="s">
        <v>1242</v>
      </c>
      <c r="K159" s="57" t="s">
        <v>478</v>
      </c>
      <c r="L159" s="57" t="s">
        <v>479</v>
      </c>
      <c r="M159" s="57" t="s">
        <v>1243</v>
      </c>
    </row>
    <row r="160" ht="56" spans="1:13">
      <c r="A160" s="178" t="str">
        <f t="shared" si="2"/>
        <v>Developing Others|Analyst|1</v>
      </c>
      <c r="B160" s="57" t="s">
        <v>453</v>
      </c>
      <c r="C160" s="177" t="s">
        <v>8</v>
      </c>
      <c r="D160" s="177">
        <v>1</v>
      </c>
      <c r="E160" s="177" t="s">
        <v>473</v>
      </c>
      <c r="F160" s="177">
        <v>3</v>
      </c>
      <c r="G160" s="57" t="s">
        <v>1244</v>
      </c>
      <c r="H160" s="57" t="s">
        <v>1245</v>
      </c>
      <c r="I160" s="57" t="s">
        <v>1246</v>
      </c>
      <c r="J160" s="57" t="s">
        <v>1247</v>
      </c>
      <c r="K160" s="57" t="s">
        <v>478</v>
      </c>
      <c r="L160" s="57" t="s">
        <v>479</v>
      </c>
      <c r="M160" s="57" t="s">
        <v>1248</v>
      </c>
    </row>
    <row r="161" ht="42" spans="1:13">
      <c r="A161" s="178" t="str">
        <f t="shared" si="2"/>
        <v>Developing Others|Analyst|2</v>
      </c>
      <c r="B161" s="57" t="s">
        <v>453</v>
      </c>
      <c r="C161" s="177" t="s">
        <v>8</v>
      </c>
      <c r="D161" s="177">
        <v>2</v>
      </c>
      <c r="E161" s="177" t="s">
        <v>491</v>
      </c>
      <c r="F161" s="177">
        <v>1</v>
      </c>
      <c r="G161" s="57" t="s">
        <v>1249</v>
      </c>
      <c r="H161" s="57" t="s">
        <v>1250</v>
      </c>
      <c r="I161" s="57" t="s">
        <v>1251</v>
      </c>
      <c r="J161" s="57" t="s">
        <v>1252</v>
      </c>
      <c r="K161" s="57" t="s">
        <v>478</v>
      </c>
      <c r="L161" s="57" t="s">
        <v>479</v>
      </c>
      <c r="M161" s="57" t="s">
        <v>1253</v>
      </c>
    </row>
    <row r="162" ht="42" spans="1:13">
      <c r="A162" s="178" t="str">
        <f t="shared" si="2"/>
        <v>Developing Others|Analyst|2</v>
      </c>
      <c r="B162" s="57" t="s">
        <v>453</v>
      </c>
      <c r="C162" s="177" t="s">
        <v>8</v>
      </c>
      <c r="D162" s="177">
        <v>2</v>
      </c>
      <c r="E162" s="177" t="s">
        <v>491</v>
      </c>
      <c r="F162" s="177">
        <v>2</v>
      </c>
      <c r="G162" s="57" t="s">
        <v>1254</v>
      </c>
      <c r="H162" s="57" t="s">
        <v>1255</v>
      </c>
      <c r="I162" s="57" t="s">
        <v>1256</v>
      </c>
      <c r="J162" s="57" t="s">
        <v>1257</v>
      </c>
      <c r="K162" s="57" t="s">
        <v>478</v>
      </c>
      <c r="L162" s="57" t="s">
        <v>479</v>
      </c>
      <c r="M162" s="57" t="s">
        <v>1258</v>
      </c>
    </row>
    <row r="163" ht="56" spans="1:13">
      <c r="A163" s="178" t="str">
        <f t="shared" si="2"/>
        <v>Developing Others|Analyst|2</v>
      </c>
      <c r="B163" s="57" t="s">
        <v>453</v>
      </c>
      <c r="C163" s="177" t="s">
        <v>8</v>
      </c>
      <c r="D163" s="177">
        <v>2</v>
      </c>
      <c r="E163" s="177" t="s">
        <v>491</v>
      </c>
      <c r="F163" s="177">
        <v>3</v>
      </c>
      <c r="G163" s="57" t="s">
        <v>1259</v>
      </c>
      <c r="H163" s="57" t="s">
        <v>1260</v>
      </c>
      <c r="I163" s="57" t="s">
        <v>1261</v>
      </c>
      <c r="J163" s="57" t="s">
        <v>1262</v>
      </c>
      <c r="K163" s="57" t="s">
        <v>478</v>
      </c>
      <c r="L163" s="57" t="s">
        <v>479</v>
      </c>
      <c r="M163" s="57" t="s">
        <v>1263</v>
      </c>
    </row>
    <row r="164" ht="56" spans="1:13">
      <c r="A164" s="178" t="str">
        <f t="shared" si="2"/>
        <v>Developing Others|Analyst|3</v>
      </c>
      <c r="B164" s="57" t="s">
        <v>453</v>
      </c>
      <c r="C164" s="177" t="s">
        <v>8</v>
      </c>
      <c r="D164" s="177">
        <v>3</v>
      </c>
      <c r="E164" s="177" t="s">
        <v>507</v>
      </c>
      <c r="F164" s="177">
        <v>1</v>
      </c>
      <c r="G164" s="57" t="s">
        <v>1264</v>
      </c>
      <c r="H164" s="57" t="s">
        <v>1265</v>
      </c>
      <c r="I164" s="57" t="s">
        <v>1266</v>
      </c>
      <c r="J164" s="57" t="s">
        <v>1267</v>
      </c>
      <c r="K164" s="57" t="s">
        <v>478</v>
      </c>
      <c r="L164" s="57" t="s">
        <v>479</v>
      </c>
      <c r="M164" s="57" t="s">
        <v>1268</v>
      </c>
    </row>
    <row r="165" ht="56" spans="1:13">
      <c r="A165" s="178" t="str">
        <f t="shared" si="2"/>
        <v>Developing Others|Analyst|3</v>
      </c>
      <c r="B165" s="57" t="s">
        <v>453</v>
      </c>
      <c r="C165" s="177" t="s">
        <v>8</v>
      </c>
      <c r="D165" s="177">
        <v>3</v>
      </c>
      <c r="E165" s="177" t="s">
        <v>507</v>
      </c>
      <c r="F165" s="177">
        <v>2</v>
      </c>
      <c r="G165" s="57" t="s">
        <v>1269</v>
      </c>
      <c r="H165" s="57" t="s">
        <v>1270</v>
      </c>
      <c r="I165" s="57" t="s">
        <v>1271</v>
      </c>
      <c r="J165" s="57" t="s">
        <v>929</v>
      </c>
      <c r="K165" s="57" t="s">
        <v>478</v>
      </c>
      <c r="L165" s="57" t="s">
        <v>479</v>
      </c>
      <c r="M165" s="57" t="s">
        <v>1272</v>
      </c>
    </row>
    <row r="166" ht="56" spans="1:13">
      <c r="A166" s="178" t="str">
        <f t="shared" si="2"/>
        <v>Developing Others|Analyst|3</v>
      </c>
      <c r="B166" s="57" t="s">
        <v>453</v>
      </c>
      <c r="C166" s="177" t="s">
        <v>8</v>
      </c>
      <c r="D166" s="177">
        <v>3</v>
      </c>
      <c r="E166" s="177" t="s">
        <v>507</v>
      </c>
      <c r="F166" s="177">
        <v>3</v>
      </c>
      <c r="G166" s="57" t="s">
        <v>1273</v>
      </c>
      <c r="H166" s="57" t="s">
        <v>1274</v>
      </c>
      <c r="I166" s="57" t="s">
        <v>1275</v>
      </c>
      <c r="J166" s="57" t="s">
        <v>581</v>
      </c>
      <c r="K166" s="57" t="s">
        <v>478</v>
      </c>
      <c r="L166" s="57" t="s">
        <v>479</v>
      </c>
      <c r="M166" s="57" t="s">
        <v>582</v>
      </c>
    </row>
    <row r="167" ht="70" spans="1:13">
      <c r="A167" s="178" t="str">
        <f t="shared" si="2"/>
        <v>Developing Others|Analyst|4</v>
      </c>
      <c r="B167" s="57" t="s">
        <v>453</v>
      </c>
      <c r="C167" s="177" t="s">
        <v>8</v>
      </c>
      <c r="D167" s="177">
        <v>4</v>
      </c>
      <c r="E167" s="177" t="s">
        <v>523</v>
      </c>
      <c r="F167" s="177">
        <v>1</v>
      </c>
      <c r="G167" s="57" t="s">
        <v>1276</v>
      </c>
      <c r="H167" s="57" t="s">
        <v>1277</v>
      </c>
      <c r="I167" s="57" t="s">
        <v>1278</v>
      </c>
      <c r="J167" s="57" t="s">
        <v>1279</v>
      </c>
      <c r="K167" s="57" t="s">
        <v>478</v>
      </c>
      <c r="L167" s="57" t="s">
        <v>479</v>
      </c>
      <c r="M167" s="57" t="s">
        <v>1280</v>
      </c>
    </row>
    <row r="168" ht="56" spans="1:13">
      <c r="A168" s="178" t="str">
        <f t="shared" si="2"/>
        <v>Developing Others|Analyst|4</v>
      </c>
      <c r="B168" s="57" t="s">
        <v>453</v>
      </c>
      <c r="C168" s="177" t="s">
        <v>8</v>
      </c>
      <c r="D168" s="177">
        <v>4</v>
      </c>
      <c r="E168" s="177" t="s">
        <v>523</v>
      </c>
      <c r="F168" s="177">
        <v>2</v>
      </c>
      <c r="G168" s="57" t="s">
        <v>1281</v>
      </c>
      <c r="H168" s="57" t="s">
        <v>1282</v>
      </c>
      <c r="I168" s="57" t="s">
        <v>1283</v>
      </c>
      <c r="J168" s="57" t="s">
        <v>1284</v>
      </c>
      <c r="K168" s="57" t="s">
        <v>478</v>
      </c>
      <c r="L168" s="57" t="s">
        <v>479</v>
      </c>
      <c r="M168" s="57" t="s">
        <v>1285</v>
      </c>
    </row>
    <row r="169" ht="56" spans="1:13">
      <c r="A169" s="178" t="str">
        <f t="shared" si="2"/>
        <v>Developing Others|Analyst|4</v>
      </c>
      <c r="B169" s="57" t="s">
        <v>453</v>
      </c>
      <c r="C169" s="177" t="s">
        <v>8</v>
      </c>
      <c r="D169" s="177">
        <v>4</v>
      </c>
      <c r="E169" s="177" t="s">
        <v>523</v>
      </c>
      <c r="F169" s="177">
        <v>3</v>
      </c>
      <c r="G169" s="57" t="s">
        <v>1286</v>
      </c>
      <c r="H169" s="57" t="s">
        <v>1287</v>
      </c>
      <c r="I169" s="57" t="s">
        <v>1288</v>
      </c>
      <c r="J169" s="57" t="s">
        <v>1289</v>
      </c>
      <c r="K169" s="57" t="s">
        <v>478</v>
      </c>
      <c r="L169" s="57" t="s">
        <v>479</v>
      </c>
      <c r="M169" s="57" t="s">
        <v>1290</v>
      </c>
    </row>
    <row r="170" ht="70" spans="1:13">
      <c r="A170" s="178" t="str">
        <f t="shared" si="2"/>
        <v>Developing Others|Unit Head/Specialist|1</v>
      </c>
      <c r="B170" s="57" t="s">
        <v>453</v>
      </c>
      <c r="C170" s="177" t="s">
        <v>18</v>
      </c>
      <c r="D170" s="177">
        <v>1</v>
      </c>
      <c r="E170" s="177" t="s">
        <v>473</v>
      </c>
      <c r="F170" s="177">
        <v>1</v>
      </c>
      <c r="G170" s="57" t="s">
        <v>1291</v>
      </c>
      <c r="H170" s="57" t="s">
        <v>1292</v>
      </c>
      <c r="I170" s="57" t="s">
        <v>1293</v>
      </c>
      <c r="J170" s="57" t="s">
        <v>1294</v>
      </c>
      <c r="K170" s="57" t="s">
        <v>478</v>
      </c>
      <c r="L170" s="57" t="s">
        <v>479</v>
      </c>
      <c r="M170" s="57" t="s">
        <v>1295</v>
      </c>
    </row>
    <row r="171" ht="42" spans="1:13">
      <c r="A171" s="178" t="str">
        <f t="shared" si="2"/>
        <v>Developing Others|Unit Head/Specialist|1</v>
      </c>
      <c r="B171" s="57" t="s">
        <v>453</v>
      </c>
      <c r="C171" s="177" t="s">
        <v>18</v>
      </c>
      <c r="D171" s="177">
        <v>1</v>
      </c>
      <c r="E171" s="177" t="s">
        <v>473</v>
      </c>
      <c r="F171" s="177">
        <v>2</v>
      </c>
      <c r="G171" s="57" t="s">
        <v>1296</v>
      </c>
      <c r="H171" s="57" t="s">
        <v>1297</v>
      </c>
      <c r="I171" s="57" t="s">
        <v>1298</v>
      </c>
      <c r="J171" s="57" t="s">
        <v>1299</v>
      </c>
      <c r="K171" s="57" t="s">
        <v>478</v>
      </c>
      <c r="L171" s="57" t="s">
        <v>479</v>
      </c>
      <c r="M171" s="57" t="s">
        <v>1300</v>
      </c>
    </row>
    <row r="172" ht="56" spans="1:13">
      <c r="A172" s="178" t="str">
        <f t="shared" si="2"/>
        <v>Developing Others|Unit Head/Specialist|1</v>
      </c>
      <c r="B172" s="57" t="s">
        <v>453</v>
      </c>
      <c r="C172" s="177" t="s">
        <v>18</v>
      </c>
      <c r="D172" s="177">
        <v>1</v>
      </c>
      <c r="E172" s="177" t="s">
        <v>473</v>
      </c>
      <c r="F172" s="177">
        <v>3</v>
      </c>
      <c r="G172" s="57" t="s">
        <v>1301</v>
      </c>
      <c r="H172" s="57" t="s">
        <v>1302</v>
      </c>
      <c r="I172" s="57" t="s">
        <v>1303</v>
      </c>
      <c r="J172" s="57" t="s">
        <v>1304</v>
      </c>
      <c r="K172" s="57" t="s">
        <v>478</v>
      </c>
      <c r="L172" s="57" t="s">
        <v>479</v>
      </c>
      <c r="M172" s="57" t="s">
        <v>1305</v>
      </c>
    </row>
    <row r="173" ht="42" spans="1:13">
      <c r="A173" s="178" t="str">
        <f t="shared" si="2"/>
        <v>Developing Others|Unit Head/Specialist|2</v>
      </c>
      <c r="B173" s="57" t="s">
        <v>453</v>
      </c>
      <c r="C173" s="177" t="s">
        <v>18</v>
      </c>
      <c r="D173" s="177">
        <v>2</v>
      </c>
      <c r="E173" s="177" t="s">
        <v>491</v>
      </c>
      <c r="F173" s="177">
        <v>1</v>
      </c>
      <c r="G173" s="57" t="s">
        <v>1306</v>
      </c>
      <c r="H173" s="57" t="s">
        <v>1307</v>
      </c>
      <c r="I173" s="57" t="s">
        <v>1308</v>
      </c>
      <c r="J173" s="57" t="s">
        <v>1309</v>
      </c>
      <c r="K173" s="57" t="s">
        <v>478</v>
      </c>
      <c r="L173" s="57" t="s">
        <v>479</v>
      </c>
      <c r="M173" s="57" t="s">
        <v>1310</v>
      </c>
    </row>
    <row r="174" ht="42" spans="1:13">
      <c r="A174" s="178" t="str">
        <f t="shared" si="2"/>
        <v>Developing Others|Unit Head/Specialist|2</v>
      </c>
      <c r="B174" s="57" t="s">
        <v>453</v>
      </c>
      <c r="C174" s="177" t="s">
        <v>18</v>
      </c>
      <c r="D174" s="177">
        <v>2</v>
      </c>
      <c r="E174" s="177" t="s">
        <v>491</v>
      </c>
      <c r="F174" s="177">
        <v>2</v>
      </c>
      <c r="G174" s="57" t="s">
        <v>1311</v>
      </c>
      <c r="H174" s="57" t="s">
        <v>1312</v>
      </c>
      <c r="I174" s="57" t="s">
        <v>1313</v>
      </c>
      <c r="J174" s="57" t="s">
        <v>1314</v>
      </c>
      <c r="K174" s="57" t="s">
        <v>478</v>
      </c>
      <c r="L174" s="57" t="s">
        <v>479</v>
      </c>
      <c r="M174" s="57" t="s">
        <v>1315</v>
      </c>
    </row>
    <row r="175" ht="42" spans="1:13">
      <c r="A175" s="178" t="str">
        <f t="shared" si="2"/>
        <v>Developing Others|Unit Head/Specialist|2</v>
      </c>
      <c r="B175" s="57" t="s">
        <v>453</v>
      </c>
      <c r="C175" s="177" t="s">
        <v>18</v>
      </c>
      <c r="D175" s="177">
        <v>2</v>
      </c>
      <c r="E175" s="177" t="s">
        <v>491</v>
      </c>
      <c r="F175" s="177">
        <v>3</v>
      </c>
      <c r="G175" s="57" t="s">
        <v>1316</v>
      </c>
      <c r="H175" s="57" t="s">
        <v>1317</v>
      </c>
      <c r="I175" s="57" t="s">
        <v>1318</v>
      </c>
      <c r="J175" s="57" t="s">
        <v>1319</v>
      </c>
      <c r="K175" s="57" t="s">
        <v>478</v>
      </c>
      <c r="L175" s="57" t="s">
        <v>479</v>
      </c>
      <c r="M175" s="57" t="s">
        <v>1320</v>
      </c>
    </row>
    <row r="176" ht="42" spans="1:13">
      <c r="A176" s="178" t="str">
        <f t="shared" si="2"/>
        <v>Developing Others|Unit Head/Specialist|3</v>
      </c>
      <c r="B176" s="57" t="s">
        <v>453</v>
      </c>
      <c r="C176" s="177" t="s">
        <v>18</v>
      </c>
      <c r="D176" s="177">
        <v>3</v>
      </c>
      <c r="E176" s="177" t="s">
        <v>507</v>
      </c>
      <c r="F176" s="177">
        <v>1</v>
      </c>
      <c r="G176" s="57" t="s">
        <v>1321</v>
      </c>
      <c r="H176" s="57" t="s">
        <v>1322</v>
      </c>
      <c r="I176" s="57" t="s">
        <v>1323</v>
      </c>
      <c r="J176" s="57" t="s">
        <v>1324</v>
      </c>
      <c r="K176" s="57" t="s">
        <v>478</v>
      </c>
      <c r="L176" s="57" t="s">
        <v>479</v>
      </c>
      <c r="M176" s="57" t="s">
        <v>1325</v>
      </c>
    </row>
    <row r="177" ht="70" spans="1:13">
      <c r="A177" s="178" t="str">
        <f t="shared" si="2"/>
        <v>Developing Others|Unit Head/Specialist|3</v>
      </c>
      <c r="B177" s="57" t="s">
        <v>453</v>
      </c>
      <c r="C177" s="177" t="s">
        <v>18</v>
      </c>
      <c r="D177" s="177">
        <v>3</v>
      </c>
      <c r="E177" s="177" t="s">
        <v>507</v>
      </c>
      <c r="F177" s="177">
        <v>2</v>
      </c>
      <c r="G177" s="57" t="s">
        <v>632</v>
      </c>
      <c r="H177" s="57" t="s">
        <v>1326</v>
      </c>
      <c r="I177" s="57" t="s">
        <v>1327</v>
      </c>
      <c r="J177" s="57" t="s">
        <v>1328</v>
      </c>
      <c r="K177" s="57" t="s">
        <v>478</v>
      </c>
      <c r="L177" s="57" t="s">
        <v>479</v>
      </c>
      <c r="M177" s="57" t="s">
        <v>1329</v>
      </c>
    </row>
    <row r="178" ht="56" spans="1:13">
      <c r="A178" s="178" t="str">
        <f t="shared" si="2"/>
        <v>Developing Others|Unit Head/Specialist|3</v>
      </c>
      <c r="B178" s="57" t="s">
        <v>453</v>
      </c>
      <c r="C178" s="177" t="s">
        <v>18</v>
      </c>
      <c r="D178" s="177">
        <v>3</v>
      </c>
      <c r="E178" s="177" t="s">
        <v>507</v>
      </c>
      <c r="F178" s="177">
        <v>3</v>
      </c>
      <c r="G178" s="57" t="s">
        <v>1330</v>
      </c>
      <c r="H178" s="57" t="s">
        <v>1331</v>
      </c>
      <c r="I178" s="57" t="s">
        <v>1332</v>
      </c>
      <c r="J178" s="57" t="s">
        <v>581</v>
      </c>
      <c r="K178" s="57" t="s">
        <v>478</v>
      </c>
      <c r="L178" s="57" t="s">
        <v>479</v>
      </c>
      <c r="M178" s="57" t="s">
        <v>582</v>
      </c>
    </row>
    <row r="179" ht="42" spans="1:13">
      <c r="A179" s="178" t="str">
        <f t="shared" si="2"/>
        <v>Developing Others|Unit Head/Specialist|4</v>
      </c>
      <c r="B179" s="57" t="s">
        <v>453</v>
      </c>
      <c r="C179" s="177" t="s">
        <v>18</v>
      </c>
      <c r="D179" s="177">
        <v>4</v>
      </c>
      <c r="E179" s="177" t="s">
        <v>523</v>
      </c>
      <c r="F179" s="177">
        <v>1</v>
      </c>
      <c r="G179" s="57" t="s">
        <v>1333</v>
      </c>
      <c r="H179" s="57" t="s">
        <v>1334</v>
      </c>
      <c r="I179" s="57" t="s">
        <v>1335</v>
      </c>
      <c r="J179" s="57" t="s">
        <v>1336</v>
      </c>
      <c r="K179" s="57" t="s">
        <v>478</v>
      </c>
      <c r="L179" s="57" t="s">
        <v>479</v>
      </c>
      <c r="M179" s="57" t="s">
        <v>1337</v>
      </c>
    </row>
    <row r="180" ht="56" spans="1:13">
      <c r="A180" s="178" t="str">
        <f t="shared" si="2"/>
        <v>Developing Others|Unit Head/Specialist|4</v>
      </c>
      <c r="B180" s="57" t="s">
        <v>453</v>
      </c>
      <c r="C180" s="177" t="s">
        <v>18</v>
      </c>
      <c r="D180" s="177">
        <v>4</v>
      </c>
      <c r="E180" s="177" t="s">
        <v>523</v>
      </c>
      <c r="F180" s="177">
        <v>2</v>
      </c>
      <c r="G180" s="57" t="s">
        <v>1338</v>
      </c>
      <c r="H180" s="57" t="s">
        <v>1339</v>
      </c>
      <c r="I180" s="57" t="s">
        <v>1340</v>
      </c>
      <c r="J180" s="57" t="s">
        <v>1341</v>
      </c>
      <c r="K180" s="57" t="s">
        <v>478</v>
      </c>
      <c r="L180" s="57" t="s">
        <v>479</v>
      </c>
      <c r="M180" s="57" t="s">
        <v>1342</v>
      </c>
    </row>
    <row r="181" ht="56" spans="1:13">
      <c r="A181" s="178" t="str">
        <f t="shared" si="2"/>
        <v>Developing Others|Unit Head/Specialist|4</v>
      </c>
      <c r="B181" s="57" t="s">
        <v>453</v>
      </c>
      <c r="C181" s="177" t="s">
        <v>18</v>
      </c>
      <c r="D181" s="177">
        <v>4</v>
      </c>
      <c r="E181" s="177" t="s">
        <v>523</v>
      </c>
      <c r="F181" s="177">
        <v>3</v>
      </c>
      <c r="G181" s="57" t="s">
        <v>1343</v>
      </c>
      <c r="H181" s="57" t="s">
        <v>1344</v>
      </c>
      <c r="I181" s="57" t="s">
        <v>1345</v>
      </c>
      <c r="J181" s="57" t="s">
        <v>1346</v>
      </c>
      <c r="K181" s="57" t="s">
        <v>478</v>
      </c>
      <c r="L181" s="57" t="s">
        <v>479</v>
      </c>
      <c r="M181" s="57" t="s">
        <v>1347</v>
      </c>
    </row>
    <row r="182" ht="70" spans="1:13">
      <c r="A182" s="178" t="str">
        <f t="shared" si="2"/>
        <v>Developing Others|Department Head|1</v>
      </c>
      <c r="B182" s="57" t="s">
        <v>453</v>
      </c>
      <c r="C182" s="177" t="s">
        <v>655</v>
      </c>
      <c r="D182" s="177">
        <v>1</v>
      </c>
      <c r="E182" s="177" t="s">
        <v>473</v>
      </c>
      <c r="F182" s="177">
        <v>1</v>
      </c>
      <c r="G182" s="57" t="s">
        <v>1348</v>
      </c>
      <c r="H182" s="57" t="s">
        <v>1349</v>
      </c>
      <c r="I182" s="57" t="s">
        <v>1350</v>
      </c>
      <c r="J182" s="57" t="s">
        <v>1351</v>
      </c>
      <c r="K182" s="57" t="s">
        <v>478</v>
      </c>
      <c r="L182" s="57" t="s">
        <v>479</v>
      </c>
      <c r="M182" s="57" t="s">
        <v>1352</v>
      </c>
    </row>
    <row r="183" ht="56" spans="1:13">
      <c r="A183" s="178" t="str">
        <f t="shared" si="2"/>
        <v>Developing Others|Department Head|1</v>
      </c>
      <c r="B183" s="57" t="s">
        <v>453</v>
      </c>
      <c r="C183" s="177" t="s">
        <v>655</v>
      </c>
      <c r="D183" s="177">
        <v>1</v>
      </c>
      <c r="E183" s="177" t="s">
        <v>473</v>
      </c>
      <c r="F183" s="177">
        <v>2</v>
      </c>
      <c r="G183" s="57" t="s">
        <v>1353</v>
      </c>
      <c r="H183" s="57" t="s">
        <v>1354</v>
      </c>
      <c r="I183" s="57" t="s">
        <v>1355</v>
      </c>
      <c r="J183" s="57" t="s">
        <v>1356</v>
      </c>
      <c r="K183" s="57" t="s">
        <v>478</v>
      </c>
      <c r="L183" s="57" t="s">
        <v>479</v>
      </c>
      <c r="M183" s="57" t="s">
        <v>1357</v>
      </c>
    </row>
    <row r="184" ht="56" spans="1:13">
      <c r="A184" s="178" t="str">
        <f t="shared" si="2"/>
        <v>Developing Others|Department Head|1</v>
      </c>
      <c r="B184" s="57" t="s">
        <v>453</v>
      </c>
      <c r="C184" s="177" t="s">
        <v>655</v>
      </c>
      <c r="D184" s="177">
        <v>1</v>
      </c>
      <c r="E184" s="177" t="s">
        <v>473</v>
      </c>
      <c r="F184" s="177">
        <v>3</v>
      </c>
      <c r="G184" s="57" t="s">
        <v>1358</v>
      </c>
      <c r="H184" s="57" t="s">
        <v>1359</v>
      </c>
      <c r="I184" s="57" t="s">
        <v>1360</v>
      </c>
      <c r="J184" s="57" t="s">
        <v>1361</v>
      </c>
      <c r="K184" s="57" t="s">
        <v>478</v>
      </c>
      <c r="L184" s="57" t="s">
        <v>479</v>
      </c>
      <c r="M184" s="57" t="s">
        <v>1362</v>
      </c>
    </row>
    <row r="185" ht="42" spans="1:13">
      <c r="A185" s="178" t="str">
        <f t="shared" si="2"/>
        <v>Developing Others|Department Head|2</v>
      </c>
      <c r="B185" s="57" t="s">
        <v>453</v>
      </c>
      <c r="C185" s="177" t="s">
        <v>655</v>
      </c>
      <c r="D185" s="177">
        <v>2</v>
      </c>
      <c r="E185" s="177" t="s">
        <v>491</v>
      </c>
      <c r="F185" s="177">
        <v>1</v>
      </c>
      <c r="G185" s="57" t="s">
        <v>1363</v>
      </c>
      <c r="H185" s="57" t="s">
        <v>1364</v>
      </c>
      <c r="I185" s="57" t="s">
        <v>1365</v>
      </c>
      <c r="J185" s="57" t="s">
        <v>1366</v>
      </c>
      <c r="K185" s="57" t="s">
        <v>478</v>
      </c>
      <c r="L185" s="57" t="s">
        <v>479</v>
      </c>
      <c r="M185" s="57" t="s">
        <v>617</v>
      </c>
    </row>
    <row r="186" ht="42" spans="1:13">
      <c r="A186" s="178" t="str">
        <f t="shared" si="2"/>
        <v>Developing Others|Department Head|2</v>
      </c>
      <c r="B186" s="57" t="s">
        <v>453</v>
      </c>
      <c r="C186" s="177" t="s">
        <v>655</v>
      </c>
      <c r="D186" s="177">
        <v>2</v>
      </c>
      <c r="E186" s="177" t="s">
        <v>491</v>
      </c>
      <c r="F186" s="177">
        <v>2</v>
      </c>
      <c r="G186" s="57" t="s">
        <v>1367</v>
      </c>
      <c r="H186" s="57" t="s">
        <v>1368</v>
      </c>
      <c r="I186" s="57" t="s">
        <v>1369</v>
      </c>
      <c r="J186" s="57" t="s">
        <v>1370</v>
      </c>
      <c r="K186" s="57" t="s">
        <v>478</v>
      </c>
      <c r="L186" s="57" t="s">
        <v>479</v>
      </c>
      <c r="M186" s="57" t="s">
        <v>1371</v>
      </c>
    </row>
    <row r="187" ht="56" spans="1:13">
      <c r="A187" s="178" t="str">
        <f t="shared" si="2"/>
        <v>Developing Others|Department Head|2</v>
      </c>
      <c r="B187" s="57" t="s">
        <v>453</v>
      </c>
      <c r="C187" s="177" t="s">
        <v>655</v>
      </c>
      <c r="D187" s="177">
        <v>2</v>
      </c>
      <c r="E187" s="177" t="s">
        <v>491</v>
      </c>
      <c r="F187" s="177">
        <v>3</v>
      </c>
      <c r="G187" s="57" t="s">
        <v>1372</v>
      </c>
      <c r="H187" s="57" t="s">
        <v>1373</v>
      </c>
      <c r="I187" s="57" t="s">
        <v>1374</v>
      </c>
      <c r="J187" s="57" t="s">
        <v>1375</v>
      </c>
      <c r="K187" s="57" t="s">
        <v>478</v>
      </c>
      <c r="L187" s="57" t="s">
        <v>479</v>
      </c>
      <c r="M187" s="57" t="s">
        <v>1376</v>
      </c>
    </row>
    <row r="188" ht="42" spans="1:13">
      <c r="A188" s="178" t="str">
        <f t="shared" si="2"/>
        <v>Developing Others|Department Head|3</v>
      </c>
      <c r="B188" s="57" t="s">
        <v>453</v>
      </c>
      <c r="C188" s="177" t="s">
        <v>655</v>
      </c>
      <c r="D188" s="177">
        <v>3</v>
      </c>
      <c r="E188" s="177" t="s">
        <v>507</v>
      </c>
      <c r="F188" s="177">
        <v>1</v>
      </c>
      <c r="G188" s="57" t="s">
        <v>1377</v>
      </c>
      <c r="H188" s="57" t="s">
        <v>1378</v>
      </c>
      <c r="I188" s="57" t="s">
        <v>1379</v>
      </c>
      <c r="J188" s="57" t="s">
        <v>1380</v>
      </c>
      <c r="K188" s="57" t="s">
        <v>478</v>
      </c>
      <c r="L188" s="57" t="s">
        <v>479</v>
      </c>
      <c r="M188" s="57" t="s">
        <v>1381</v>
      </c>
    </row>
    <row r="189" ht="56" spans="1:13">
      <c r="A189" s="178" t="str">
        <f t="shared" si="2"/>
        <v>Developing Others|Department Head|3</v>
      </c>
      <c r="B189" s="57" t="s">
        <v>453</v>
      </c>
      <c r="C189" s="177" t="s">
        <v>655</v>
      </c>
      <c r="D189" s="177">
        <v>3</v>
      </c>
      <c r="E189" s="177" t="s">
        <v>507</v>
      </c>
      <c r="F189" s="177">
        <v>2</v>
      </c>
      <c r="G189" s="57" t="s">
        <v>1382</v>
      </c>
      <c r="H189" s="57" t="s">
        <v>1383</v>
      </c>
      <c r="I189" s="57" t="s">
        <v>1384</v>
      </c>
      <c r="J189" s="57" t="s">
        <v>929</v>
      </c>
      <c r="K189" s="57" t="s">
        <v>478</v>
      </c>
      <c r="L189" s="57" t="s">
        <v>479</v>
      </c>
      <c r="M189" s="57" t="s">
        <v>1385</v>
      </c>
    </row>
    <row r="190" ht="56" spans="1:13">
      <c r="A190" s="178" t="str">
        <f t="shared" si="2"/>
        <v>Developing Others|Department Head|3</v>
      </c>
      <c r="B190" s="57" t="s">
        <v>453</v>
      </c>
      <c r="C190" s="177" t="s">
        <v>655</v>
      </c>
      <c r="D190" s="177">
        <v>3</v>
      </c>
      <c r="E190" s="177" t="s">
        <v>507</v>
      </c>
      <c r="F190" s="177">
        <v>3</v>
      </c>
      <c r="G190" s="57" t="s">
        <v>1386</v>
      </c>
      <c r="H190" s="57" t="s">
        <v>1387</v>
      </c>
      <c r="I190" s="57" t="s">
        <v>1388</v>
      </c>
      <c r="J190" s="57" t="s">
        <v>581</v>
      </c>
      <c r="K190" s="57" t="s">
        <v>478</v>
      </c>
      <c r="L190" s="57" t="s">
        <v>479</v>
      </c>
      <c r="M190" s="57" t="s">
        <v>1389</v>
      </c>
    </row>
    <row r="191" ht="70" spans="1:13">
      <c r="A191" s="178" t="str">
        <f t="shared" si="2"/>
        <v>Developing Others|Department Head|4</v>
      </c>
      <c r="B191" s="57" t="s">
        <v>453</v>
      </c>
      <c r="C191" s="177" t="s">
        <v>655</v>
      </c>
      <c r="D191" s="177">
        <v>4</v>
      </c>
      <c r="E191" s="177" t="s">
        <v>523</v>
      </c>
      <c r="F191" s="177">
        <v>1</v>
      </c>
      <c r="G191" s="57" t="s">
        <v>1390</v>
      </c>
      <c r="H191" s="57" t="s">
        <v>1391</v>
      </c>
      <c r="I191" s="57" t="s">
        <v>1392</v>
      </c>
      <c r="J191" s="57" t="s">
        <v>1393</v>
      </c>
      <c r="K191" s="57" t="s">
        <v>478</v>
      </c>
      <c r="L191" s="57" t="s">
        <v>479</v>
      </c>
      <c r="M191" s="57" t="s">
        <v>1394</v>
      </c>
    </row>
    <row r="192" ht="56" spans="1:13">
      <c r="A192" s="178" t="str">
        <f t="shared" si="2"/>
        <v>Developing Others|Department Head|4</v>
      </c>
      <c r="B192" s="57" t="s">
        <v>453</v>
      </c>
      <c r="C192" s="177" t="s">
        <v>655</v>
      </c>
      <c r="D192" s="177">
        <v>4</v>
      </c>
      <c r="E192" s="177" t="s">
        <v>523</v>
      </c>
      <c r="F192" s="177">
        <v>2</v>
      </c>
      <c r="G192" s="57" t="s">
        <v>1395</v>
      </c>
      <c r="H192" s="57" t="s">
        <v>1396</v>
      </c>
      <c r="I192" s="57" t="s">
        <v>1397</v>
      </c>
      <c r="J192" s="57" t="s">
        <v>1398</v>
      </c>
      <c r="K192" s="57" t="s">
        <v>478</v>
      </c>
      <c r="L192" s="57" t="s">
        <v>479</v>
      </c>
      <c r="M192" s="57" t="s">
        <v>1399</v>
      </c>
    </row>
    <row r="193" ht="56" spans="1:13">
      <c r="A193" s="178" t="str">
        <f t="shared" si="2"/>
        <v>Developing Others|Department Head|4</v>
      </c>
      <c r="B193" s="57" t="s">
        <v>453</v>
      </c>
      <c r="C193" s="177" t="s">
        <v>655</v>
      </c>
      <c r="D193" s="177">
        <v>4</v>
      </c>
      <c r="E193" s="177" t="s">
        <v>523</v>
      </c>
      <c r="F193" s="177">
        <v>3</v>
      </c>
      <c r="G193" s="57" t="s">
        <v>1400</v>
      </c>
      <c r="H193" s="57" t="s">
        <v>1401</v>
      </c>
      <c r="I193" s="57" t="s">
        <v>1402</v>
      </c>
      <c r="J193" s="57" t="s">
        <v>1403</v>
      </c>
      <c r="K193" s="57" t="s">
        <v>478</v>
      </c>
      <c r="L193" s="57" t="s">
        <v>479</v>
      </c>
      <c r="M193" s="57" t="s">
        <v>1404</v>
      </c>
    </row>
    <row r="194" ht="112" spans="1:13">
      <c r="A194" s="178" t="str">
        <f t="shared" si="2"/>
        <v>Developing Others|Division Head|1</v>
      </c>
      <c r="B194" s="57" t="s">
        <v>453</v>
      </c>
      <c r="C194" s="177" t="s">
        <v>712</v>
      </c>
      <c r="D194" s="177">
        <v>1</v>
      </c>
      <c r="E194" s="177" t="s">
        <v>473</v>
      </c>
      <c r="F194" s="177">
        <v>1</v>
      </c>
      <c r="G194" s="57" t="s">
        <v>1405</v>
      </c>
      <c r="H194" s="57" t="s">
        <v>1406</v>
      </c>
      <c r="I194" s="57" t="s">
        <v>1407</v>
      </c>
      <c r="J194" s="57" t="s">
        <v>1408</v>
      </c>
      <c r="K194" s="57" t="s">
        <v>478</v>
      </c>
      <c r="L194" s="57" t="s">
        <v>479</v>
      </c>
      <c r="M194" s="57" t="s">
        <v>1409</v>
      </c>
    </row>
    <row r="195" ht="84" spans="1:13">
      <c r="A195" s="178" t="str">
        <f t="shared" ref="A195:A258" si="3">B195&amp;"|"&amp;C195&amp;"|"&amp;D195</f>
        <v>Developing Others|Division Head|1</v>
      </c>
      <c r="B195" s="57" t="s">
        <v>453</v>
      </c>
      <c r="C195" s="177" t="s">
        <v>712</v>
      </c>
      <c r="D195" s="177">
        <v>1</v>
      </c>
      <c r="E195" s="177" t="s">
        <v>473</v>
      </c>
      <c r="F195" s="177">
        <v>2</v>
      </c>
      <c r="G195" s="57" t="s">
        <v>1410</v>
      </c>
      <c r="H195" s="57" t="s">
        <v>1411</v>
      </c>
      <c r="I195" s="57" t="s">
        <v>1412</v>
      </c>
      <c r="J195" s="57" t="s">
        <v>1413</v>
      </c>
      <c r="K195" s="57" t="s">
        <v>478</v>
      </c>
      <c r="L195" s="57" t="s">
        <v>479</v>
      </c>
      <c r="M195" s="57" t="s">
        <v>1414</v>
      </c>
    </row>
    <row r="196" ht="84" spans="1:13">
      <c r="A196" s="178" t="str">
        <f t="shared" si="3"/>
        <v>Developing Others|Division Head|1</v>
      </c>
      <c r="B196" s="57" t="s">
        <v>453</v>
      </c>
      <c r="C196" s="177" t="s">
        <v>712</v>
      </c>
      <c r="D196" s="177">
        <v>1</v>
      </c>
      <c r="E196" s="177" t="s">
        <v>473</v>
      </c>
      <c r="F196" s="177">
        <v>3</v>
      </c>
      <c r="G196" s="57" t="s">
        <v>1415</v>
      </c>
      <c r="H196" s="57" t="s">
        <v>1416</v>
      </c>
      <c r="I196" s="57" t="s">
        <v>1417</v>
      </c>
      <c r="J196" s="57" t="s">
        <v>1418</v>
      </c>
      <c r="K196" s="57" t="s">
        <v>478</v>
      </c>
      <c r="L196" s="57" t="s">
        <v>479</v>
      </c>
      <c r="M196" s="57" t="s">
        <v>1419</v>
      </c>
    </row>
    <row r="197" ht="84" spans="1:13">
      <c r="A197" s="178" t="str">
        <f t="shared" si="3"/>
        <v>Developing Others|Division Head|2</v>
      </c>
      <c r="B197" s="57" t="s">
        <v>453</v>
      </c>
      <c r="C197" s="177" t="s">
        <v>712</v>
      </c>
      <c r="D197" s="177">
        <v>2</v>
      </c>
      <c r="E197" s="177" t="s">
        <v>491</v>
      </c>
      <c r="F197" s="177">
        <v>1</v>
      </c>
      <c r="G197" s="57" t="s">
        <v>1420</v>
      </c>
      <c r="H197" s="57" t="s">
        <v>1421</v>
      </c>
      <c r="I197" s="57" t="s">
        <v>1422</v>
      </c>
      <c r="J197" s="57" t="s">
        <v>1423</v>
      </c>
      <c r="K197" s="57" t="s">
        <v>478</v>
      </c>
      <c r="L197" s="57" t="s">
        <v>479</v>
      </c>
      <c r="M197" s="57" t="s">
        <v>1424</v>
      </c>
    </row>
    <row r="198" ht="70" spans="1:13">
      <c r="A198" s="178" t="str">
        <f t="shared" si="3"/>
        <v>Developing Others|Division Head|2</v>
      </c>
      <c r="B198" s="57" t="s">
        <v>453</v>
      </c>
      <c r="C198" s="177" t="s">
        <v>712</v>
      </c>
      <c r="D198" s="177">
        <v>2</v>
      </c>
      <c r="E198" s="177" t="s">
        <v>491</v>
      </c>
      <c r="F198" s="177">
        <v>2</v>
      </c>
      <c r="G198" s="57" t="s">
        <v>1425</v>
      </c>
      <c r="H198" s="57" t="s">
        <v>1426</v>
      </c>
      <c r="I198" s="57" t="s">
        <v>1427</v>
      </c>
      <c r="J198" s="57" t="s">
        <v>1428</v>
      </c>
      <c r="K198" s="57" t="s">
        <v>478</v>
      </c>
      <c r="L198" s="57" t="s">
        <v>479</v>
      </c>
      <c r="M198" s="57" t="s">
        <v>1429</v>
      </c>
    </row>
    <row r="199" ht="70" spans="1:13">
      <c r="A199" s="178" t="str">
        <f t="shared" si="3"/>
        <v>Developing Others|Division Head|2</v>
      </c>
      <c r="B199" s="57" t="s">
        <v>453</v>
      </c>
      <c r="C199" s="177" t="s">
        <v>712</v>
      </c>
      <c r="D199" s="177">
        <v>2</v>
      </c>
      <c r="E199" s="177" t="s">
        <v>491</v>
      </c>
      <c r="F199" s="177">
        <v>3</v>
      </c>
      <c r="G199" s="57" t="s">
        <v>1430</v>
      </c>
      <c r="H199" s="57" t="s">
        <v>1431</v>
      </c>
      <c r="I199" s="57" t="s">
        <v>1432</v>
      </c>
      <c r="J199" s="57" t="s">
        <v>1433</v>
      </c>
      <c r="K199" s="57" t="s">
        <v>478</v>
      </c>
      <c r="L199" s="57" t="s">
        <v>479</v>
      </c>
      <c r="M199" s="57" t="s">
        <v>1434</v>
      </c>
    </row>
    <row r="200" ht="112" spans="1:13">
      <c r="A200" s="178" t="str">
        <f t="shared" si="3"/>
        <v>Developing Others|Division Head|3</v>
      </c>
      <c r="B200" s="57" t="s">
        <v>453</v>
      </c>
      <c r="C200" s="177" t="s">
        <v>712</v>
      </c>
      <c r="D200" s="177">
        <v>3</v>
      </c>
      <c r="E200" s="177" t="s">
        <v>507</v>
      </c>
      <c r="F200" s="177">
        <v>1</v>
      </c>
      <c r="G200" s="57" t="s">
        <v>1435</v>
      </c>
      <c r="H200" s="57" t="s">
        <v>1436</v>
      </c>
      <c r="I200" s="57" t="s">
        <v>1437</v>
      </c>
      <c r="J200" s="57" t="s">
        <v>1438</v>
      </c>
      <c r="K200" s="57" t="s">
        <v>478</v>
      </c>
      <c r="L200" s="57" t="s">
        <v>479</v>
      </c>
      <c r="M200" s="57" t="s">
        <v>1439</v>
      </c>
    </row>
    <row r="201" ht="98" spans="1:13">
      <c r="A201" s="178" t="str">
        <f t="shared" si="3"/>
        <v>Developing Others|Division Head|3</v>
      </c>
      <c r="B201" s="57" t="s">
        <v>453</v>
      </c>
      <c r="C201" s="177" t="s">
        <v>712</v>
      </c>
      <c r="D201" s="177">
        <v>3</v>
      </c>
      <c r="E201" s="177" t="s">
        <v>507</v>
      </c>
      <c r="F201" s="177">
        <v>2</v>
      </c>
      <c r="G201" s="57" t="s">
        <v>1440</v>
      </c>
      <c r="H201" s="57" t="s">
        <v>1441</v>
      </c>
      <c r="I201" s="57" t="s">
        <v>1442</v>
      </c>
      <c r="J201" s="57" t="s">
        <v>1443</v>
      </c>
      <c r="K201" s="57" t="s">
        <v>478</v>
      </c>
      <c r="L201" s="57" t="s">
        <v>479</v>
      </c>
      <c r="M201" s="57" t="s">
        <v>1444</v>
      </c>
    </row>
    <row r="202" ht="126" spans="1:13">
      <c r="A202" s="178" t="str">
        <f t="shared" si="3"/>
        <v>Developing Others|Division Head|3</v>
      </c>
      <c r="B202" s="57" t="s">
        <v>453</v>
      </c>
      <c r="C202" s="177" t="s">
        <v>712</v>
      </c>
      <c r="D202" s="177">
        <v>3</v>
      </c>
      <c r="E202" s="177" t="s">
        <v>507</v>
      </c>
      <c r="F202" s="177">
        <v>3</v>
      </c>
      <c r="G202" s="57" t="s">
        <v>1445</v>
      </c>
      <c r="H202" s="57" t="s">
        <v>1446</v>
      </c>
      <c r="I202" s="57" t="s">
        <v>1447</v>
      </c>
      <c r="J202" s="57" t="s">
        <v>1448</v>
      </c>
      <c r="K202" s="57" t="s">
        <v>478</v>
      </c>
      <c r="L202" s="57" t="s">
        <v>479</v>
      </c>
      <c r="M202" s="57" t="s">
        <v>757</v>
      </c>
    </row>
    <row r="203" ht="98" spans="1:13">
      <c r="A203" s="178" t="str">
        <f t="shared" si="3"/>
        <v>Developing Others|Division Head|4</v>
      </c>
      <c r="B203" s="57" t="s">
        <v>453</v>
      </c>
      <c r="C203" s="177" t="s">
        <v>712</v>
      </c>
      <c r="D203" s="177">
        <v>4</v>
      </c>
      <c r="E203" s="177" t="s">
        <v>523</v>
      </c>
      <c r="F203" s="177">
        <v>1</v>
      </c>
      <c r="G203" s="57" t="s">
        <v>1449</v>
      </c>
      <c r="H203" s="57" t="s">
        <v>1450</v>
      </c>
      <c r="I203" s="57" t="s">
        <v>1451</v>
      </c>
      <c r="J203" s="57" t="s">
        <v>1452</v>
      </c>
      <c r="K203" s="57" t="s">
        <v>478</v>
      </c>
      <c r="L203" s="57" t="s">
        <v>479</v>
      </c>
      <c r="M203" s="57" t="s">
        <v>1453</v>
      </c>
    </row>
    <row r="204" ht="126" spans="1:13">
      <c r="A204" s="178" t="str">
        <f t="shared" si="3"/>
        <v>Developing Others|Division Head|4</v>
      </c>
      <c r="B204" s="57" t="s">
        <v>453</v>
      </c>
      <c r="C204" s="177" t="s">
        <v>712</v>
      </c>
      <c r="D204" s="177">
        <v>4</v>
      </c>
      <c r="E204" s="177" t="s">
        <v>523</v>
      </c>
      <c r="F204" s="177">
        <v>2</v>
      </c>
      <c r="G204" s="57" t="s">
        <v>1454</v>
      </c>
      <c r="H204" s="57" t="s">
        <v>1455</v>
      </c>
      <c r="I204" s="57" t="s">
        <v>1456</v>
      </c>
      <c r="J204" s="57" t="s">
        <v>1457</v>
      </c>
      <c r="K204" s="57" t="s">
        <v>478</v>
      </c>
      <c r="L204" s="57" t="s">
        <v>479</v>
      </c>
      <c r="M204" s="57" t="s">
        <v>1458</v>
      </c>
    </row>
    <row r="205" ht="112" spans="1:13">
      <c r="A205" s="178" t="str">
        <f t="shared" si="3"/>
        <v>Developing Others|Division Head|4</v>
      </c>
      <c r="B205" s="57" t="s">
        <v>453</v>
      </c>
      <c r="C205" s="177" t="s">
        <v>712</v>
      </c>
      <c r="D205" s="177">
        <v>4</v>
      </c>
      <c r="E205" s="177" t="s">
        <v>523</v>
      </c>
      <c r="F205" s="177">
        <v>3</v>
      </c>
      <c r="G205" s="57" t="s">
        <v>1459</v>
      </c>
      <c r="H205" s="57" t="s">
        <v>1460</v>
      </c>
      <c r="I205" s="57" t="s">
        <v>1461</v>
      </c>
      <c r="J205" s="57" t="s">
        <v>1462</v>
      </c>
      <c r="K205" s="57" t="s">
        <v>478</v>
      </c>
      <c r="L205" s="57" t="s">
        <v>479</v>
      </c>
      <c r="M205" s="57" t="s">
        <v>1463</v>
      </c>
    </row>
    <row r="206" ht="70" spans="1:13">
      <c r="A206" s="178" t="str">
        <f t="shared" si="3"/>
        <v>Developing Others|Director|1</v>
      </c>
      <c r="B206" s="57" t="s">
        <v>453</v>
      </c>
      <c r="C206" s="177" t="s">
        <v>773</v>
      </c>
      <c r="D206" s="177">
        <v>1</v>
      </c>
      <c r="E206" s="177" t="s">
        <v>473</v>
      </c>
      <c r="F206" s="177">
        <v>1</v>
      </c>
      <c r="G206" s="57" t="s">
        <v>1464</v>
      </c>
      <c r="H206" s="57" t="s">
        <v>1465</v>
      </c>
      <c r="I206" s="57" t="s">
        <v>1466</v>
      </c>
      <c r="J206" s="57" t="s">
        <v>1467</v>
      </c>
      <c r="K206" s="57" t="s">
        <v>478</v>
      </c>
      <c r="L206" s="57" t="s">
        <v>479</v>
      </c>
      <c r="M206" s="57" t="s">
        <v>1468</v>
      </c>
    </row>
    <row r="207" ht="56" spans="1:13">
      <c r="A207" s="178" t="str">
        <f t="shared" si="3"/>
        <v>Developing Others|Director|1</v>
      </c>
      <c r="B207" s="57" t="s">
        <v>453</v>
      </c>
      <c r="C207" s="177" t="s">
        <v>773</v>
      </c>
      <c r="D207" s="177">
        <v>1</v>
      </c>
      <c r="E207" s="177" t="s">
        <v>473</v>
      </c>
      <c r="F207" s="177">
        <v>2</v>
      </c>
      <c r="G207" s="57" t="s">
        <v>1469</v>
      </c>
      <c r="H207" s="57" t="s">
        <v>1470</v>
      </c>
      <c r="I207" s="57" t="s">
        <v>1471</v>
      </c>
      <c r="J207" s="57" t="s">
        <v>1472</v>
      </c>
      <c r="K207" s="57" t="s">
        <v>478</v>
      </c>
      <c r="L207" s="57" t="s">
        <v>479</v>
      </c>
      <c r="M207" s="57" t="s">
        <v>1473</v>
      </c>
    </row>
    <row r="208" ht="56" spans="1:13">
      <c r="A208" s="178" t="str">
        <f t="shared" si="3"/>
        <v>Developing Others|Director|1</v>
      </c>
      <c r="B208" s="57" t="s">
        <v>453</v>
      </c>
      <c r="C208" s="177" t="s">
        <v>773</v>
      </c>
      <c r="D208" s="177">
        <v>1</v>
      </c>
      <c r="E208" s="177" t="s">
        <v>473</v>
      </c>
      <c r="F208" s="177">
        <v>3</v>
      </c>
      <c r="G208" s="57" t="s">
        <v>1474</v>
      </c>
      <c r="H208" s="57" t="s">
        <v>1475</v>
      </c>
      <c r="I208" s="57" t="s">
        <v>1476</v>
      </c>
      <c r="J208" s="57" t="s">
        <v>1477</v>
      </c>
      <c r="K208" s="57" t="s">
        <v>478</v>
      </c>
      <c r="L208" s="57" t="s">
        <v>479</v>
      </c>
      <c r="M208" s="57" t="s">
        <v>1478</v>
      </c>
    </row>
    <row r="209" ht="56" spans="1:13">
      <c r="A209" s="178" t="str">
        <f t="shared" si="3"/>
        <v>Developing Others|Director|2</v>
      </c>
      <c r="B209" s="57" t="s">
        <v>453</v>
      </c>
      <c r="C209" s="177" t="s">
        <v>773</v>
      </c>
      <c r="D209" s="177">
        <v>2</v>
      </c>
      <c r="E209" s="177" t="s">
        <v>491</v>
      </c>
      <c r="F209" s="177">
        <v>1</v>
      </c>
      <c r="G209" s="57" t="s">
        <v>1479</v>
      </c>
      <c r="H209" s="57" t="s">
        <v>1480</v>
      </c>
      <c r="I209" s="57" t="s">
        <v>1481</v>
      </c>
      <c r="J209" s="57" t="s">
        <v>1482</v>
      </c>
      <c r="K209" s="57" t="s">
        <v>478</v>
      </c>
      <c r="L209" s="57" t="s">
        <v>479</v>
      </c>
      <c r="M209" s="57" t="s">
        <v>1483</v>
      </c>
    </row>
    <row r="210" ht="42" spans="1:13">
      <c r="A210" s="178" t="str">
        <f t="shared" si="3"/>
        <v>Developing Others|Director|2</v>
      </c>
      <c r="B210" s="57" t="s">
        <v>453</v>
      </c>
      <c r="C210" s="177" t="s">
        <v>773</v>
      </c>
      <c r="D210" s="177">
        <v>2</v>
      </c>
      <c r="E210" s="177" t="s">
        <v>491</v>
      </c>
      <c r="F210" s="177">
        <v>2</v>
      </c>
      <c r="G210" s="57" t="s">
        <v>1484</v>
      </c>
      <c r="H210" s="57" t="s">
        <v>1485</v>
      </c>
      <c r="I210" s="57" t="s">
        <v>1486</v>
      </c>
      <c r="J210" s="57" t="s">
        <v>1487</v>
      </c>
      <c r="K210" s="57" t="s">
        <v>478</v>
      </c>
      <c r="L210" s="57" t="s">
        <v>479</v>
      </c>
      <c r="M210" s="57" t="s">
        <v>1488</v>
      </c>
    </row>
    <row r="211" ht="42" spans="1:13">
      <c r="A211" s="178" t="str">
        <f t="shared" si="3"/>
        <v>Developing Others|Director|2</v>
      </c>
      <c r="B211" s="57" t="s">
        <v>453</v>
      </c>
      <c r="C211" s="177" t="s">
        <v>773</v>
      </c>
      <c r="D211" s="177">
        <v>2</v>
      </c>
      <c r="E211" s="177" t="s">
        <v>491</v>
      </c>
      <c r="F211" s="177">
        <v>3</v>
      </c>
      <c r="G211" s="57" t="s">
        <v>1489</v>
      </c>
      <c r="H211" s="57" t="s">
        <v>1490</v>
      </c>
      <c r="I211" s="57" t="s">
        <v>1491</v>
      </c>
      <c r="J211" s="57" t="s">
        <v>1492</v>
      </c>
      <c r="K211" s="57" t="s">
        <v>478</v>
      </c>
      <c r="L211" s="57" t="s">
        <v>479</v>
      </c>
      <c r="M211" s="57" t="s">
        <v>1493</v>
      </c>
    </row>
    <row r="212" ht="70" spans="1:13">
      <c r="A212" s="178" t="str">
        <f t="shared" si="3"/>
        <v>Developing Others|Director|3</v>
      </c>
      <c r="B212" s="57" t="s">
        <v>453</v>
      </c>
      <c r="C212" s="177" t="s">
        <v>773</v>
      </c>
      <c r="D212" s="177">
        <v>3</v>
      </c>
      <c r="E212" s="177" t="s">
        <v>507</v>
      </c>
      <c r="F212" s="177">
        <v>1</v>
      </c>
      <c r="G212" s="57" t="s">
        <v>1494</v>
      </c>
      <c r="H212" s="57" t="s">
        <v>1495</v>
      </c>
      <c r="I212" s="57" t="s">
        <v>1496</v>
      </c>
      <c r="J212" s="57" t="s">
        <v>1497</v>
      </c>
      <c r="K212" s="57" t="s">
        <v>478</v>
      </c>
      <c r="L212" s="57" t="s">
        <v>479</v>
      </c>
      <c r="M212" s="57" t="s">
        <v>1498</v>
      </c>
    </row>
    <row r="213" ht="56" spans="1:13">
      <c r="A213" s="178" t="str">
        <f t="shared" si="3"/>
        <v>Developing Others|Director|3</v>
      </c>
      <c r="B213" s="57" t="s">
        <v>453</v>
      </c>
      <c r="C213" s="177" t="s">
        <v>773</v>
      </c>
      <c r="D213" s="177">
        <v>3</v>
      </c>
      <c r="E213" s="177" t="s">
        <v>507</v>
      </c>
      <c r="F213" s="177">
        <v>2</v>
      </c>
      <c r="G213" s="57" t="s">
        <v>1499</v>
      </c>
      <c r="H213" s="57" t="s">
        <v>1500</v>
      </c>
      <c r="I213" s="57" t="s">
        <v>1501</v>
      </c>
      <c r="J213" s="57" t="s">
        <v>1502</v>
      </c>
      <c r="K213" s="57" t="s">
        <v>478</v>
      </c>
      <c r="L213" s="57" t="s">
        <v>479</v>
      </c>
      <c r="M213" s="57" t="s">
        <v>1503</v>
      </c>
    </row>
    <row r="214" ht="70" spans="1:13">
      <c r="A214" s="178" t="str">
        <f t="shared" si="3"/>
        <v>Developing Others|Director|3</v>
      </c>
      <c r="B214" s="57" t="s">
        <v>453</v>
      </c>
      <c r="C214" s="177" t="s">
        <v>773</v>
      </c>
      <c r="D214" s="177">
        <v>3</v>
      </c>
      <c r="E214" s="177" t="s">
        <v>507</v>
      </c>
      <c r="F214" s="177">
        <v>3</v>
      </c>
      <c r="G214" s="57" t="s">
        <v>1504</v>
      </c>
      <c r="H214" s="57" t="s">
        <v>1505</v>
      </c>
      <c r="I214" s="57" t="s">
        <v>1506</v>
      </c>
      <c r="J214" s="57" t="s">
        <v>581</v>
      </c>
      <c r="K214" s="57" t="s">
        <v>478</v>
      </c>
      <c r="L214" s="57" t="s">
        <v>479</v>
      </c>
      <c r="M214" s="57" t="s">
        <v>582</v>
      </c>
    </row>
    <row r="215" ht="70" spans="1:13">
      <c r="A215" s="178" t="str">
        <f t="shared" si="3"/>
        <v>Developing Others|Director|4</v>
      </c>
      <c r="B215" s="57" t="s">
        <v>453</v>
      </c>
      <c r="C215" s="177" t="s">
        <v>773</v>
      </c>
      <c r="D215" s="177">
        <v>4</v>
      </c>
      <c r="E215" s="177" t="s">
        <v>523</v>
      </c>
      <c r="F215" s="177">
        <v>1</v>
      </c>
      <c r="G215" s="57" t="s">
        <v>1507</v>
      </c>
      <c r="H215" s="57" t="s">
        <v>1508</v>
      </c>
      <c r="I215" s="57" t="s">
        <v>1509</v>
      </c>
      <c r="J215" s="57" t="s">
        <v>1510</v>
      </c>
      <c r="K215" s="57" t="s">
        <v>478</v>
      </c>
      <c r="L215" s="57" t="s">
        <v>479</v>
      </c>
      <c r="M215" s="57" t="s">
        <v>1511</v>
      </c>
    </row>
    <row r="216" ht="70" spans="1:13">
      <c r="A216" s="178" t="str">
        <f t="shared" si="3"/>
        <v>Developing Others|Director|4</v>
      </c>
      <c r="B216" s="57" t="s">
        <v>453</v>
      </c>
      <c r="C216" s="177" t="s">
        <v>773</v>
      </c>
      <c r="D216" s="177">
        <v>4</v>
      </c>
      <c r="E216" s="177" t="s">
        <v>523</v>
      </c>
      <c r="F216" s="177">
        <v>2</v>
      </c>
      <c r="G216" s="57" t="s">
        <v>1512</v>
      </c>
      <c r="H216" s="57" t="s">
        <v>1513</v>
      </c>
      <c r="I216" s="57" t="s">
        <v>1514</v>
      </c>
      <c r="J216" s="57" t="s">
        <v>1515</v>
      </c>
      <c r="K216" s="57" t="s">
        <v>478</v>
      </c>
      <c r="L216" s="57" t="s">
        <v>479</v>
      </c>
      <c r="M216" s="57" t="s">
        <v>1516</v>
      </c>
    </row>
    <row r="217" ht="56" spans="1:13">
      <c r="A217" s="178" t="str">
        <f t="shared" si="3"/>
        <v>Developing Others|Director|4</v>
      </c>
      <c r="B217" s="57" t="s">
        <v>453</v>
      </c>
      <c r="C217" s="177" t="s">
        <v>773</v>
      </c>
      <c r="D217" s="177">
        <v>4</v>
      </c>
      <c r="E217" s="177" t="s">
        <v>523</v>
      </c>
      <c r="F217" s="177">
        <v>3</v>
      </c>
      <c r="G217" s="57" t="s">
        <v>1517</v>
      </c>
      <c r="H217" s="57" t="s">
        <v>1518</v>
      </c>
      <c r="I217" s="57" t="s">
        <v>1519</v>
      </c>
      <c r="J217" s="57" t="s">
        <v>1520</v>
      </c>
      <c r="K217" s="57" t="s">
        <v>478</v>
      </c>
      <c r="L217" s="57" t="s">
        <v>479</v>
      </c>
      <c r="M217" s="57" t="s">
        <v>1521</v>
      </c>
    </row>
    <row r="218" ht="70" spans="1:13">
      <c r="A218" s="178" t="str">
        <f t="shared" si="3"/>
        <v>Leadership|Officer|1</v>
      </c>
      <c r="B218" s="57" t="s">
        <v>452</v>
      </c>
      <c r="C218" s="177" t="s">
        <v>6</v>
      </c>
      <c r="D218" s="177">
        <v>1</v>
      </c>
      <c r="E218" s="177" t="s">
        <v>473</v>
      </c>
      <c r="F218" s="177">
        <v>1</v>
      </c>
      <c r="G218" s="57" t="s">
        <v>1522</v>
      </c>
      <c r="H218" s="57" t="s">
        <v>1523</v>
      </c>
      <c r="I218" s="57" t="s">
        <v>1524</v>
      </c>
      <c r="J218" s="57" t="s">
        <v>1525</v>
      </c>
      <c r="K218" s="57" t="s">
        <v>478</v>
      </c>
      <c r="L218" s="57" t="s">
        <v>479</v>
      </c>
      <c r="M218" s="57" t="s">
        <v>1526</v>
      </c>
    </row>
    <row r="219" ht="56" spans="1:13">
      <c r="A219" s="178" t="str">
        <f t="shared" si="3"/>
        <v>Leadership|Officer|1</v>
      </c>
      <c r="B219" s="57" t="s">
        <v>452</v>
      </c>
      <c r="C219" s="177" t="s">
        <v>6</v>
      </c>
      <c r="D219" s="177">
        <v>1</v>
      </c>
      <c r="E219" s="177" t="s">
        <v>473</v>
      </c>
      <c r="F219" s="177">
        <v>2</v>
      </c>
      <c r="G219" s="57" t="s">
        <v>1527</v>
      </c>
      <c r="H219" s="57" t="s">
        <v>1528</v>
      </c>
      <c r="I219" s="57" t="s">
        <v>1529</v>
      </c>
      <c r="J219" s="57" t="s">
        <v>1530</v>
      </c>
      <c r="K219" s="57" t="s">
        <v>478</v>
      </c>
      <c r="L219" s="57" t="s">
        <v>479</v>
      </c>
      <c r="M219" s="57" t="s">
        <v>1531</v>
      </c>
    </row>
    <row r="220" ht="70" spans="1:13">
      <c r="A220" s="178" t="str">
        <f t="shared" si="3"/>
        <v>Leadership|Officer|1</v>
      </c>
      <c r="B220" s="57" t="s">
        <v>452</v>
      </c>
      <c r="C220" s="177" t="s">
        <v>6</v>
      </c>
      <c r="D220" s="177">
        <v>1</v>
      </c>
      <c r="E220" s="177" t="s">
        <v>473</v>
      </c>
      <c r="F220" s="177">
        <v>3</v>
      </c>
      <c r="G220" s="57" t="s">
        <v>1532</v>
      </c>
      <c r="H220" s="57" t="s">
        <v>1533</v>
      </c>
      <c r="I220" s="57" t="s">
        <v>1534</v>
      </c>
      <c r="J220" s="57" t="s">
        <v>1535</v>
      </c>
      <c r="K220" s="57" t="s">
        <v>478</v>
      </c>
      <c r="L220" s="57" t="s">
        <v>479</v>
      </c>
      <c r="M220" s="57" t="s">
        <v>1536</v>
      </c>
    </row>
    <row r="221" ht="56" spans="1:13">
      <c r="A221" s="178" t="str">
        <f t="shared" si="3"/>
        <v>Leadership|Officer|2</v>
      </c>
      <c r="B221" s="57" t="s">
        <v>452</v>
      </c>
      <c r="C221" s="177" t="s">
        <v>6</v>
      </c>
      <c r="D221" s="177">
        <v>2</v>
      </c>
      <c r="E221" s="177" t="s">
        <v>491</v>
      </c>
      <c r="F221" s="177">
        <v>1</v>
      </c>
      <c r="G221" s="57" t="s">
        <v>1537</v>
      </c>
      <c r="H221" s="57" t="s">
        <v>1538</v>
      </c>
      <c r="I221" s="57" t="s">
        <v>1539</v>
      </c>
      <c r="J221" s="57" t="s">
        <v>1540</v>
      </c>
      <c r="K221" s="57" t="s">
        <v>478</v>
      </c>
      <c r="L221" s="57" t="s">
        <v>479</v>
      </c>
      <c r="M221" s="57" t="s">
        <v>1541</v>
      </c>
    </row>
    <row r="222" ht="42" spans="1:13">
      <c r="A222" s="178" t="str">
        <f t="shared" si="3"/>
        <v>Leadership|Officer|2</v>
      </c>
      <c r="B222" s="57" t="s">
        <v>452</v>
      </c>
      <c r="C222" s="177" t="s">
        <v>6</v>
      </c>
      <c r="D222" s="177">
        <v>2</v>
      </c>
      <c r="E222" s="177" t="s">
        <v>491</v>
      </c>
      <c r="F222" s="177">
        <v>2</v>
      </c>
      <c r="G222" s="57" t="s">
        <v>1542</v>
      </c>
      <c r="H222" s="57" t="s">
        <v>1543</v>
      </c>
      <c r="I222" s="57" t="s">
        <v>1544</v>
      </c>
      <c r="J222" s="57" t="s">
        <v>1545</v>
      </c>
      <c r="K222" s="57" t="s">
        <v>478</v>
      </c>
      <c r="L222" s="57" t="s">
        <v>479</v>
      </c>
      <c r="M222" s="57" t="s">
        <v>1546</v>
      </c>
    </row>
    <row r="223" ht="56" spans="1:13">
      <c r="A223" s="178" t="str">
        <f t="shared" si="3"/>
        <v>Leadership|Officer|2</v>
      </c>
      <c r="B223" s="57" t="s">
        <v>452</v>
      </c>
      <c r="C223" s="177" t="s">
        <v>6</v>
      </c>
      <c r="D223" s="177">
        <v>2</v>
      </c>
      <c r="E223" s="177" t="s">
        <v>491</v>
      </c>
      <c r="F223" s="177">
        <v>3</v>
      </c>
      <c r="G223" s="57" t="s">
        <v>1547</v>
      </c>
      <c r="H223" s="57" t="s">
        <v>1548</v>
      </c>
      <c r="I223" s="57" t="s">
        <v>1549</v>
      </c>
      <c r="J223" s="57" t="s">
        <v>1550</v>
      </c>
      <c r="K223" s="57" t="s">
        <v>478</v>
      </c>
      <c r="L223" s="57" t="s">
        <v>479</v>
      </c>
      <c r="M223" s="57" t="s">
        <v>1551</v>
      </c>
    </row>
    <row r="224" ht="84" spans="1:13">
      <c r="A224" s="178" t="str">
        <f t="shared" si="3"/>
        <v>Leadership|Officer|3</v>
      </c>
      <c r="B224" s="57" t="s">
        <v>452</v>
      </c>
      <c r="C224" s="177" t="s">
        <v>6</v>
      </c>
      <c r="D224" s="177">
        <v>3</v>
      </c>
      <c r="E224" s="177" t="s">
        <v>507</v>
      </c>
      <c r="F224" s="177">
        <v>1</v>
      </c>
      <c r="G224" s="57" t="s">
        <v>1552</v>
      </c>
      <c r="H224" s="57" t="s">
        <v>1553</v>
      </c>
      <c r="I224" s="57" t="s">
        <v>1554</v>
      </c>
      <c r="J224" s="57" t="s">
        <v>1555</v>
      </c>
      <c r="K224" s="57" t="s">
        <v>478</v>
      </c>
      <c r="L224" s="57" t="s">
        <v>479</v>
      </c>
      <c r="M224" s="57" t="s">
        <v>1556</v>
      </c>
    </row>
    <row r="225" ht="70" spans="1:13">
      <c r="A225" s="178" t="str">
        <f t="shared" si="3"/>
        <v>Leadership|Officer|3</v>
      </c>
      <c r="B225" s="57" t="s">
        <v>452</v>
      </c>
      <c r="C225" s="177" t="s">
        <v>6</v>
      </c>
      <c r="D225" s="177">
        <v>3</v>
      </c>
      <c r="E225" s="177" t="s">
        <v>507</v>
      </c>
      <c r="F225" s="177">
        <v>2</v>
      </c>
      <c r="G225" s="57" t="s">
        <v>1557</v>
      </c>
      <c r="H225" s="57" t="s">
        <v>1558</v>
      </c>
      <c r="I225" s="57" t="s">
        <v>1559</v>
      </c>
      <c r="J225" s="57" t="s">
        <v>1560</v>
      </c>
      <c r="K225" s="57" t="s">
        <v>478</v>
      </c>
      <c r="L225" s="57" t="s">
        <v>479</v>
      </c>
      <c r="M225" s="57" t="s">
        <v>1561</v>
      </c>
    </row>
    <row r="226" ht="70" spans="1:13">
      <c r="A226" s="178" t="str">
        <f t="shared" si="3"/>
        <v>Leadership|Officer|3</v>
      </c>
      <c r="B226" s="57" t="s">
        <v>452</v>
      </c>
      <c r="C226" s="177" t="s">
        <v>6</v>
      </c>
      <c r="D226" s="177">
        <v>3</v>
      </c>
      <c r="E226" s="177" t="s">
        <v>507</v>
      </c>
      <c r="F226" s="177">
        <v>3</v>
      </c>
      <c r="G226" s="57" t="s">
        <v>1562</v>
      </c>
      <c r="H226" s="57" t="s">
        <v>1563</v>
      </c>
      <c r="I226" s="57" t="s">
        <v>1564</v>
      </c>
      <c r="J226" s="57" t="s">
        <v>1565</v>
      </c>
      <c r="K226" s="57" t="s">
        <v>478</v>
      </c>
      <c r="L226" s="57" t="s">
        <v>479</v>
      </c>
      <c r="M226" s="57" t="s">
        <v>1566</v>
      </c>
    </row>
    <row r="227" ht="56" spans="1:13">
      <c r="A227" s="178" t="str">
        <f t="shared" si="3"/>
        <v>Leadership|Officer|4</v>
      </c>
      <c r="B227" s="57" t="s">
        <v>452</v>
      </c>
      <c r="C227" s="177" t="s">
        <v>6</v>
      </c>
      <c r="D227" s="177">
        <v>4</v>
      </c>
      <c r="E227" s="177" t="s">
        <v>523</v>
      </c>
      <c r="F227" s="177">
        <v>1</v>
      </c>
      <c r="G227" s="57" t="s">
        <v>1567</v>
      </c>
      <c r="H227" s="57" t="s">
        <v>1568</v>
      </c>
      <c r="I227" s="57" t="s">
        <v>1569</v>
      </c>
      <c r="J227" s="57" t="s">
        <v>1570</v>
      </c>
      <c r="K227" s="57" t="s">
        <v>478</v>
      </c>
      <c r="L227" s="57" t="s">
        <v>479</v>
      </c>
      <c r="M227" s="57" t="s">
        <v>1571</v>
      </c>
    </row>
    <row r="228" ht="84" spans="1:13">
      <c r="A228" s="178" t="str">
        <f t="shared" si="3"/>
        <v>Leadership|Officer|4</v>
      </c>
      <c r="B228" s="57" t="s">
        <v>452</v>
      </c>
      <c r="C228" s="177" t="s">
        <v>6</v>
      </c>
      <c r="D228" s="177">
        <v>4</v>
      </c>
      <c r="E228" s="177" t="s">
        <v>523</v>
      </c>
      <c r="F228" s="177">
        <v>2</v>
      </c>
      <c r="G228" s="57" t="s">
        <v>1572</v>
      </c>
      <c r="H228" s="57" t="s">
        <v>1573</v>
      </c>
      <c r="I228" s="57" t="s">
        <v>1574</v>
      </c>
      <c r="J228" s="57" t="s">
        <v>1575</v>
      </c>
      <c r="K228" s="57" t="s">
        <v>478</v>
      </c>
      <c r="L228" s="57" t="s">
        <v>479</v>
      </c>
      <c r="M228" s="57" t="s">
        <v>1576</v>
      </c>
    </row>
    <row r="229" ht="70" spans="1:13">
      <c r="A229" s="178" t="str">
        <f t="shared" si="3"/>
        <v>Leadership|Officer|4</v>
      </c>
      <c r="B229" s="57" t="s">
        <v>452</v>
      </c>
      <c r="C229" s="177" t="s">
        <v>6</v>
      </c>
      <c r="D229" s="177">
        <v>4</v>
      </c>
      <c r="E229" s="177" t="s">
        <v>523</v>
      </c>
      <c r="F229" s="177">
        <v>3</v>
      </c>
      <c r="G229" s="57" t="s">
        <v>1577</v>
      </c>
      <c r="H229" s="57" t="s">
        <v>1578</v>
      </c>
      <c r="I229" s="57" t="s">
        <v>1579</v>
      </c>
      <c r="J229" s="57" t="s">
        <v>1580</v>
      </c>
      <c r="K229" s="57" t="s">
        <v>478</v>
      </c>
      <c r="L229" s="57" t="s">
        <v>479</v>
      </c>
      <c r="M229" s="57" t="s">
        <v>1581</v>
      </c>
    </row>
    <row r="230" ht="112" spans="1:13">
      <c r="A230" s="178" t="str">
        <f t="shared" si="3"/>
        <v>Leadership|Analyst|1</v>
      </c>
      <c r="B230" s="57" t="s">
        <v>452</v>
      </c>
      <c r="C230" s="177" t="s">
        <v>8</v>
      </c>
      <c r="D230" s="177">
        <v>1</v>
      </c>
      <c r="E230" s="177" t="s">
        <v>473</v>
      </c>
      <c r="F230" s="177">
        <v>1</v>
      </c>
      <c r="G230" s="57" t="s">
        <v>1582</v>
      </c>
      <c r="H230" s="57" t="s">
        <v>1583</v>
      </c>
      <c r="I230" s="57" t="s">
        <v>1584</v>
      </c>
      <c r="J230" s="57" t="s">
        <v>1585</v>
      </c>
      <c r="K230" s="57" t="s">
        <v>478</v>
      </c>
      <c r="L230" s="57" t="s">
        <v>479</v>
      </c>
      <c r="M230" s="57" t="s">
        <v>1586</v>
      </c>
    </row>
    <row r="231" ht="84" spans="1:13">
      <c r="A231" s="178" t="str">
        <f t="shared" si="3"/>
        <v>Leadership|Analyst|1</v>
      </c>
      <c r="B231" s="57" t="s">
        <v>452</v>
      </c>
      <c r="C231" s="177" t="s">
        <v>8</v>
      </c>
      <c r="D231" s="177">
        <v>1</v>
      </c>
      <c r="E231" s="177" t="s">
        <v>473</v>
      </c>
      <c r="F231" s="177">
        <v>2</v>
      </c>
      <c r="G231" s="57" t="s">
        <v>1587</v>
      </c>
      <c r="H231" s="57" t="s">
        <v>1588</v>
      </c>
      <c r="I231" s="57" t="s">
        <v>1589</v>
      </c>
      <c r="J231" s="57" t="s">
        <v>1590</v>
      </c>
      <c r="K231" s="57" t="s">
        <v>478</v>
      </c>
      <c r="L231" s="57" t="s">
        <v>479</v>
      </c>
      <c r="M231" s="57" t="s">
        <v>1591</v>
      </c>
    </row>
    <row r="232" ht="70" spans="1:13">
      <c r="A232" s="178" t="str">
        <f t="shared" si="3"/>
        <v>Leadership|Analyst|1</v>
      </c>
      <c r="B232" s="57" t="s">
        <v>452</v>
      </c>
      <c r="C232" s="177" t="s">
        <v>8</v>
      </c>
      <c r="D232" s="177">
        <v>1</v>
      </c>
      <c r="E232" s="177" t="s">
        <v>473</v>
      </c>
      <c r="F232" s="177">
        <v>3</v>
      </c>
      <c r="G232" s="57" t="s">
        <v>1592</v>
      </c>
      <c r="H232" s="57" t="s">
        <v>1593</v>
      </c>
      <c r="I232" s="57" t="s">
        <v>1594</v>
      </c>
      <c r="J232" s="57" t="s">
        <v>1595</v>
      </c>
      <c r="K232" s="57" t="s">
        <v>478</v>
      </c>
      <c r="L232" s="57" t="s">
        <v>479</v>
      </c>
      <c r="M232" s="57" t="s">
        <v>1596</v>
      </c>
    </row>
    <row r="233" ht="56" spans="1:13">
      <c r="A233" s="178" t="str">
        <f t="shared" si="3"/>
        <v>Leadership|Analyst|2</v>
      </c>
      <c r="B233" s="57" t="s">
        <v>452</v>
      </c>
      <c r="C233" s="177" t="s">
        <v>8</v>
      </c>
      <c r="D233" s="177">
        <v>2</v>
      </c>
      <c r="E233" s="177" t="s">
        <v>491</v>
      </c>
      <c r="F233" s="177">
        <v>1</v>
      </c>
      <c r="G233" s="57" t="s">
        <v>1597</v>
      </c>
      <c r="H233" s="57" t="s">
        <v>1598</v>
      </c>
      <c r="I233" s="57" t="s">
        <v>1599</v>
      </c>
      <c r="J233" s="57" t="s">
        <v>1600</v>
      </c>
      <c r="K233" s="57" t="s">
        <v>478</v>
      </c>
      <c r="L233" s="57" t="s">
        <v>479</v>
      </c>
      <c r="M233" s="57" t="s">
        <v>1601</v>
      </c>
    </row>
    <row r="234" ht="56" spans="1:13">
      <c r="A234" s="178" t="str">
        <f t="shared" si="3"/>
        <v>Leadership|Analyst|2</v>
      </c>
      <c r="B234" s="57" t="s">
        <v>452</v>
      </c>
      <c r="C234" s="177" t="s">
        <v>8</v>
      </c>
      <c r="D234" s="177">
        <v>2</v>
      </c>
      <c r="E234" s="177" t="s">
        <v>491</v>
      </c>
      <c r="F234" s="177">
        <v>2</v>
      </c>
      <c r="G234" s="57" t="s">
        <v>1602</v>
      </c>
      <c r="H234" s="57" t="s">
        <v>1603</v>
      </c>
      <c r="I234" s="57" t="s">
        <v>1604</v>
      </c>
      <c r="J234" s="57" t="s">
        <v>1605</v>
      </c>
      <c r="K234" s="57" t="s">
        <v>478</v>
      </c>
      <c r="L234" s="57" t="s">
        <v>479</v>
      </c>
      <c r="M234" s="57" t="s">
        <v>1606</v>
      </c>
    </row>
    <row r="235" ht="56" spans="1:13">
      <c r="A235" s="178" t="str">
        <f t="shared" si="3"/>
        <v>Leadership|Analyst|2</v>
      </c>
      <c r="B235" s="57" t="s">
        <v>452</v>
      </c>
      <c r="C235" s="177" t="s">
        <v>8</v>
      </c>
      <c r="D235" s="177">
        <v>2</v>
      </c>
      <c r="E235" s="177" t="s">
        <v>491</v>
      </c>
      <c r="F235" s="177">
        <v>3</v>
      </c>
      <c r="G235" s="57" t="s">
        <v>1607</v>
      </c>
      <c r="H235" s="57" t="s">
        <v>1608</v>
      </c>
      <c r="I235" s="57" t="s">
        <v>1609</v>
      </c>
      <c r="J235" s="57" t="s">
        <v>1610</v>
      </c>
      <c r="K235" s="57" t="s">
        <v>478</v>
      </c>
      <c r="L235" s="57" t="s">
        <v>479</v>
      </c>
      <c r="M235" s="57" t="s">
        <v>1611</v>
      </c>
    </row>
    <row r="236" ht="70" spans="1:13">
      <c r="A236" s="178" t="str">
        <f t="shared" si="3"/>
        <v>Leadership|Analyst|3</v>
      </c>
      <c r="B236" s="57" t="s">
        <v>452</v>
      </c>
      <c r="C236" s="177" t="s">
        <v>8</v>
      </c>
      <c r="D236" s="177">
        <v>3</v>
      </c>
      <c r="E236" s="177" t="s">
        <v>507</v>
      </c>
      <c r="F236" s="177">
        <v>1</v>
      </c>
      <c r="G236" s="57" t="s">
        <v>1612</v>
      </c>
      <c r="H236" s="57" t="s">
        <v>1613</v>
      </c>
      <c r="I236" s="57" t="s">
        <v>1614</v>
      </c>
      <c r="J236" s="57" t="s">
        <v>1615</v>
      </c>
      <c r="K236" s="57" t="s">
        <v>478</v>
      </c>
      <c r="L236" s="57" t="s">
        <v>479</v>
      </c>
      <c r="M236" s="57" t="s">
        <v>1616</v>
      </c>
    </row>
    <row r="237" ht="70" spans="1:13">
      <c r="A237" s="178" t="str">
        <f t="shared" si="3"/>
        <v>Leadership|Analyst|3</v>
      </c>
      <c r="B237" s="57" t="s">
        <v>452</v>
      </c>
      <c r="C237" s="177" t="s">
        <v>8</v>
      </c>
      <c r="D237" s="177">
        <v>3</v>
      </c>
      <c r="E237" s="177" t="s">
        <v>507</v>
      </c>
      <c r="F237" s="177">
        <v>2</v>
      </c>
      <c r="G237" s="57" t="s">
        <v>1617</v>
      </c>
      <c r="H237" s="57" t="s">
        <v>1618</v>
      </c>
      <c r="I237" s="57" t="s">
        <v>1619</v>
      </c>
      <c r="J237" s="57" t="s">
        <v>1620</v>
      </c>
      <c r="K237" s="57" t="s">
        <v>478</v>
      </c>
      <c r="L237" s="57" t="s">
        <v>479</v>
      </c>
      <c r="M237" s="57" t="s">
        <v>1621</v>
      </c>
    </row>
    <row r="238" ht="56" spans="1:13">
      <c r="A238" s="178" t="str">
        <f t="shared" si="3"/>
        <v>Leadership|Analyst|3</v>
      </c>
      <c r="B238" s="57" t="s">
        <v>452</v>
      </c>
      <c r="C238" s="177" t="s">
        <v>8</v>
      </c>
      <c r="D238" s="177">
        <v>3</v>
      </c>
      <c r="E238" s="177" t="s">
        <v>507</v>
      </c>
      <c r="F238" s="177">
        <v>3</v>
      </c>
      <c r="G238" s="57" t="s">
        <v>1622</v>
      </c>
      <c r="H238" s="57" t="s">
        <v>1623</v>
      </c>
      <c r="I238" s="57" t="s">
        <v>1624</v>
      </c>
      <c r="J238" s="57" t="s">
        <v>581</v>
      </c>
      <c r="K238" s="57" t="s">
        <v>478</v>
      </c>
      <c r="L238" s="57" t="s">
        <v>479</v>
      </c>
      <c r="M238" s="57" t="s">
        <v>582</v>
      </c>
    </row>
    <row r="239" ht="70" spans="1:13">
      <c r="A239" s="178" t="str">
        <f t="shared" si="3"/>
        <v>Leadership|Analyst|4</v>
      </c>
      <c r="B239" s="57" t="s">
        <v>452</v>
      </c>
      <c r="C239" s="177" t="s">
        <v>8</v>
      </c>
      <c r="D239" s="177">
        <v>4</v>
      </c>
      <c r="E239" s="177" t="s">
        <v>523</v>
      </c>
      <c r="F239" s="177">
        <v>1</v>
      </c>
      <c r="G239" s="57" t="s">
        <v>1625</v>
      </c>
      <c r="H239" s="57" t="s">
        <v>1626</v>
      </c>
      <c r="I239" s="57" t="s">
        <v>1627</v>
      </c>
      <c r="J239" s="57" t="s">
        <v>1628</v>
      </c>
      <c r="K239" s="57" t="s">
        <v>478</v>
      </c>
      <c r="L239" s="57" t="s">
        <v>479</v>
      </c>
      <c r="M239" s="57" t="s">
        <v>1629</v>
      </c>
    </row>
    <row r="240" ht="70" spans="1:13">
      <c r="A240" s="178" t="str">
        <f t="shared" si="3"/>
        <v>Leadership|Analyst|4</v>
      </c>
      <c r="B240" s="57" t="s">
        <v>452</v>
      </c>
      <c r="C240" s="177" t="s">
        <v>8</v>
      </c>
      <c r="D240" s="177">
        <v>4</v>
      </c>
      <c r="E240" s="177" t="s">
        <v>523</v>
      </c>
      <c r="F240" s="177">
        <v>2</v>
      </c>
      <c r="G240" s="57" t="s">
        <v>1630</v>
      </c>
      <c r="H240" s="57" t="s">
        <v>1631</v>
      </c>
      <c r="I240" s="57" t="s">
        <v>1632</v>
      </c>
      <c r="J240" s="57" t="s">
        <v>1633</v>
      </c>
      <c r="K240" s="57" t="s">
        <v>478</v>
      </c>
      <c r="L240" s="57" t="s">
        <v>479</v>
      </c>
      <c r="M240" s="57" t="s">
        <v>1634</v>
      </c>
    </row>
    <row r="241" ht="70" spans="1:13">
      <c r="A241" s="178" t="str">
        <f t="shared" si="3"/>
        <v>Leadership|Analyst|4</v>
      </c>
      <c r="B241" s="57" t="s">
        <v>452</v>
      </c>
      <c r="C241" s="177" t="s">
        <v>8</v>
      </c>
      <c r="D241" s="177">
        <v>4</v>
      </c>
      <c r="E241" s="177" t="s">
        <v>523</v>
      </c>
      <c r="F241" s="177">
        <v>3</v>
      </c>
      <c r="G241" s="57" t="s">
        <v>1635</v>
      </c>
      <c r="H241" s="57" t="s">
        <v>1636</v>
      </c>
      <c r="I241" s="57" t="s">
        <v>1637</v>
      </c>
      <c r="J241" s="57" t="s">
        <v>1638</v>
      </c>
      <c r="K241" s="57" t="s">
        <v>478</v>
      </c>
      <c r="L241" s="57" t="s">
        <v>479</v>
      </c>
      <c r="M241" s="57" t="s">
        <v>1639</v>
      </c>
    </row>
    <row r="242" ht="70" spans="1:13">
      <c r="A242" s="178" t="str">
        <f t="shared" si="3"/>
        <v>Leadership|Unit Head/Specialist|1</v>
      </c>
      <c r="B242" s="57" t="s">
        <v>452</v>
      </c>
      <c r="C242" s="177" t="s">
        <v>18</v>
      </c>
      <c r="D242" s="177">
        <v>1</v>
      </c>
      <c r="E242" s="177" t="s">
        <v>473</v>
      </c>
      <c r="F242" s="177">
        <v>1</v>
      </c>
      <c r="G242" s="57" t="s">
        <v>1640</v>
      </c>
      <c r="H242" s="57" t="s">
        <v>1641</v>
      </c>
      <c r="I242" s="57" t="s">
        <v>1642</v>
      </c>
      <c r="J242" s="57" t="s">
        <v>1643</v>
      </c>
      <c r="K242" s="57" t="s">
        <v>478</v>
      </c>
      <c r="L242" s="57" t="s">
        <v>479</v>
      </c>
      <c r="M242" s="57" t="s">
        <v>1644</v>
      </c>
    </row>
    <row r="243" ht="56" spans="1:13">
      <c r="A243" s="178" t="str">
        <f t="shared" si="3"/>
        <v>Leadership|Unit Head/Specialist|1</v>
      </c>
      <c r="B243" s="57" t="s">
        <v>452</v>
      </c>
      <c r="C243" s="177" t="s">
        <v>18</v>
      </c>
      <c r="D243" s="177">
        <v>1</v>
      </c>
      <c r="E243" s="177" t="s">
        <v>473</v>
      </c>
      <c r="F243" s="177">
        <v>2</v>
      </c>
      <c r="G243" s="57" t="s">
        <v>1645</v>
      </c>
      <c r="H243" s="57" t="s">
        <v>1646</v>
      </c>
      <c r="I243" s="57" t="s">
        <v>1647</v>
      </c>
      <c r="J243" s="57" t="s">
        <v>1648</v>
      </c>
      <c r="K243" s="57" t="s">
        <v>478</v>
      </c>
      <c r="L243" s="57" t="s">
        <v>479</v>
      </c>
      <c r="M243" s="57" t="s">
        <v>1649</v>
      </c>
    </row>
    <row r="244" ht="70" spans="1:13">
      <c r="A244" s="178" t="str">
        <f t="shared" si="3"/>
        <v>Leadership|Unit Head/Specialist|1</v>
      </c>
      <c r="B244" s="57" t="s">
        <v>452</v>
      </c>
      <c r="C244" s="177" t="s">
        <v>18</v>
      </c>
      <c r="D244" s="177">
        <v>1</v>
      </c>
      <c r="E244" s="177" t="s">
        <v>473</v>
      </c>
      <c r="F244" s="177">
        <v>3</v>
      </c>
      <c r="G244" s="57" t="s">
        <v>1650</v>
      </c>
      <c r="H244" s="57" t="s">
        <v>1651</v>
      </c>
      <c r="I244" s="57" t="s">
        <v>1652</v>
      </c>
      <c r="J244" s="57" t="s">
        <v>1653</v>
      </c>
      <c r="K244" s="57" t="s">
        <v>478</v>
      </c>
      <c r="L244" s="57" t="s">
        <v>479</v>
      </c>
      <c r="M244" s="57" t="s">
        <v>1654</v>
      </c>
    </row>
    <row r="245" ht="42" spans="1:13">
      <c r="A245" s="178" t="str">
        <f t="shared" si="3"/>
        <v>Leadership|Unit Head/Specialist|2</v>
      </c>
      <c r="B245" s="57" t="s">
        <v>452</v>
      </c>
      <c r="C245" s="177" t="s">
        <v>18</v>
      </c>
      <c r="D245" s="177">
        <v>2</v>
      </c>
      <c r="E245" s="177" t="s">
        <v>491</v>
      </c>
      <c r="F245" s="177">
        <v>1</v>
      </c>
      <c r="G245" s="57" t="s">
        <v>1655</v>
      </c>
      <c r="H245" s="57" t="s">
        <v>1656</v>
      </c>
      <c r="I245" s="57" t="s">
        <v>1657</v>
      </c>
      <c r="J245" s="57" t="s">
        <v>1658</v>
      </c>
      <c r="K245" s="57" t="s">
        <v>478</v>
      </c>
      <c r="L245" s="57" t="s">
        <v>479</v>
      </c>
      <c r="M245" s="57" t="s">
        <v>1659</v>
      </c>
    </row>
    <row r="246" ht="70" spans="1:13">
      <c r="A246" s="178" t="str">
        <f t="shared" si="3"/>
        <v>Leadership|Unit Head/Specialist|2</v>
      </c>
      <c r="B246" s="57" t="s">
        <v>452</v>
      </c>
      <c r="C246" s="177" t="s">
        <v>18</v>
      </c>
      <c r="D246" s="177">
        <v>2</v>
      </c>
      <c r="E246" s="177" t="s">
        <v>491</v>
      </c>
      <c r="F246" s="177">
        <v>2</v>
      </c>
      <c r="G246" s="57" t="s">
        <v>1660</v>
      </c>
      <c r="H246" s="57" t="s">
        <v>1661</v>
      </c>
      <c r="I246" s="57" t="s">
        <v>1662</v>
      </c>
      <c r="J246" s="57" t="s">
        <v>1663</v>
      </c>
      <c r="K246" s="57" t="s">
        <v>478</v>
      </c>
      <c r="L246" s="57" t="s">
        <v>479</v>
      </c>
      <c r="M246" s="57" t="s">
        <v>1664</v>
      </c>
    </row>
    <row r="247" ht="56" spans="1:13">
      <c r="A247" s="178" t="str">
        <f t="shared" si="3"/>
        <v>Leadership|Unit Head/Specialist|2</v>
      </c>
      <c r="B247" s="57" t="s">
        <v>452</v>
      </c>
      <c r="C247" s="177" t="s">
        <v>18</v>
      </c>
      <c r="D247" s="177">
        <v>2</v>
      </c>
      <c r="E247" s="177" t="s">
        <v>491</v>
      </c>
      <c r="F247" s="177">
        <v>3</v>
      </c>
      <c r="G247" s="57" t="s">
        <v>1665</v>
      </c>
      <c r="H247" s="57" t="s">
        <v>1666</v>
      </c>
      <c r="I247" s="57" t="s">
        <v>1667</v>
      </c>
      <c r="J247" s="57" t="s">
        <v>1668</v>
      </c>
      <c r="K247" s="57" t="s">
        <v>478</v>
      </c>
      <c r="L247" s="57" t="s">
        <v>479</v>
      </c>
      <c r="M247" s="57" t="s">
        <v>1669</v>
      </c>
    </row>
    <row r="248" ht="70" spans="1:13">
      <c r="A248" s="178" t="str">
        <f t="shared" si="3"/>
        <v>Leadership|Unit Head/Specialist|3</v>
      </c>
      <c r="B248" s="57" t="s">
        <v>452</v>
      </c>
      <c r="C248" s="177" t="s">
        <v>18</v>
      </c>
      <c r="D248" s="177">
        <v>3</v>
      </c>
      <c r="E248" s="177" t="s">
        <v>507</v>
      </c>
      <c r="F248" s="177">
        <v>1</v>
      </c>
      <c r="G248" s="57" t="s">
        <v>1670</v>
      </c>
      <c r="H248" s="57" t="s">
        <v>1671</v>
      </c>
      <c r="I248" s="57" t="s">
        <v>1672</v>
      </c>
      <c r="J248" s="57" t="s">
        <v>1673</v>
      </c>
      <c r="K248" s="57" t="s">
        <v>478</v>
      </c>
      <c r="L248" s="57" t="s">
        <v>479</v>
      </c>
      <c r="M248" s="57" t="s">
        <v>1674</v>
      </c>
    </row>
    <row r="249" ht="70" spans="1:13">
      <c r="A249" s="178" t="str">
        <f t="shared" si="3"/>
        <v>Leadership|Unit Head/Specialist|3</v>
      </c>
      <c r="B249" s="57" t="s">
        <v>452</v>
      </c>
      <c r="C249" s="177" t="s">
        <v>18</v>
      </c>
      <c r="D249" s="177">
        <v>3</v>
      </c>
      <c r="E249" s="177" t="s">
        <v>507</v>
      </c>
      <c r="F249" s="177">
        <v>2</v>
      </c>
      <c r="G249" s="57" t="s">
        <v>632</v>
      </c>
      <c r="H249" s="57" t="s">
        <v>1326</v>
      </c>
      <c r="I249" s="57" t="s">
        <v>1327</v>
      </c>
      <c r="J249" s="57" t="s">
        <v>1328</v>
      </c>
      <c r="K249" s="57" t="s">
        <v>478</v>
      </c>
      <c r="L249" s="57" t="s">
        <v>479</v>
      </c>
      <c r="M249" s="57" t="s">
        <v>1329</v>
      </c>
    </row>
    <row r="250" ht="70" spans="1:13">
      <c r="A250" s="178" t="str">
        <f t="shared" si="3"/>
        <v>Leadership|Unit Head/Specialist|3</v>
      </c>
      <c r="B250" s="57" t="s">
        <v>452</v>
      </c>
      <c r="C250" s="177" t="s">
        <v>18</v>
      </c>
      <c r="D250" s="177">
        <v>3</v>
      </c>
      <c r="E250" s="177" t="s">
        <v>507</v>
      </c>
      <c r="F250" s="177">
        <v>3</v>
      </c>
      <c r="G250" s="57" t="s">
        <v>1675</v>
      </c>
      <c r="H250" s="57" t="s">
        <v>1676</v>
      </c>
      <c r="I250" s="57" t="s">
        <v>1677</v>
      </c>
      <c r="J250" s="57" t="s">
        <v>581</v>
      </c>
      <c r="K250" s="57" t="s">
        <v>478</v>
      </c>
      <c r="L250" s="57" t="s">
        <v>479</v>
      </c>
      <c r="M250" s="57" t="s">
        <v>582</v>
      </c>
    </row>
    <row r="251" ht="70" spans="1:13">
      <c r="A251" s="178" t="str">
        <f t="shared" si="3"/>
        <v>Leadership|Unit Head/Specialist|4</v>
      </c>
      <c r="B251" s="57" t="s">
        <v>452</v>
      </c>
      <c r="C251" s="177" t="s">
        <v>18</v>
      </c>
      <c r="D251" s="177">
        <v>4</v>
      </c>
      <c r="E251" s="177" t="s">
        <v>523</v>
      </c>
      <c r="F251" s="177">
        <v>1</v>
      </c>
      <c r="G251" s="57" t="s">
        <v>1678</v>
      </c>
      <c r="H251" s="57" t="s">
        <v>1679</v>
      </c>
      <c r="I251" s="57" t="s">
        <v>1680</v>
      </c>
      <c r="J251" s="57" t="s">
        <v>1681</v>
      </c>
      <c r="K251" s="57" t="s">
        <v>478</v>
      </c>
      <c r="L251" s="57" t="s">
        <v>479</v>
      </c>
      <c r="M251" s="57" t="s">
        <v>1682</v>
      </c>
    </row>
    <row r="252" ht="56" spans="1:13">
      <c r="A252" s="178" t="str">
        <f t="shared" si="3"/>
        <v>Leadership|Unit Head/Specialist|4</v>
      </c>
      <c r="B252" s="57" t="s">
        <v>452</v>
      </c>
      <c r="C252" s="177" t="s">
        <v>18</v>
      </c>
      <c r="D252" s="177">
        <v>4</v>
      </c>
      <c r="E252" s="177" t="s">
        <v>523</v>
      </c>
      <c r="F252" s="177">
        <v>2</v>
      </c>
      <c r="G252" s="57" t="s">
        <v>1683</v>
      </c>
      <c r="H252" s="57" t="s">
        <v>1684</v>
      </c>
      <c r="I252" s="57" t="s">
        <v>1685</v>
      </c>
      <c r="J252" s="57" t="s">
        <v>653</v>
      </c>
      <c r="K252" s="57" t="s">
        <v>478</v>
      </c>
      <c r="L252" s="57" t="s">
        <v>479</v>
      </c>
      <c r="M252" s="57" t="s">
        <v>1686</v>
      </c>
    </row>
    <row r="253" ht="70" spans="1:13">
      <c r="A253" s="178" t="str">
        <f t="shared" si="3"/>
        <v>Leadership|Unit Head/Specialist|4</v>
      </c>
      <c r="B253" s="57" t="s">
        <v>452</v>
      </c>
      <c r="C253" s="177" t="s">
        <v>18</v>
      </c>
      <c r="D253" s="177">
        <v>4</v>
      </c>
      <c r="E253" s="177" t="s">
        <v>523</v>
      </c>
      <c r="F253" s="177">
        <v>3</v>
      </c>
      <c r="G253" s="57" t="s">
        <v>1687</v>
      </c>
      <c r="H253" s="57" t="s">
        <v>1688</v>
      </c>
      <c r="I253" s="57" t="s">
        <v>1689</v>
      </c>
      <c r="J253" s="57" t="s">
        <v>1690</v>
      </c>
      <c r="K253" s="57" t="s">
        <v>478</v>
      </c>
      <c r="L253" s="57" t="s">
        <v>479</v>
      </c>
      <c r="M253" s="57" t="s">
        <v>1691</v>
      </c>
    </row>
    <row r="254" ht="98" spans="1:13">
      <c r="A254" s="178" t="str">
        <f t="shared" si="3"/>
        <v>Leadership|Department Head|1</v>
      </c>
      <c r="B254" s="57" t="s">
        <v>452</v>
      </c>
      <c r="C254" s="177" t="s">
        <v>655</v>
      </c>
      <c r="D254" s="177">
        <v>1</v>
      </c>
      <c r="E254" s="177" t="s">
        <v>473</v>
      </c>
      <c r="F254" s="177">
        <v>1</v>
      </c>
      <c r="G254" s="57" t="s">
        <v>1692</v>
      </c>
      <c r="H254" s="57" t="s">
        <v>1693</v>
      </c>
      <c r="I254" s="57" t="s">
        <v>1694</v>
      </c>
      <c r="J254" s="57" t="s">
        <v>1695</v>
      </c>
      <c r="K254" s="57" t="s">
        <v>478</v>
      </c>
      <c r="L254" s="57" t="s">
        <v>479</v>
      </c>
      <c r="M254" s="57" t="s">
        <v>1696</v>
      </c>
    </row>
    <row r="255" ht="84" spans="1:13">
      <c r="A255" s="178" t="str">
        <f t="shared" si="3"/>
        <v>Leadership|Department Head|1</v>
      </c>
      <c r="B255" s="57" t="s">
        <v>452</v>
      </c>
      <c r="C255" s="177" t="s">
        <v>655</v>
      </c>
      <c r="D255" s="177">
        <v>1</v>
      </c>
      <c r="E255" s="177" t="s">
        <v>473</v>
      </c>
      <c r="F255" s="177">
        <v>2</v>
      </c>
      <c r="G255" s="57" t="s">
        <v>1697</v>
      </c>
      <c r="H255" s="57" t="s">
        <v>1698</v>
      </c>
      <c r="I255" s="57" t="s">
        <v>1699</v>
      </c>
      <c r="J255" s="57" t="s">
        <v>1700</v>
      </c>
      <c r="K255" s="57" t="s">
        <v>478</v>
      </c>
      <c r="L255" s="57" t="s">
        <v>479</v>
      </c>
      <c r="M255" s="57" t="s">
        <v>1701</v>
      </c>
    </row>
    <row r="256" ht="98" spans="1:13">
      <c r="A256" s="178" t="str">
        <f t="shared" si="3"/>
        <v>Leadership|Department Head|1</v>
      </c>
      <c r="B256" s="57" t="s">
        <v>452</v>
      </c>
      <c r="C256" s="177" t="s">
        <v>655</v>
      </c>
      <c r="D256" s="177">
        <v>1</v>
      </c>
      <c r="E256" s="177" t="s">
        <v>473</v>
      </c>
      <c r="F256" s="177">
        <v>3</v>
      </c>
      <c r="G256" s="57" t="s">
        <v>1702</v>
      </c>
      <c r="H256" s="57" t="s">
        <v>1703</v>
      </c>
      <c r="I256" s="57" t="s">
        <v>1704</v>
      </c>
      <c r="J256" s="57" t="s">
        <v>1705</v>
      </c>
      <c r="K256" s="57" t="s">
        <v>478</v>
      </c>
      <c r="L256" s="57" t="s">
        <v>479</v>
      </c>
      <c r="M256" s="57" t="s">
        <v>1706</v>
      </c>
    </row>
    <row r="257" ht="84" spans="1:13">
      <c r="A257" s="178" t="str">
        <f t="shared" si="3"/>
        <v>Leadership|Department Head|2</v>
      </c>
      <c r="B257" s="57" t="s">
        <v>452</v>
      </c>
      <c r="C257" s="177" t="s">
        <v>655</v>
      </c>
      <c r="D257" s="177">
        <v>2</v>
      </c>
      <c r="E257" s="177" t="s">
        <v>491</v>
      </c>
      <c r="F257" s="177">
        <v>1</v>
      </c>
      <c r="G257" s="57" t="s">
        <v>1707</v>
      </c>
      <c r="H257" s="57" t="s">
        <v>1708</v>
      </c>
      <c r="I257" s="57" t="s">
        <v>1709</v>
      </c>
      <c r="J257" s="57" t="s">
        <v>1710</v>
      </c>
      <c r="K257" s="57" t="s">
        <v>478</v>
      </c>
      <c r="L257" s="57" t="s">
        <v>479</v>
      </c>
      <c r="M257" s="57" t="s">
        <v>1711</v>
      </c>
    </row>
    <row r="258" ht="56" spans="1:13">
      <c r="A258" s="178" t="str">
        <f t="shared" si="3"/>
        <v>Leadership|Department Head|2</v>
      </c>
      <c r="B258" s="57" t="s">
        <v>452</v>
      </c>
      <c r="C258" s="177" t="s">
        <v>655</v>
      </c>
      <c r="D258" s="177">
        <v>2</v>
      </c>
      <c r="E258" s="177" t="s">
        <v>491</v>
      </c>
      <c r="F258" s="177">
        <v>2</v>
      </c>
      <c r="G258" s="57" t="s">
        <v>1712</v>
      </c>
      <c r="H258" s="57" t="s">
        <v>1713</v>
      </c>
      <c r="I258" s="57" t="s">
        <v>1714</v>
      </c>
      <c r="J258" s="57" t="s">
        <v>1715</v>
      </c>
      <c r="K258" s="57" t="s">
        <v>478</v>
      </c>
      <c r="L258" s="57" t="s">
        <v>479</v>
      </c>
      <c r="M258" s="57" t="s">
        <v>1716</v>
      </c>
    </row>
    <row r="259" ht="42" spans="1:13">
      <c r="A259" s="178" t="str">
        <f t="shared" ref="A259:A322" si="4">B259&amp;"|"&amp;C259&amp;"|"&amp;D259</f>
        <v>Leadership|Department Head|2</v>
      </c>
      <c r="B259" s="57" t="s">
        <v>452</v>
      </c>
      <c r="C259" s="177" t="s">
        <v>655</v>
      </c>
      <c r="D259" s="177">
        <v>2</v>
      </c>
      <c r="E259" s="177" t="s">
        <v>491</v>
      </c>
      <c r="F259" s="177">
        <v>3</v>
      </c>
      <c r="G259" s="57" t="s">
        <v>1717</v>
      </c>
      <c r="H259" s="57" t="s">
        <v>1718</v>
      </c>
      <c r="I259" s="57" t="s">
        <v>1719</v>
      </c>
      <c r="J259" s="57" t="s">
        <v>1720</v>
      </c>
      <c r="K259" s="57" t="s">
        <v>478</v>
      </c>
      <c r="L259" s="57" t="s">
        <v>479</v>
      </c>
      <c r="M259" s="57" t="s">
        <v>1721</v>
      </c>
    </row>
    <row r="260" ht="84" spans="1:13">
      <c r="A260" s="178" t="str">
        <f t="shared" si="4"/>
        <v>Leadership|Department Head|3</v>
      </c>
      <c r="B260" s="57" t="s">
        <v>452</v>
      </c>
      <c r="C260" s="177" t="s">
        <v>655</v>
      </c>
      <c r="D260" s="177">
        <v>3</v>
      </c>
      <c r="E260" s="177" t="s">
        <v>507</v>
      </c>
      <c r="F260" s="177">
        <v>1</v>
      </c>
      <c r="G260" s="57" t="s">
        <v>1722</v>
      </c>
      <c r="H260" s="57" t="s">
        <v>1723</v>
      </c>
      <c r="I260" s="57" t="s">
        <v>1724</v>
      </c>
      <c r="J260" s="57" t="s">
        <v>1725</v>
      </c>
      <c r="K260" s="57" t="s">
        <v>478</v>
      </c>
      <c r="L260" s="57" t="s">
        <v>479</v>
      </c>
      <c r="M260" s="57" t="s">
        <v>1726</v>
      </c>
    </row>
    <row r="261" ht="84" spans="1:13">
      <c r="A261" s="178" t="str">
        <f t="shared" si="4"/>
        <v>Leadership|Department Head|3</v>
      </c>
      <c r="B261" s="57" t="s">
        <v>452</v>
      </c>
      <c r="C261" s="177" t="s">
        <v>655</v>
      </c>
      <c r="D261" s="177">
        <v>3</v>
      </c>
      <c r="E261" s="177" t="s">
        <v>507</v>
      </c>
      <c r="F261" s="177">
        <v>2</v>
      </c>
      <c r="G261" s="57" t="s">
        <v>1727</v>
      </c>
      <c r="H261" s="57" t="s">
        <v>1728</v>
      </c>
      <c r="I261" s="57" t="s">
        <v>1729</v>
      </c>
      <c r="J261" s="57" t="s">
        <v>1730</v>
      </c>
      <c r="K261" s="57" t="s">
        <v>478</v>
      </c>
      <c r="L261" s="57" t="s">
        <v>479</v>
      </c>
      <c r="M261" s="57" t="s">
        <v>1731</v>
      </c>
    </row>
    <row r="262" ht="84" spans="1:13">
      <c r="A262" s="178" t="str">
        <f t="shared" si="4"/>
        <v>Leadership|Department Head|3</v>
      </c>
      <c r="B262" s="57" t="s">
        <v>452</v>
      </c>
      <c r="C262" s="177" t="s">
        <v>655</v>
      </c>
      <c r="D262" s="177">
        <v>3</v>
      </c>
      <c r="E262" s="177" t="s">
        <v>507</v>
      </c>
      <c r="F262" s="177">
        <v>3</v>
      </c>
      <c r="G262" s="57" t="s">
        <v>1732</v>
      </c>
      <c r="H262" s="57" t="s">
        <v>1733</v>
      </c>
      <c r="I262" s="57" t="s">
        <v>1734</v>
      </c>
      <c r="J262" s="57" t="s">
        <v>1735</v>
      </c>
      <c r="K262" s="57" t="s">
        <v>478</v>
      </c>
      <c r="L262" s="57" t="s">
        <v>479</v>
      </c>
      <c r="M262" s="57" t="s">
        <v>757</v>
      </c>
    </row>
    <row r="263" ht="126" spans="1:13">
      <c r="A263" s="178" t="str">
        <f t="shared" si="4"/>
        <v>Leadership|Department Head|4</v>
      </c>
      <c r="B263" s="57" t="s">
        <v>452</v>
      </c>
      <c r="C263" s="177" t="s">
        <v>655</v>
      </c>
      <c r="D263" s="177">
        <v>4</v>
      </c>
      <c r="E263" s="177" t="s">
        <v>523</v>
      </c>
      <c r="F263" s="177">
        <v>1</v>
      </c>
      <c r="G263" s="57" t="s">
        <v>1736</v>
      </c>
      <c r="H263" s="57" t="s">
        <v>1737</v>
      </c>
      <c r="I263" s="57" t="s">
        <v>1738</v>
      </c>
      <c r="J263" s="57" t="s">
        <v>1739</v>
      </c>
      <c r="K263" s="57" t="s">
        <v>478</v>
      </c>
      <c r="L263" s="57" t="s">
        <v>479</v>
      </c>
      <c r="M263" s="57" t="s">
        <v>1740</v>
      </c>
    </row>
    <row r="264" ht="154" spans="1:13">
      <c r="A264" s="178" t="str">
        <f t="shared" si="4"/>
        <v>Leadership|Department Head|4</v>
      </c>
      <c r="B264" s="57" t="s">
        <v>452</v>
      </c>
      <c r="C264" s="177" t="s">
        <v>655</v>
      </c>
      <c r="D264" s="177">
        <v>4</v>
      </c>
      <c r="E264" s="177" t="s">
        <v>523</v>
      </c>
      <c r="F264" s="177">
        <v>2</v>
      </c>
      <c r="G264" s="57" t="s">
        <v>1741</v>
      </c>
      <c r="H264" s="57" t="s">
        <v>1742</v>
      </c>
      <c r="I264" s="57" t="s">
        <v>1743</v>
      </c>
      <c r="J264" s="57" t="s">
        <v>1744</v>
      </c>
      <c r="K264" s="57" t="s">
        <v>478</v>
      </c>
      <c r="L264" s="57" t="s">
        <v>479</v>
      </c>
      <c r="M264" s="57" t="s">
        <v>1745</v>
      </c>
    </row>
    <row r="265" ht="126" spans="1:13">
      <c r="A265" s="178" t="str">
        <f t="shared" si="4"/>
        <v>Leadership|Department Head|4</v>
      </c>
      <c r="B265" s="57" t="s">
        <v>452</v>
      </c>
      <c r="C265" s="177" t="s">
        <v>655</v>
      </c>
      <c r="D265" s="177">
        <v>4</v>
      </c>
      <c r="E265" s="177" t="s">
        <v>523</v>
      </c>
      <c r="F265" s="177">
        <v>3</v>
      </c>
      <c r="G265" s="57" t="s">
        <v>1746</v>
      </c>
      <c r="H265" s="57" t="s">
        <v>1747</v>
      </c>
      <c r="I265" s="57" t="s">
        <v>1748</v>
      </c>
      <c r="J265" s="57" t="s">
        <v>1749</v>
      </c>
      <c r="K265" s="57" t="s">
        <v>478</v>
      </c>
      <c r="L265" s="57" t="s">
        <v>479</v>
      </c>
      <c r="M265" s="57" t="s">
        <v>1750</v>
      </c>
    </row>
    <row r="266" ht="70" spans="1:13">
      <c r="A266" s="178" t="str">
        <f t="shared" si="4"/>
        <v>Leadership|Division Head|1</v>
      </c>
      <c r="B266" s="57" t="s">
        <v>452</v>
      </c>
      <c r="C266" s="177" t="s">
        <v>712</v>
      </c>
      <c r="D266" s="177">
        <v>1</v>
      </c>
      <c r="E266" s="177" t="s">
        <v>473</v>
      </c>
      <c r="F266" s="177">
        <v>1</v>
      </c>
      <c r="G266" s="57" t="s">
        <v>1751</v>
      </c>
      <c r="H266" s="57" t="s">
        <v>1752</v>
      </c>
      <c r="I266" s="57" t="s">
        <v>1753</v>
      </c>
      <c r="J266" s="57" t="s">
        <v>1754</v>
      </c>
      <c r="K266" s="57" t="s">
        <v>478</v>
      </c>
      <c r="L266" s="57" t="s">
        <v>479</v>
      </c>
      <c r="M266" s="57" t="s">
        <v>1755</v>
      </c>
    </row>
    <row r="267" ht="70" spans="1:13">
      <c r="A267" s="178" t="str">
        <f t="shared" si="4"/>
        <v>Leadership|Division Head|1</v>
      </c>
      <c r="B267" s="57" t="s">
        <v>452</v>
      </c>
      <c r="C267" s="177" t="s">
        <v>712</v>
      </c>
      <c r="D267" s="177">
        <v>1</v>
      </c>
      <c r="E267" s="177" t="s">
        <v>473</v>
      </c>
      <c r="F267" s="177">
        <v>2</v>
      </c>
      <c r="G267" s="57" t="s">
        <v>1756</v>
      </c>
      <c r="H267" s="57" t="s">
        <v>1757</v>
      </c>
      <c r="I267" s="57" t="s">
        <v>1758</v>
      </c>
      <c r="J267" s="57" t="s">
        <v>1759</v>
      </c>
      <c r="K267" s="57" t="s">
        <v>478</v>
      </c>
      <c r="L267" s="57" t="s">
        <v>479</v>
      </c>
      <c r="M267" s="57" t="s">
        <v>1760</v>
      </c>
    </row>
    <row r="268" ht="70" spans="1:13">
      <c r="A268" s="178" t="str">
        <f t="shared" si="4"/>
        <v>Leadership|Division Head|1</v>
      </c>
      <c r="B268" s="57" t="s">
        <v>452</v>
      </c>
      <c r="C268" s="177" t="s">
        <v>712</v>
      </c>
      <c r="D268" s="177">
        <v>1</v>
      </c>
      <c r="E268" s="177" t="s">
        <v>473</v>
      </c>
      <c r="F268" s="177">
        <v>3</v>
      </c>
      <c r="G268" s="57" t="s">
        <v>1761</v>
      </c>
      <c r="H268" s="57" t="s">
        <v>1762</v>
      </c>
      <c r="I268" s="57" t="s">
        <v>1763</v>
      </c>
      <c r="J268" s="57" t="s">
        <v>1764</v>
      </c>
      <c r="K268" s="57" t="s">
        <v>478</v>
      </c>
      <c r="L268" s="57" t="s">
        <v>479</v>
      </c>
      <c r="M268" s="57" t="s">
        <v>1764</v>
      </c>
    </row>
    <row r="269" ht="56" spans="1:13">
      <c r="A269" s="178" t="str">
        <f t="shared" si="4"/>
        <v>Leadership|Division Head|2</v>
      </c>
      <c r="B269" s="57" t="s">
        <v>452</v>
      </c>
      <c r="C269" s="177" t="s">
        <v>712</v>
      </c>
      <c r="D269" s="177">
        <v>2</v>
      </c>
      <c r="E269" s="177" t="s">
        <v>491</v>
      </c>
      <c r="F269" s="177">
        <v>1</v>
      </c>
      <c r="G269" s="57" t="s">
        <v>1765</v>
      </c>
      <c r="H269" s="57" t="s">
        <v>1766</v>
      </c>
      <c r="I269" s="57" t="s">
        <v>1767</v>
      </c>
      <c r="J269" s="57" t="s">
        <v>1768</v>
      </c>
      <c r="K269" s="57" t="s">
        <v>478</v>
      </c>
      <c r="L269" s="57" t="s">
        <v>479</v>
      </c>
      <c r="M269" s="57" t="s">
        <v>732</v>
      </c>
    </row>
    <row r="270" ht="56" spans="1:13">
      <c r="A270" s="178" t="str">
        <f t="shared" si="4"/>
        <v>Leadership|Division Head|2</v>
      </c>
      <c r="B270" s="57" t="s">
        <v>452</v>
      </c>
      <c r="C270" s="177" t="s">
        <v>712</v>
      </c>
      <c r="D270" s="177">
        <v>2</v>
      </c>
      <c r="E270" s="177" t="s">
        <v>491</v>
      </c>
      <c r="F270" s="177">
        <v>2</v>
      </c>
      <c r="G270" s="57" t="s">
        <v>1769</v>
      </c>
      <c r="H270" s="57" t="s">
        <v>1770</v>
      </c>
      <c r="I270" s="57" t="s">
        <v>1771</v>
      </c>
      <c r="J270" s="57" t="s">
        <v>1772</v>
      </c>
      <c r="K270" s="57" t="s">
        <v>478</v>
      </c>
      <c r="L270" s="57" t="s">
        <v>479</v>
      </c>
      <c r="M270" s="57" t="s">
        <v>1773</v>
      </c>
    </row>
    <row r="271" ht="42" spans="1:13">
      <c r="A271" s="178" t="str">
        <f t="shared" si="4"/>
        <v>Leadership|Division Head|2</v>
      </c>
      <c r="B271" s="57" t="s">
        <v>452</v>
      </c>
      <c r="C271" s="177" t="s">
        <v>712</v>
      </c>
      <c r="D271" s="177">
        <v>2</v>
      </c>
      <c r="E271" s="177" t="s">
        <v>491</v>
      </c>
      <c r="F271" s="177">
        <v>3</v>
      </c>
      <c r="G271" s="57" t="s">
        <v>1774</v>
      </c>
      <c r="H271" s="57" t="s">
        <v>1775</v>
      </c>
      <c r="I271" s="57" t="s">
        <v>1776</v>
      </c>
      <c r="J271" s="57" t="s">
        <v>1777</v>
      </c>
      <c r="K271" s="57" t="s">
        <v>478</v>
      </c>
      <c r="L271" s="57" t="s">
        <v>479</v>
      </c>
      <c r="M271" s="57" t="s">
        <v>1778</v>
      </c>
    </row>
    <row r="272" ht="56" spans="1:13">
      <c r="A272" s="178" t="str">
        <f t="shared" si="4"/>
        <v>Leadership|Division Head|3</v>
      </c>
      <c r="B272" s="57" t="s">
        <v>452</v>
      </c>
      <c r="C272" s="177" t="s">
        <v>712</v>
      </c>
      <c r="D272" s="177">
        <v>3</v>
      </c>
      <c r="E272" s="177" t="s">
        <v>507</v>
      </c>
      <c r="F272" s="177">
        <v>1</v>
      </c>
      <c r="G272" s="57" t="s">
        <v>1779</v>
      </c>
      <c r="H272" s="57" t="s">
        <v>1780</v>
      </c>
      <c r="I272" s="57" t="s">
        <v>1781</v>
      </c>
      <c r="J272" s="57" t="s">
        <v>1782</v>
      </c>
      <c r="K272" s="57" t="s">
        <v>478</v>
      </c>
      <c r="L272" s="57" t="s">
        <v>479</v>
      </c>
      <c r="M272" s="57" t="s">
        <v>1783</v>
      </c>
    </row>
    <row r="273" ht="56" spans="1:13">
      <c r="A273" s="178" t="str">
        <f t="shared" si="4"/>
        <v>Leadership|Division Head|3</v>
      </c>
      <c r="B273" s="57" t="s">
        <v>452</v>
      </c>
      <c r="C273" s="177" t="s">
        <v>712</v>
      </c>
      <c r="D273" s="177">
        <v>3</v>
      </c>
      <c r="E273" s="177" t="s">
        <v>507</v>
      </c>
      <c r="F273" s="177">
        <v>2</v>
      </c>
      <c r="G273" s="57" t="s">
        <v>1784</v>
      </c>
      <c r="H273" s="57" t="s">
        <v>1785</v>
      </c>
      <c r="I273" s="57" t="s">
        <v>1786</v>
      </c>
      <c r="J273" s="57" t="s">
        <v>1787</v>
      </c>
      <c r="K273" s="57" t="s">
        <v>478</v>
      </c>
      <c r="L273" s="57" t="s">
        <v>479</v>
      </c>
      <c r="M273" s="57" t="s">
        <v>1788</v>
      </c>
    </row>
    <row r="274" ht="84" spans="1:13">
      <c r="A274" s="178" t="str">
        <f t="shared" si="4"/>
        <v>Leadership|Division Head|3</v>
      </c>
      <c r="B274" s="57" t="s">
        <v>452</v>
      </c>
      <c r="C274" s="177" t="s">
        <v>712</v>
      </c>
      <c r="D274" s="177">
        <v>3</v>
      </c>
      <c r="E274" s="177" t="s">
        <v>507</v>
      </c>
      <c r="F274" s="177">
        <v>3</v>
      </c>
      <c r="G274" s="57" t="s">
        <v>1789</v>
      </c>
      <c r="H274" s="57" t="s">
        <v>1790</v>
      </c>
      <c r="I274" s="57" t="s">
        <v>1791</v>
      </c>
      <c r="J274" s="57" t="s">
        <v>581</v>
      </c>
      <c r="K274" s="57" t="s">
        <v>478</v>
      </c>
      <c r="L274" s="57" t="s">
        <v>479</v>
      </c>
      <c r="M274" s="57" t="s">
        <v>757</v>
      </c>
    </row>
    <row r="275" ht="70" spans="1:13">
      <c r="A275" s="178" t="str">
        <f t="shared" si="4"/>
        <v>Leadership|Division Head|4</v>
      </c>
      <c r="B275" s="57" t="s">
        <v>452</v>
      </c>
      <c r="C275" s="177" t="s">
        <v>712</v>
      </c>
      <c r="D275" s="177">
        <v>4</v>
      </c>
      <c r="E275" s="177" t="s">
        <v>523</v>
      </c>
      <c r="F275" s="177">
        <v>1</v>
      </c>
      <c r="G275" s="57" t="s">
        <v>1792</v>
      </c>
      <c r="H275" s="57" t="s">
        <v>1793</v>
      </c>
      <c r="I275" s="57" t="s">
        <v>1794</v>
      </c>
      <c r="J275" s="57" t="s">
        <v>1795</v>
      </c>
      <c r="K275" s="57" t="s">
        <v>478</v>
      </c>
      <c r="L275" s="57" t="s">
        <v>479</v>
      </c>
      <c r="M275" s="57" t="s">
        <v>1796</v>
      </c>
    </row>
    <row r="276" ht="70" spans="1:13">
      <c r="A276" s="178" t="str">
        <f t="shared" si="4"/>
        <v>Leadership|Division Head|4</v>
      </c>
      <c r="B276" s="57" t="s">
        <v>452</v>
      </c>
      <c r="C276" s="177" t="s">
        <v>712</v>
      </c>
      <c r="D276" s="177">
        <v>4</v>
      </c>
      <c r="E276" s="177" t="s">
        <v>523</v>
      </c>
      <c r="F276" s="177">
        <v>2</v>
      </c>
      <c r="G276" s="57" t="s">
        <v>1797</v>
      </c>
      <c r="H276" s="57" t="s">
        <v>1798</v>
      </c>
      <c r="I276" s="57" t="s">
        <v>1799</v>
      </c>
      <c r="J276" s="57" t="s">
        <v>1800</v>
      </c>
      <c r="K276" s="57" t="s">
        <v>478</v>
      </c>
      <c r="L276" s="57" t="s">
        <v>479</v>
      </c>
      <c r="M276" s="57" t="s">
        <v>1801</v>
      </c>
    </row>
    <row r="277" ht="70" spans="1:13">
      <c r="A277" s="178" t="str">
        <f t="shared" si="4"/>
        <v>Leadership|Division Head|4</v>
      </c>
      <c r="B277" s="57" t="s">
        <v>452</v>
      </c>
      <c r="C277" s="177" t="s">
        <v>712</v>
      </c>
      <c r="D277" s="177">
        <v>4</v>
      </c>
      <c r="E277" s="177" t="s">
        <v>523</v>
      </c>
      <c r="F277" s="177">
        <v>3</v>
      </c>
      <c r="G277" s="57" t="s">
        <v>1802</v>
      </c>
      <c r="H277" s="57" t="s">
        <v>1803</v>
      </c>
      <c r="I277" s="57" t="s">
        <v>1804</v>
      </c>
      <c r="J277" s="57" t="s">
        <v>1805</v>
      </c>
      <c r="K277" s="57" t="s">
        <v>478</v>
      </c>
      <c r="L277" s="57" t="s">
        <v>479</v>
      </c>
      <c r="M277" s="57" t="s">
        <v>1806</v>
      </c>
    </row>
    <row r="278" ht="84" spans="1:13">
      <c r="A278" s="178" t="str">
        <f t="shared" si="4"/>
        <v>Leadership|Director|1</v>
      </c>
      <c r="B278" s="57" t="s">
        <v>452</v>
      </c>
      <c r="C278" s="177" t="s">
        <v>773</v>
      </c>
      <c r="D278" s="177">
        <v>1</v>
      </c>
      <c r="E278" s="177" t="s">
        <v>473</v>
      </c>
      <c r="F278" s="177">
        <v>1</v>
      </c>
      <c r="G278" s="57" t="s">
        <v>1807</v>
      </c>
      <c r="H278" s="57" t="s">
        <v>1808</v>
      </c>
      <c r="I278" s="57" t="s">
        <v>1809</v>
      </c>
      <c r="J278" s="57" t="s">
        <v>1810</v>
      </c>
      <c r="K278" s="57" t="s">
        <v>478</v>
      </c>
      <c r="L278" s="57" t="s">
        <v>479</v>
      </c>
      <c r="M278" s="57" t="s">
        <v>1811</v>
      </c>
    </row>
    <row r="279" ht="70" spans="1:13">
      <c r="A279" s="178" t="str">
        <f t="shared" si="4"/>
        <v>Leadership|Director|1</v>
      </c>
      <c r="B279" s="57" t="s">
        <v>452</v>
      </c>
      <c r="C279" s="177" t="s">
        <v>773</v>
      </c>
      <c r="D279" s="177">
        <v>1</v>
      </c>
      <c r="E279" s="177" t="s">
        <v>473</v>
      </c>
      <c r="F279" s="177">
        <v>2</v>
      </c>
      <c r="G279" s="57" t="s">
        <v>1812</v>
      </c>
      <c r="H279" s="57" t="s">
        <v>1813</v>
      </c>
      <c r="I279" s="57" t="s">
        <v>1814</v>
      </c>
      <c r="J279" s="57" t="s">
        <v>1815</v>
      </c>
      <c r="K279" s="57" t="s">
        <v>478</v>
      </c>
      <c r="L279" s="57" t="s">
        <v>479</v>
      </c>
      <c r="M279" s="57" t="s">
        <v>1816</v>
      </c>
    </row>
    <row r="280" ht="70" spans="1:13">
      <c r="A280" s="178" t="str">
        <f t="shared" si="4"/>
        <v>Leadership|Director|1</v>
      </c>
      <c r="B280" s="57" t="s">
        <v>452</v>
      </c>
      <c r="C280" s="177" t="s">
        <v>773</v>
      </c>
      <c r="D280" s="177">
        <v>1</v>
      </c>
      <c r="E280" s="177" t="s">
        <v>473</v>
      </c>
      <c r="F280" s="177">
        <v>3</v>
      </c>
      <c r="G280" s="57" t="s">
        <v>1817</v>
      </c>
      <c r="H280" s="57" t="s">
        <v>1818</v>
      </c>
      <c r="I280" s="57" t="s">
        <v>1819</v>
      </c>
      <c r="J280" s="57" t="s">
        <v>1820</v>
      </c>
      <c r="K280" s="57" t="s">
        <v>478</v>
      </c>
      <c r="L280" s="57" t="s">
        <v>479</v>
      </c>
      <c r="M280" s="57" t="s">
        <v>1821</v>
      </c>
    </row>
    <row r="281" ht="56" spans="1:13">
      <c r="A281" s="178" t="str">
        <f t="shared" si="4"/>
        <v>Leadership|Director|2</v>
      </c>
      <c r="B281" s="57" t="s">
        <v>452</v>
      </c>
      <c r="C281" s="177" t="s">
        <v>773</v>
      </c>
      <c r="D281" s="177">
        <v>2</v>
      </c>
      <c r="E281" s="177" t="s">
        <v>491</v>
      </c>
      <c r="F281" s="177">
        <v>1</v>
      </c>
      <c r="G281" s="57" t="s">
        <v>1822</v>
      </c>
      <c r="H281" s="57" t="s">
        <v>1823</v>
      </c>
      <c r="I281" s="57" t="s">
        <v>1824</v>
      </c>
      <c r="J281" s="57" t="s">
        <v>1825</v>
      </c>
      <c r="K281" s="57" t="s">
        <v>478</v>
      </c>
      <c r="L281" s="57" t="s">
        <v>479</v>
      </c>
      <c r="M281" s="57" t="s">
        <v>1826</v>
      </c>
    </row>
    <row r="282" ht="56" spans="1:13">
      <c r="A282" s="178" t="str">
        <f t="shared" si="4"/>
        <v>Leadership|Director|2</v>
      </c>
      <c r="B282" s="57" t="s">
        <v>452</v>
      </c>
      <c r="C282" s="177" t="s">
        <v>773</v>
      </c>
      <c r="D282" s="177">
        <v>2</v>
      </c>
      <c r="E282" s="177" t="s">
        <v>491</v>
      </c>
      <c r="F282" s="177">
        <v>2</v>
      </c>
      <c r="G282" s="57" t="s">
        <v>1827</v>
      </c>
      <c r="H282" s="57" t="s">
        <v>1828</v>
      </c>
      <c r="I282" s="57" t="s">
        <v>1829</v>
      </c>
      <c r="J282" s="57" t="s">
        <v>1830</v>
      </c>
      <c r="K282" s="57" t="s">
        <v>478</v>
      </c>
      <c r="L282" s="57" t="s">
        <v>479</v>
      </c>
      <c r="M282" s="57" t="s">
        <v>1831</v>
      </c>
    </row>
    <row r="283" ht="42" spans="1:13">
      <c r="A283" s="178" t="str">
        <f t="shared" si="4"/>
        <v>Leadership|Director|2</v>
      </c>
      <c r="B283" s="57" t="s">
        <v>452</v>
      </c>
      <c r="C283" s="177" t="s">
        <v>773</v>
      </c>
      <c r="D283" s="177">
        <v>2</v>
      </c>
      <c r="E283" s="177" t="s">
        <v>491</v>
      </c>
      <c r="F283" s="177">
        <v>3</v>
      </c>
      <c r="G283" s="57" t="s">
        <v>1832</v>
      </c>
      <c r="H283" s="57" t="s">
        <v>1833</v>
      </c>
      <c r="I283" s="57" t="s">
        <v>1834</v>
      </c>
      <c r="J283" s="57" t="s">
        <v>1835</v>
      </c>
      <c r="K283" s="57" t="s">
        <v>478</v>
      </c>
      <c r="L283" s="57" t="s">
        <v>479</v>
      </c>
      <c r="M283" s="57" t="s">
        <v>1836</v>
      </c>
    </row>
    <row r="284" ht="56" spans="1:13">
      <c r="A284" s="178" t="str">
        <f t="shared" si="4"/>
        <v>Leadership|Director|3</v>
      </c>
      <c r="B284" s="57" t="s">
        <v>452</v>
      </c>
      <c r="C284" s="177" t="s">
        <v>773</v>
      </c>
      <c r="D284" s="177">
        <v>3</v>
      </c>
      <c r="E284" s="177" t="s">
        <v>507</v>
      </c>
      <c r="F284" s="177">
        <v>1</v>
      </c>
      <c r="G284" s="57" t="s">
        <v>1837</v>
      </c>
      <c r="H284" s="57" t="s">
        <v>1838</v>
      </c>
      <c r="I284" s="57" t="s">
        <v>1839</v>
      </c>
      <c r="J284" s="57" t="s">
        <v>1840</v>
      </c>
      <c r="K284" s="57" t="s">
        <v>478</v>
      </c>
      <c r="L284" s="57" t="s">
        <v>479</v>
      </c>
      <c r="M284" s="57" t="s">
        <v>1841</v>
      </c>
    </row>
    <row r="285" ht="70" spans="1:13">
      <c r="A285" s="178" t="str">
        <f t="shared" si="4"/>
        <v>Leadership|Director|3</v>
      </c>
      <c r="B285" s="57" t="s">
        <v>452</v>
      </c>
      <c r="C285" s="177" t="s">
        <v>773</v>
      </c>
      <c r="D285" s="177">
        <v>3</v>
      </c>
      <c r="E285" s="177" t="s">
        <v>507</v>
      </c>
      <c r="F285" s="177">
        <v>2</v>
      </c>
      <c r="G285" s="57" t="s">
        <v>1842</v>
      </c>
      <c r="H285" s="57" t="s">
        <v>1843</v>
      </c>
      <c r="I285" s="57" t="s">
        <v>1844</v>
      </c>
      <c r="J285" s="57" t="s">
        <v>812</v>
      </c>
      <c r="K285" s="57" t="s">
        <v>478</v>
      </c>
      <c r="L285" s="57" t="s">
        <v>479</v>
      </c>
      <c r="M285" s="57" t="s">
        <v>1845</v>
      </c>
    </row>
    <row r="286" ht="70" spans="1:13">
      <c r="A286" s="178" t="str">
        <f t="shared" si="4"/>
        <v>Leadership|Director|3</v>
      </c>
      <c r="B286" s="57" t="s">
        <v>452</v>
      </c>
      <c r="C286" s="177" t="s">
        <v>773</v>
      </c>
      <c r="D286" s="177">
        <v>3</v>
      </c>
      <c r="E286" s="177" t="s">
        <v>507</v>
      </c>
      <c r="F286" s="177">
        <v>3</v>
      </c>
      <c r="G286" s="57" t="s">
        <v>1846</v>
      </c>
      <c r="H286" s="57" t="s">
        <v>1847</v>
      </c>
      <c r="I286" s="57" t="s">
        <v>1848</v>
      </c>
      <c r="J286" s="57" t="s">
        <v>581</v>
      </c>
      <c r="K286" s="57" t="s">
        <v>478</v>
      </c>
      <c r="L286" s="57" t="s">
        <v>479</v>
      </c>
      <c r="M286" s="57" t="s">
        <v>582</v>
      </c>
    </row>
    <row r="287" ht="70" spans="1:13">
      <c r="A287" s="178" t="str">
        <f t="shared" si="4"/>
        <v>Leadership|Director|4</v>
      </c>
      <c r="B287" s="57" t="s">
        <v>452</v>
      </c>
      <c r="C287" s="177" t="s">
        <v>773</v>
      </c>
      <c r="D287" s="177">
        <v>4</v>
      </c>
      <c r="E287" s="177" t="s">
        <v>523</v>
      </c>
      <c r="F287" s="177">
        <v>1</v>
      </c>
      <c r="G287" s="57" t="s">
        <v>1849</v>
      </c>
      <c r="H287" s="57" t="s">
        <v>1850</v>
      </c>
      <c r="I287" s="57" t="s">
        <v>1851</v>
      </c>
      <c r="J287" s="57" t="s">
        <v>1852</v>
      </c>
      <c r="K287" s="57" t="s">
        <v>478</v>
      </c>
      <c r="L287" s="57" t="s">
        <v>479</v>
      </c>
      <c r="M287" s="57" t="s">
        <v>1853</v>
      </c>
    </row>
    <row r="288" ht="70" spans="1:13">
      <c r="A288" s="178" t="str">
        <f t="shared" si="4"/>
        <v>Leadership|Director|4</v>
      </c>
      <c r="B288" s="57" t="s">
        <v>452</v>
      </c>
      <c r="C288" s="177" t="s">
        <v>773</v>
      </c>
      <c r="D288" s="177">
        <v>4</v>
      </c>
      <c r="E288" s="177" t="s">
        <v>523</v>
      </c>
      <c r="F288" s="177">
        <v>2</v>
      </c>
      <c r="G288" s="57" t="s">
        <v>1854</v>
      </c>
      <c r="H288" s="57" t="s">
        <v>1855</v>
      </c>
      <c r="I288" s="57" t="s">
        <v>1856</v>
      </c>
      <c r="J288" s="57" t="s">
        <v>1857</v>
      </c>
      <c r="K288" s="57" t="s">
        <v>478</v>
      </c>
      <c r="L288" s="57" t="s">
        <v>479</v>
      </c>
      <c r="M288" s="57" t="s">
        <v>1858</v>
      </c>
    </row>
    <row r="289" ht="70" spans="1:13">
      <c r="A289" s="178" t="str">
        <f t="shared" si="4"/>
        <v>Leadership|Director|4</v>
      </c>
      <c r="B289" s="57" t="s">
        <v>452</v>
      </c>
      <c r="C289" s="177" t="s">
        <v>773</v>
      </c>
      <c r="D289" s="177">
        <v>4</v>
      </c>
      <c r="E289" s="177" t="s">
        <v>523</v>
      </c>
      <c r="F289" s="177">
        <v>3</v>
      </c>
      <c r="G289" s="57" t="s">
        <v>1859</v>
      </c>
      <c r="H289" s="57" t="s">
        <v>1860</v>
      </c>
      <c r="I289" s="57" t="s">
        <v>1861</v>
      </c>
      <c r="J289" s="57" t="s">
        <v>1862</v>
      </c>
      <c r="K289" s="57" t="s">
        <v>478</v>
      </c>
      <c r="L289" s="57" t="s">
        <v>479</v>
      </c>
      <c r="M289" s="57" t="s">
        <v>1863</v>
      </c>
    </row>
    <row r="290" ht="70" spans="1:13">
      <c r="A290" s="178" t="str">
        <f t="shared" si="4"/>
        <v>Controlling &amp; Corrective Action|Officer|1</v>
      </c>
      <c r="B290" s="57" t="s">
        <v>447</v>
      </c>
      <c r="C290" s="177" t="s">
        <v>6</v>
      </c>
      <c r="D290" s="177">
        <v>1</v>
      </c>
      <c r="E290" s="177" t="s">
        <v>473</v>
      </c>
      <c r="F290" s="177">
        <v>1</v>
      </c>
      <c r="G290" s="57" t="s">
        <v>1864</v>
      </c>
      <c r="H290" s="57" t="s">
        <v>1865</v>
      </c>
      <c r="I290" s="57" t="s">
        <v>1866</v>
      </c>
      <c r="J290" s="57" t="s">
        <v>1867</v>
      </c>
      <c r="K290" s="57" t="s">
        <v>478</v>
      </c>
      <c r="L290" s="57" t="s">
        <v>479</v>
      </c>
      <c r="M290" s="57" t="s">
        <v>1868</v>
      </c>
    </row>
    <row r="291" ht="56" spans="1:13">
      <c r="A291" s="178" t="str">
        <f t="shared" si="4"/>
        <v>Controlling &amp; Corrective Action|Officer|1</v>
      </c>
      <c r="B291" s="57" t="s">
        <v>447</v>
      </c>
      <c r="C291" s="177" t="s">
        <v>6</v>
      </c>
      <c r="D291" s="177">
        <v>1</v>
      </c>
      <c r="E291" s="177" t="s">
        <v>473</v>
      </c>
      <c r="F291" s="177">
        <v>2</v>
      </c>
      <c r="G291" s="57" t="s">
        <v>1869</v>
      </c>
      <c r="H291" s="57" t="s">
        <v>1870</v>
      </c>
      <c r="I291" s="57" t="s">
        <v>1871</v>
      </c>
      <c r="J291" s="57" t="s">
        <v>1872</v>
      </c>
      <c r="K291" s="57" t="s">
        <v>478</v>
      </c>
      <c r="L291" s="57" t="s">
        <v>479</v>
      </c>
      <c r="M291" s="57" t="s">
        <v>1873</v>
      </c>
    </row>
    <row r="292" ht="70" spans="1:13">
      <c r="A292" s="178" t="str">
        <f t="shared" si="4"/>
        <v>Controlling &amp; Corrective Action|Officer|1</v>
      </c>
      <c r="B292" s="57" t="s">
        <v>447</v>
      </c>
      <c r="C292" s="177" t="s">
        <v>6</v>
      </c>
      <c r="D292" s="177">
        <v>1</v>
      </c>
      <c r="E292" s="177" t="s">
        <v>473</v>
      </c>
      <c r="F292" s="177">
        <v>3</v>
      </c>
      <c r="G292" s="57" t="s">
        <v>1874</v>
      </c>
      <c r="H292" s="57" t="s">
        <v>1875</v>
      </c>
      <c r="I292" s="57" t="s">
        <v>1876</v>
      </c>
      <c r="J292" s="57" t="s">
        <v>1877</v>
      </c>
      <c r="K292" s="57" t="s">
        <v>478</v>
      </c>
      <c r="L292" s="57" t="s">
        <v>479</v>
      </c>
      <c r="M292" s="57" t="s">
        <v>1878</v>
      </c>
    </row>
    <row r="293" ht="112" spans="1:13">
      <c r="A293" s="178" t="str">
        <f t="shared" si="4"/>
        <v>Controlling &amp; Corrective Action|Officer|2</v>
      </c>
      <c r="B293" s="57" t="s">
        <v>447</v>
      </c>
      <c r="C293" s="177" t="s">
        <v>6</v>
      </c>
      <c r="D293" s="177">
        <v>2</v>
      </c>
      <c r="E293" s="177" t="s">
        <v>491</v>
      </c>
      <c r="F293" s="177">
        <v>1</v>
      </c>
      <c r="G293" s="57" t="s">
        <v>1879</v>
      </c>
      <c r="H293" s="57" t="s">
        <v>1880</v>
      </c>
      <c r="I293" s="57" t="s">
        <v>1881</v>
      </c>
      <c r="J293" s="57" t="s">
        <v>1882</v>
      </c>
      <c r="K293" s="57" t="s">
        <v>478</v>
      </c>
      <c r="L293" s="57" t="s">
        <v>479</v>
      </c>
      <c r="M293" s="57" t="s">
        <v>1883</v>
      </c>
    </row>
    <row r="294" ht="112" spans="1:13">
      <c r="A294" s="178" t="str">
        <f t="shared" si="4"/>
        <v>Controlling &amp; Corrective Action|Officer|2</v>
      </c>
      <c r="B294" s="57" t="s">
        <v>447</v>
      </c>
      <c r="C294" s="177" t="s">
        <v>6</v>
      </c>
      <c r="D294" s="177">
        <v>2</v>
      </c>
      <c r="E294" s="177" t="s">
        <v>491</v>
      </c>
      <c r="F294" s="177">
        <v>2</v>
      </c>
      <c r="G294" s="57" t="s">
        <v>1884</v>
      </c>
      <c r="H294" s="57" t="s">
        <v>1885</v>
      </c>
      <c r="I294" s="57" t="s">
        <v>1886</v>
      </c>
      <c r="J294" s="57" t="s">
        <v>1887</v>
      </c>
      <c r="K294" s="57" t="s">
        <v>478</v>
      </c>
      <c r="L294" s="57" t="s">
        <v>479</v>
      </c>
      <c r="M294" s="57" t="s">
        <v>1888</v>
      </c>
    </row>
    <row r="295" ht="84" spans="1:13">
      <c r="A295" s="178" t="str">
        <f t="shared" si="4"/>
        <v>Controlling &amp; Corrective Action|Officer|2</v>
      </c>
      <c r="B295" s="57" t="s">
        <v>447</v>
      </c>
      <c r="C295" s="177" t="s">
        <v>6</v>
      </c>
      <c r="D295" s="177">
        <v>2</v>
      </c>
      <c r="E295" s="177" t="s">
        <v>491</v>
      </c>
      <c r="F295" s="177">
        <v>3</v>
      </c>
      <c r="G295" s="57" t="s">
        <v>1889</v>
      </c>
      <c r="H295" s="57" t="s">
        <v>1890</v>
      </c>
      <c r="I295" s="57" t="s">
        <v>1891</v>
      </c>
      <c r="J295" s="57" t="s">
        <v>1892</v>
      </c>
      <c r="K295" s="57" t="s">
        <v>478</v>
      </c>
      <c r="L295" s="57" t="s">
        <v>479</v>
      </c>
      <c r="M295" s="57" t="s">
        <v>1893</v>
      </c>
    </row>
    <row r="296" ht="154" spans="1:13">
      <c r="A296" s="178" t="str">
        <f t="shared" si="4"/>
        <v>Controlling &amp; Corrective Action|Officer|3</v>
      </c>
      <c r="B296" s="57" t="s">
        <v>447</v>
      </c>
      <c r="C296" s="177" t="s">
        <v>6</v>
      </c>
      <c r="D296" s="177">
        <v>3</v>
      </c>
      <c r="E296" s="177" t="s">
        <v>507</v>
      </c>
      <c r="F296" s="177">
        <v>1</v>
      </c>
      <c r="G296" s="57" t="s">
        <v>1894</v>
      </c>
      <c r="H296" s="57" t="s">
        <v>1895</v>
      </c>
      <c r="I296" s="57" t="s">
        <v>1896</v>
      </c>
      <c r="J296" s="57" t="s">
        <v>1897</v>
      </c>
      <c r="K296" s="57" t="s">
        <v>478</v>
      </c>
      <c r="L296" s="57" t="s">
        <v>479</v>
      </c>
      <c r="M296" s="57" t="s">
        <v>1898</v>
      </c>
    </row>
    <row r="297" ht="112" spans="1:13">
      <c r="A297" s="178" t="str">
        <f t="shared" si="4"/>
        <v>Controlling &amp; Corrective Action|Officer|3</v>
      </c>
      <c r="B297" s="57" t="s">
        <v>447</v>
      </c>
      <c r="C297" s="177" t="s">
        <v>6</v>
      </c>
      <c r="D297" s="177">
        <v>3</v>
      </c>
      <c r="E297" s="177" t="s">
        <v>507</v>
      </c>
      <c r="F297" s="177">
        <v>2</v>
      </c>
      <c r="G297" s="57" t="s">
        <v>1899</v>
      </c>
      <c r="H297" s="57" t="s">
        <v>1900</v>
      </c>
      <c r="I297" s="57" t="s">
        <v>1901</v>
      </c>
      <c r="J297" s="57" t="s">
        <v>1902</v>
      </c>
      <c r="K297" s="57" t="s">
        <v>478</v>
      </c>
      <c r="L297" s="57" t="s">
        <v>479</v>
      </c>
      <c r="M297" s="57" t="s">
        <v>1903</v>
      </c>
    </row>
    <row r="298" ht="112" spans="1:13">
      <c r="A298" s="178" t="str">
        <f t="shared" si="4"/>
        <v>Controlling &amp; Corrective Action|Officer|3</v>
      </c>
      <c r="B298" s="57" t="s">
        <v>447</v>
      </c>
      <c r="C298" s="177" t="s">
        <v>6</v>
      </c>
      <c r="D298" s="177">
        <v>3</v>
      </c>
      <c r="E298" s="177" t="s">
        <v>507</v>
      </c>
      <c r="F298" s="177">
        <v>3</v>
      </c>
      <c r="G298" s="57" t="s">
        <v>1904</v>
      </c>
      <c r="H298" s="57" t="s">
        <v>1905</v>
      </c>
      <c r="I298" s="57" t="s">
        <v>1906</v>
      </c>
      <c r="J298" s="57" t="s">
        <v>1907</v>
      </c>
      <c r="K298" s="57" t="s">
        <v>478</v>
      </c>
      <c r="L298" s="57" t="s">
        <v>479</v>
      </c>
      <c r="M298" s="57" t="s">
        <v>1908</v>
      </c>
    </row>
    <row r="299" ht="70" spans="1:13">
      <c r="A299" s="178" t="str">
        <f t="shared" si="4"/>
        <v>Controlling &amp; Corrective Action|Officer|4</v>
      </c>
      <c r="B299" s="57" t="s">
        <v>447</v>
      </c>
      <c r="C299" s="177" t="s">
        <v>6</v>
      </c>
      <c r="D299" s="177">
        <v>4</v>
      </c>
      <c r="E299" s="177" t="s">
        <v>523</v>
      </c>
      <c r="F299" s="177">
        <v>1</v>
      </c>
      <c r="G299" s="57" t="s">
        <v>1909</v>
      </c>
      <c r="H299" s="57" t="s">
        <v>1910</v>
      </c>
      <c r="I299" s="57" t="s">
        <v>1911</v>
      </c>
      <c r="J299" s="57" t="s">
        <v>1912</v>
      </c>
      <c r="K299" s="57" t="s">
        <v>478</v>
      </c>
      <c r="L299" s="57" t="s">
        <v>479</v>
      </c>
      <c r="M299" s="57" t="s">
        <v>1913</v>
      </c>
    </row>
    <row r="300" ht="70" spans="1:13">
      <c r="A300" s="178" t="str">
        <f t="shared" si="4"/>
        <v>Controlling &amp; Corrective Action|Officer|4</v>
      </c>
      <c r="B300" s="57" t="s">
        <v>447</v>
      </c>
      <c r="C300" s="177" t="s">
        <v>6</v>
      </c>
      <c r="D300" s="177">
        <v>4</v>
      </c>
      <c r="E300" s="177" t="s">
        <v>523</v>
      </c>
      <c r="F300" s="177">
        <v>2</v>
      </c>
      <c r="G300" s="57" t="s">
        <v>1914</v>
      </c>
      <c r="H300" s="57" t="s">
        <v>1915</v>
      </c>
      <c r="I300" s="57" t="s">
        <v>1916</v>
      </c>
      <c r="J300" s="57" t="s">
        <v>1917</v>
      </c>
      <c r="K300" s="57" t="s">
        <v>478</v>
      </c>
      <c r="L300" s="57" t="s">
        <v>479</v>
      </c>
      <c r="M300" s="57" t="s">
        <v>1918</v>
      </c>
    </row>
    <row r="301" ht="70" spans="1:13">
      <c r="A301" s="178" t="str">
        <f t="shared" si="4"/>
        <v>Controlling &amp; Corrective Action|Officer|4</v>
      </c>
      <c r="B301" s="57" t="s">
        <v>447</v>
      </c>
      <c r="C301" s="177" t="s">
        <v>6</v>
      </c>
      <c r="D301" s="177">
        <v>4</v>
      </c>
      <c r="E301" s="177" t="s">
        <v>523</v>
      </c>
      <c r="F301" s="177">
        <v>3</v>
      </c>
      <c r="G301" s="57" t="s">
        <v>1919</v>
      </c>
      <c r="H301" s="57" t="s">
        <v>1920</v>
      </c>
      <c r="I301" s="57" t="s">
        <v>1921</v>
      </c>
      <c r="J301" s="57" t="s">
        <v>1922</v>
      </c>
      <c r="K301" s="57" t="s">
        <v>478</v>
      </c>
      <c r="L301" s="57" t="s">
        <v>479</v>
      </c>
      <c r="M301" s="57" t="s">
        <v>1923</v>
      </c>
    </row>
    <row r="302" ht="126" spans="1:13">
      <c r="A302" s="178" t="str">
        <f t="shared" si="4"/>
        <v>Controlling &amp; Corrective Action|Analyst|1</v>
      </c>
      <c r="B302" s="57" t="s">
        <v>447</v>
      </c>
      <c r="C302" s="177" t="s">
        <v>8</v>
      </c>
      <c r="D302" s="177">
        <v>1</v>
      </c>
      <c r="E302" s="177" t="s">
        <v>473</v>
      </c>
      <c r="F302" s="177">
        <v>1</v>
      </c>
      <c r="G302" s="57" t="s">
        <v>1924</v>
      </c>
      <c r="H302" s="57" t="s">
        <v>1925</v>
      </c>
      <c r="I302" s="57" t="s">
        <v>1926</v>
      </c>
      <c r="J302" s="57" t="s">
        <v>1927</v>
      </c>
      <c r="K302" s="57" t="s">
        <v>478</v>
      </c>
      <c r="L302" s="57" t="s">
        <v>479</v>
      </c>
      <c r="M302" s="57" t="s">
        <v>1928</v>
      </c>
    </row>
    <row r="303" ht="126" spans="1:13">
      <c r="A303" s="178" t="str">
        <f t="shared" si="4"/>
        <v>Controlling &amp; Corrective Action|Analyst|1</v>
      </c>
      <c r="B303" s="57" t="s">
        <v>447</v>
      </c>
      <c r="C303" s="177" t="s">
        <v>8</v>
      </c>
      <c r="D303" s="177">
        <v>1</v>
      </c>
      <c r="E303" s="177" t="s">
        <v>473</v>
      </c>
      <c r="F303" s="177">
        <v>2</v>
      </c>
      <c r="G303" s="57" t="s">
        <v>1929</v>
      </c>
      <c r="H303" s="57" t="s">
        <v>1930</v>
      </c>
      <c r="I303" s="57" t="s">
        <v>1931</v>
      </c>
      <c r="J303" s="57" t="s">
        <v>1932</v>
      </c>
      <c r="K303" s="57" t="s">
        <v>478</v>
      </c>
      <c r="L303" s="57" t="s">
        <v>479</v>
      </c>
      <c r="M303" s="57" t="s">
        <v>1933</v>
      </c>
    </row>
    <row r="304" ht="140" spans="1:13">
      <c r="A304" s="178" t="str">
        <f t="shared" si="4"/>
        <v>Controlling &amp; Corrective Action|Analyst|1</v>
      </c>
      <c r="B304" s="57" t="s">
        <v>447</v>
      </c>
      <c r="C304" s="177" t="s">
        <v>8</v>
      </c>
      <c r="D304" s="177">
        <v>1</v>
      </c>
      <c r="E304" s="177" t="s">
        <v>473</v>
      </c>
      <c r="F304" s="177">
        <v>3</v>
      </c>
      <c r="G304" s="57" t="s">
        <v>1934</v>
      </c>
      <c r="H304" s="57" t="s">
        <v>1935</v>
      </c>
      <c r="I304" s="57" t="s">
        <v>1936</v>
      </c>
      <c r="J304" s="57" t="s">
        <v>1937</v>
      </c>
      <c r="K304" s="57" t="s">
        <v>478</v>
      </c>
      <c r="L304" s="57" t="s">
        <v>479</v>
      </c>
      <c r="M304" s="57" t="s">
        <v>1938</v>
      </c>
    </row>
    <row r="305" ht="140" spans="1:13">
      <c r="A305" s="178" t="str">
        <f t="shared" si="4"/>
        <v>Controlling &amp; Corrective Action|Analyst|2</v>
      </c>
      <c r="B305" s="57" t="s">
        <v>447</v>
      </c>
      <c r="C305" s="177" t="s">
        <v>8</v>
      </c>
      <c r="D305" s="177">
        <v>2</v>
      </c>
      <c r="E305" s="177" t="s">
        <v>491</v>
      </c>
      <c r="F305" s="177">
        <v>1</v>
      </c>
      <c r="G305" s="57" t="s">
        <v>1939</v>
      </c>
      <c r="H305" s="57" t="s">
        <v>1940</v>
      </c>
      <c r="I305" s="57" t="s">
        <v>1941</v>
      </c>
      <c r="J305" s="57" t="s">
        <v>1942</v>
      </c>
      <c r="K305" s="57" t="s">
        <v>478</v>
      </c>
      <c r="L305" s="57" t="s">
        <v>479</v>
      </c>
      <c r="M305" s="57" t="s">
        <v>1943</v>
      </c>
    </row>
    <row r="306" ht="154" spans="1:13">
      <c r="A306" s="178" t="str">
        <f t="shared" si="4"/>
        <v>Controlling &amp; Corrective Action|Analyst|2</v>
      </c>
      <c r="B306" s="57" t="s">
        <v>447</v>
      </c>
      <c r="C306" s="177" t="s">
        <v>8</v>
      </c>
      <c r="D306" s="177">
        <v>2</v>
      </c>
      <c r="E306" s="177" t="s">
        <v>491</v>
      </c>
      <c r="F306" s="177">
        <v>2</v>
      </c>
      <c r="G306" s="57" t="s">
        <v>1944</v>
      </c>
      <c r="H306" s="57" t="s">
        <v>1945</v>
      </c>
      <c r="I306" s="57" t="s">
        <v>1946</v>
      </c>
      <c r="J306" s="57" t="s">
        <v>1947</v>
      </c>
      <c r="K306" s="57" t="s">
        <v>478</v>
      </c>
      <c r="L306" s="57" t="s">
        <v>479</v>
      </c>
      <c r="M306" s="57" t="s">
        <v>1943</v>
      </c>
    </row>
    <row r="307" ht="168" spans="1:13">
      <c r="A307" s="178" t="str">
        <f t="shared" si="4"/>
        <v>Controlling &amp; Corrective Action|Analyst|2</v>
      </c>
      <c r="B307" s="57" t="s">
        <v>447</v>
      </c>
      <c r="C307" s="177" t="s">
        <v>8</v>
      </c>
      <c r="D307" s="177">
        <v>2</v>
      </c>
      <c r="E307" s="177" t="s">
        <v>491</v>
      </c>
      <c r="F307" s="177">
        <v>3</v>
      </c>
      <c r="G307" s="57" t="s">
        <v>1948</v>
      </c>
      <c r="H307" s="57" t="s">
        <v>1949</v>
      </c>
      <c r="I307" s="57" t="s">
        <v>1950</v>
      </c>
      <c r="J307" s="57" t="s">
        <v>1951</v>
      </c>
      <c r="K307" s="57" t="s">
        <v>478</v>
      </c>
      <c r="L307" s="57" t="s">
        <v>479</v>
      </c>
      <c r="M307" s="57" t="s">
        <v>1943</v>
      </c>
    </row>
    <row r="308" ht="126" spans="1:13">
      <c r="A308" s="178" t="str">
        <f t="shared" si="4"/>
        <v>Controlling &amp; Corrective Action|Analyst|3</v>
      </c>
      <c r="B308" s="57" t="s">
        <v>447</v>
      </c>
      <c r="C308" s="177" t="s">
        <v>8</v>
      </c>
      <c r="D308" s="177">
        <v>3</v>
      </c>
      <c r="E308" s="177" t="s">
        <v>507</v>
      </c>
      <c r="F308" s="177">
        <v>1</v>
      </c>
      <c r="G308" s="57" t="s">
        <v>1952</v>
      </c>
      <c r="H308" s="57" t="s">
        <v>1953</v>
      </c>
      <c r="I308" s="57" t="s">
        <v>1954</v>
      </c>
      <c r="J308" s="57" t="s">
        <v>1955</v>
      </c>
      <c r="K308" s="57" t="s">
        <v>478</v>
      </c>
      <c r="L308" s="57" t="s">
        <v>479</v>
      </c>
      <c r="M308" s="57" t="s">
        <v>1956</v>
      </c>
    </row>
    <row r="309" ht="112" spans="1:13">
      <c r="A309" s="178" t="str">
        <f t="shared" si="4"/>
        <v>Controlling &amp; Corrective Action|Analyst|3</v>
      </c>
      <c r="B309" s="57" t="s">
        <v>447</v>
      </c>
      <c r="C309" s="177" t="s">
        <v>8</v>
      </c>
      <c r="D309" s="177">
        <v>3</v>
      </c>
      <c r="E309" s="177" t="s">
        <v>507</v>
      </c>
      <c r="F309" s="177">
        <v>2</v>
      </c>
      <c r="G309" s="57" t="s">
        <v>1957</v>
      </c>
      <c r="H309" s="57" t="s">
        <v>1958</v>
      </c>
      <c r="I309" s="57" t="s">
        <v>1959</v>
      </c>
      <c r="J309" s="57" t="s">
        <v>1960</v>
      </c>
      <c r="K309" s="57" t="s">
        <v>478</v>
      </c>
      <c r="L309" s="57" t="s">
        <v>479</v>
      </c>
      <c r="M309" s="57" t="s">
        <v>1961</v>
      </c>
    </row>
    <row r="310" ht="112" spans="1:13">
      <c r="A310" s="178" t="str">
        <f t="shared" si="4"/>
        <v>Controlling &amp; Corrective Action|Analyst|3</v>
      </c>
      <c r="B310" s="57" t="s">
        <v>447</v>
      </c>
      <c r="C310" s="177" t="s">
        <v>8</v>
      </c>
      <c r="D310" s="177">
        <v>3</v>
      </c>
      <c r="E310" s="177" t="s">
        <v>507</v>
      </c>
      <c r="F310" s="177">
        <v>3</v>
      </c>
      <c r="G310" s="57" t="s">
        <v>1962</v>
      </c>
      <c r="H310" s="57" t="s">
        <v>1963</v>
      </c>
      <c r="I310" s="57" t="s">
        <v>1964</v>
      </c>
      <c r="J310" s="57" t="s">
        <v>1965</v>
      </c>
      <c r="K310" s="57" t="s">
        <v>478</v>
      </c>
      <c r="L310" s="57" t="s">
        <v>479</v>
      </c>
      <c r="M310" s="57" t="s">
        <v>1966</v>
      </c>
    </row>
    <row r="311" ht="154" spans="1:13">
      <c r="A311" s="178" t="str">
        <f t="shared" si="4"/>
        <v>Controlling &amp; Corrective Action|Analyst|4</v>
      </c>
      <c r="B311" s="57" t="s">
        <v>447</v>
      </c>
      <c r="C311" s="177" t="s">
        <v>8</v>
      </c>
      <c r="D311" s="177">
        <v>4</v>
      </c>
      <c r="E311" s="177" t="s">
        <v>523</v>
      </c>
      <c r="F311" s="177">
        <v>1</v>
      </c>
      <c r="G311" s="57" t="s">
        <v>1967</v>
      </c>
      <c r="H311" s="57" t="s">
        <v>1968</v>
      </c>
      <c r="I311" s="57" t="s">
        <v>1969</v>
      </c>
      <c r="J311" s="57" t="s">
        <v>1970</v>
      </c>
      <c r="K311" s="57" t="s">
        <v>478</v>
      </c>
      <c r="L311" s="57" t="s">
        <v>479</v>
      </c>
      <c r="M311" s="57" t="s">
        <v>1971</v>
      </c>
    </row>
    <row r="312" ht="154" spans="1:13">
      <c r="A312" s="178" t="str">
        <f t="shared" si="4"/>
        <v>Controlling &amp; Corrective Action|Analyst|4</v>
      </c>
      <c r="B312" s="57" t="s">
        <v>447</v>
      </c>
      <c r="C312" s="177" t="s">
        <v>8</v>
      </c>
      <c r="D312" s="177">
        <v>4</v>
      </c>
      <c r="E312" s="177" t="s">
        <v>523</v>
      </c>
      <c r="F312" s="177">
        <v>2</v>
      </c>
      <c r="G312" s="57" t="s">
        <v>1972</v>
      </c>
      <c r="H312" s="57" t="s">
        <v>1973</v>
      </c>
      <c r="I312" s="57" t="s">
        <v>1974</v>
      </c>
      <c r="J312" s="57" t="s">
        <v>1975</v>
      </c>
      <c r="K312" s="57" t="s">
        <v>478</v>
      </c>
      <c r="L312" s="57" t="s">
        <v>479</v>
      </c>
      <c r="M312" s="57" t="s">
        <v>1976</v>
      </c>
    </row>
    <row r="313" ht="140" spans="1:13">
      <c r="A313" s="178" t="str">
        <f t="shared" si="4"/>
        <v>Controlling &amp; Corrective Action|Analyst|4</v>
      </c>
      <c r="B313" s="57" t="s">
        <v>447</v>
      </c>
      <c r="C313" s="177" t="s">
        <v>8</v>
      </c>
      <c r="D313" s="177">
        <v>4</v>
      </c>
      <c r="E313" s="177" t="s">
        <v>523</v>
      </c>
      <c r="F313" s="177">
        <v>3</v>
      </c>
      <c r="G313" s="57" t="s">
        <v>1977</v>
      </c>
      <c r="H313" s="57" t="s">
        <v>1978</v>
      </c>
      <c r="I313" s="57" t="s">
        <v>1979</v>
      </c>
      <c r="J313" s="57" t="s">
        <v>1980</v>
      </c>
      <c r="K313" s="57" t="s">
        <v>478</v>
      </c>
      <c r="L313" s="57" t="s">
        <v>479</v>
      </c>
      <c r="M313" s="57" t="s">
        <v>1981</v>
      </c>
    </row>
    <row r="314" ht="168" spans="1:13">
      <c r="A314" s="178" t="str">
        <f t="shared" si="4"/>
        <v>Controlling &amp; Corrective Action|Unit Head/Specialist|1</v>
      </c>
      <c r="B314" s="57" t="s">
        <v>447</v>
      </c>
      <c r="C314" s="177" t="s">
        <v>18</v>
      </c>
      <c r="D314" s="177">
        <v>1</v>
      </c>
      <c r="E314" s="177" t="s">
        <v>473</v>
      </c>
      <c r="F314" s="177">
        <v>1</v>
      </c>
      <c r="G314" s="57" t="s">
        <v>1982</v>
      </c>
      <c r="H314" s="57" t="s">
        <v>1983</v>
      </c>
      <c r="I314" s="57" t="s">
        <v>1984</v>
      </c>
      <c r="J314" s="57" t="s">
        <v>1985</v>
      </c>
      <c r="K314" s="57" t="s">
        <v>478</v>
      </c>
      <c r="L314" s="57" t="s">
        <v>479</v>
      </c>
      <c r="M314" s="57" t="s">
        <v>1986</v>
      </c>
    </row>
    <row r="315" ht="140" spans="1:13">
      <c r="A315" s="178" t="str">
        <f t="shared" si="4"/>
        <v>Controlling &amp; Corrective Action|Unit Head/Specialist|1</v>
      </c>
      <c r="B315" s="57" t="s">
        <v>447</v>
      </c>
      <c r="C315" s="177" t="s">
        <v>18</v>
      </c>
      <c r="D315" s="177">
        <v>1</v>
      </c>
      <c r="E315" s="177" t="s">
        <v>473</v>
      </c>
      <c r="F315" s="177">
        <v>2</v>
      </c>
      <c r="G315" s="57" t="s">
        <v>1987</v>
      </c>
      <c r="H315" s="57" t="s">
        <v>1988</v>
      </c>
      <c r="I315" s="57" t="s">
        <v>1989</v>
      </c>
      <c r="J315" s="57" t="s">
        <v>1990</v>
      </c>
      <c r="K315" s="57" t="s">
        <v>478</v>
      </c>
      <c r="L315" s="57" t="s">
        <v>479</v>
      </c>
      <c r="M315" s="57" t="s">
        <v>1991</v>
      </c>
    </row>
    <row r="316" ht="112" spans="1:13">
      <c r="A316" s="178" t="str">
        <f t="shared" si="4"/>
        <v>Controlling &amp; Corrective Action|Unit Head/Specialist|1</v>
      </c>
      <c r="B316" s="57" t="s">
        <v>447</v>
      </c>
      <c r="C316" s="177" t="s">
        <v>18</v>
      </c>
      <c r="D316" s="177">
        <v>1</v>
      </c>
      <c r="E316" s="177" t="s">
        <v>473</v>
      </c>
      <c r="F316" s="177">
        <v>3</v>
      </c>
      <c r="G316" s="57" t="s">
        <v>1992</v>
      </c>
      <c r="H316" s="57" t="s">
        <v>1993</v>
      </c>
      <c r="I316" s="57" t="s">
        <v>1994</v>
      </c>
      <c r="J316" s="57" t="s">
        <v>1995</v>
      </c>
      <c r="K316" s="57" t="s">
        <v>478</v>
      </c>
      <c r="L316" s="57" t="s">
        <v>479</v>
      </c>
      <c r="M316" s="57" t="s">
        <v>1996</v>
      </c>
    </row>
    <row r="317" ht="98" spans="1:13">
      <c r="A317" s="178" t="str">
        <f t="shared" si="4"/>
        <v>Controlling &amp; Corrective Action|Unit Head/Specialist|2</v>
      </c>
      <c r="B317" s="57" t="s">
        <v>447</v>
      </c>
      <c r="C317" s="177" t="s">
        <v>18</v>
      </c>
      <c r="D317" s="177">
        <v>2</v>
      </c>
      <c r="E317" s="177" t="s">
        <v>491</v>
      </c>
      <c r="F317" s="177">
        <v>1</v>
      </c>
      <c r="G317" s="57" t="s">
        <v>1997</v>
      </c>
      <c r="H317" s="57" t="s">
        <v>1998</v>
      </c>
      <c r="I317" s="57" t="s">
        <v>1999</v>
      </c>
      <c r="J317" s="57" t="s">
        <v>2000</v>
      </c>
      <c r="K317" s="57" t="s">
        <v>478</v>
      </c>
      <c r="L317" s="57" t="s">
        <v>479</v>
      </c>
      <c r="M317" s="57" t="s">
        <v>2001</v>
      </c>
    </row>
    <row r="318" ht="84" spans="1:13">
      <c r="A318" s="178" t="str">
        <f t="shared" si="4"/>
        <v>Controlling &amp; Corrective Action|Unit Head/Specialist|2</v>
      </c>
      <c r="B318" s="57" t="s">
        <v>447</v>
      </c>
      <c r="C318" s="177" t="s">
        <v>18</v>
      </c>
      <c r="D318" s="177">
        <v>2</v>
      </c>
      <c r="E318" s="177" t="s">
        <v>491</v>
      </c>
      <c r="F318" s="177">
        <v>2</v>
      </c>
      <c r="G318" s="57" t="s">
        <v>2002</v>
      </c>
      <c r="H318" s="57" t="s">
        <v>2003</v>
      </c>
      <c r="I318" s="57" t="s">
        <v>2004</v>
      </c>
      <c r="J318" s="57" t="s">
        <v>2005</v>
      </c>
      <c r="K318" s="57" t="s">
        <v>478</v>
      </c>
      <c r="L318" s="57" t="s">
        <v>479</v>
      </c>
      <c r="M318" s="57" t="s">
        <v>2006</v>
      </c>
    </row>
    <row r="319" ht="84" spans="1:13">
      <c r="A319" s="178" t="str">
        <f t="shared" si="4"/>
        <v>Controlling &amp; Corrective Action|Unit Head/Specialist|2</v>
      </c>
      <c r="B319" s="57" t="s">
        <v>447</v>
      </c>
      <c r="C319" s="177" t="s">
        <v>18</v>
      </c>
      <c r="D319" s="177">
        <v>2</v>
      </c>
      <c r="E319" s="177" t="s">
        <v>491</v>
      </c>
      <c r="F319" s="177">
        <v>3</v>
      </c>
      <c r="G319" s="57" t="s">
        <v>2007</v>
      </c>
      <c r="H319" s="57" t="s">
        <v>2008</v>
      </c>
      <c r="I319" s="57" t="s">
        <v>2009</v>
      </c>
      <c r="J319" s="57" t="s">
        <v>2010</v>
      </c>
      <c r="K319" s="57" t="s">
        <v>478</v>
      </c>
      <c r="L319" s="57" t="s">
        <v>479</v>
      </c>
      <c r="M319" s="57" t="s">
        <v>2011</v>
      </c>
    </row>
    <row r="320" ht="112" spans="1:13">
      <c r="A320" s="178" t="str">
        <f t="shared" si="4"/>
        <v>Controlling &amp; Corrective Action|Unit Head/Specialist|3</v>
      </c>
      <c r="B320" s="57" t="s">
        <v>447</v>
      </c>
      <c r="C320" s="177" t="s">
        <v>18</v>
      </c>
      <c r="D320" s="177">
        <v>3</v>
      </c>
      <c r="E320" s="177" t="s">
        <v>507</v>
      </c>
      <c r="F320" s="177">
        <v>1</v>
      </c>
      <c r="G320" s="57" t="s">
        <v>2012</v>
      </c>
      <c r="H320" s="57" t="s">
        <v>2013</v>
      </c>
      <c r="I320" s="57" t="s">
        <v>2014</v>
      </c>
      <c r="J320" s="57" t="s">
        <v>2015</v>
      </c>
      <c r="K320" s="57" t="s">
        <v>478</v>
      </c>
      <c r="L320" s="57" t="s">
        <v>479</v>
      </c>
      <c r="M320" s="57" t="s">
        <v>2016</v>
      </c>
    </row>
    <row r="321" ht="112" spans="1:13">
      <c r="A321" s="178" t="str">
        <f t="shared" si="4"/>
        <v>Controlling &amp; Corrective Action|Unit Head/Specialist|3</v>
      </c>
      <c r="B321" s="57" t="s">
        <v>447</v>
      </c>
      <c r="C321" s="177" t="s">
        <v>18</v>
      </c>
      <c r="D321" s="177">
        <v>3</v>
      </c>
      <c r="E321" s="177" t="s">
        <v>507</v>
      </c>
      <c r="F321" s="177">
        <v>2</v>
      </c>
      <c r="G321" s="57" t="s">
        <v>2017</v>
      </c>
      <c r="H321" s="57" t="s">
        <v>2018</v>
      </c>
      <c r="I321" s="57" t="s">
        <v>2019</v>
      </c>
      <c r="J321" s="57" t="s">
        <v>2020</v>
      </c>
      <c r="K321" s="57" t="s">
        <v>478</v>
      </c>
      <c r="L321" s="57" t="s">
        <v>479</v>
      </c>
      <c r="M321" s="57" t="s">
        <v>2021</v>
      </c>
    </row>
    <row r="322" ht="84" spans="1:13">
      <c r="A322" s="178" t="str">
        <f t="shared" si="4"/>
        <v>Controlling &amp; Corrective Action|Unit Head/Specialist|3</v>
      </c>
      <c r="B322" s="57" t="s">
        <v>447</v>
      </c>
      <c r="C322" s="177" t="s">
        <v>18</v>
      </c>
      <c r="D322" s="177">
        <v>3</v>
      </c>
      <c r="E322" s="177" t="s">
        <v>507</v>
      </c>
      <c r="F322" s="177">
        <v>3</v>
      </c>
      <c r="G322" s="57" t="s">
        <v>2022</v>
      </c>
      <c r="H322" s="57" t="s">
        <v>2023</v>
      </c>
      <c r="I322" s="57" t="s">
        <v>2024</v>
      </c>
      <c r="J322" s="57" t="s">
        <v>2025</v>
      </c>
      <c r="K322" s="57" t="s">
        <v>478</v>
      </c>
      <c r="L322" s="57" t="s">
        <v>479</v>
      </c>
      <c r="M322" s="57" t="s">
        <v>2026</v>
      </c>
    </row>
    <row r="323" ht="126" spans="1:13">
      <c r="A323" s="178" t="str">
        <f t="shared" ref="A323:A386" si="5">B323&amp;"|"&amp;C323&amp;"|"&amp;D323</f>
        <v>Controlling &amp; Corrective Action|Unit Head/Specialist|4</v>
      </c>
      <c r="B323" s="57" t="s">
        <v>447</v>
      </c>
      <c r="C323" s="177" t="s">
        <v>18</v>
      </c>
      <c r="D323" s="177">
        <v>4</v>
      </c>
      <c r="E323" s="177" t="s">
        <v>523</v>
      </c>
      <c r="F323" s="177">
        <v>1</v>
      </c>
      <c r="G323" s="57" t="s">
        <v>2027</v>
      </c>
      <c r="H323" s="57" t="s">
        <v>2028</v>
      </c>
      <c r="I323" s="57" t="s">
        <v>2029</v>
      </c>
      <c r="J323" s="57" t="s">
        <v>2005</v>
      </c>
      <c r="K323" s="57" t="s">
        <v>478</v>
      </c>
      <c r="L323" s="57" t="s">
        <v>479</v>
      </c>
      <c r="M323" s="57" t="s">
        <v>2030</v>
      </c>
    </row>
    <row r="324" ht="126" spans="1:13">
      <c r="A324" s="178" t="str">
        <f t="shared" si="5"/>
        <v>Controlling &amp; Corrective Action|Unit Head/Specialist|4</v>
      </c>
      <c r="B324" s="57" t="s">
        <v>447</v>
      </c>
      <c r="C324" s="177" t="s">
        <v>18</v>
      </c>
      <c r="D324" s="177">
        <v>4</v>
      </c>
      <c r="E324" s="177" t="s">
        <v>523</v>
      </c>
      <c r="F324" s="177">
        <v>2</v>
      </c>
      <c r="G324" s="57" t="s">
        <v>2031</v>
      </c>
      <c r="H324" s="57" t="s">
        <v>2032</v>
      </c>
      <c r="I324" s="57" t="s">
        <v>2033</v>
      </c>
      <c r="J324" s="57" t="s">
        <v>2034</v>
      </c>
      <c r="K324" s="57" t="s">
        <v>478</v>
      </c>
      <c r="L324" s="57" t="s">
        <v>479</v>
      </c>
      <c r="M324" s="57" t="s">
        <v>2035</v>
      </c>
    </row>
    <row r="325" ht="112" spans="1:13">
      <c r="A325" s="178" t="str">
        <f t="shared" si="5"/>
        <v>Controlling &amp; Corrective Action|Unit Head/Specialist|4</v>
      </c>
      <c r="B325" s="57" t="s">
        <v>447</v>
      </c>
      <c r="C325" s="177" t="s">
        <v>18</v>
      </c>
      <c r="D325" s="177">
        <v>4</v>
      </c>
      <c r="E325" s="177" t="s">
        <v>523</v>
      </c>
      <c r="F325" s="177">
        <v>3</v>
      </c>
      <c r="G325" s="57" t="s">
        <v>2036</v>
      </c>
      <c r="H325" s="57" t="s">
        <v>2037</v>
      </c>
      <c r="I325" s="57" t="s">
        <v>2038</v>
      </c>
      <c r="J325" s="57" t="s">
        <v>2039</v>
      </c>
      <c r="K325" s="57" t="s">
        <v>478</v>
      </c>
      <c r="L325" s="57" t="s">
        <v>479</v>
      </c>
      <c r="M325" s="57" t="s">
        <v>2040</v>
      </c>
    </row>
    <row r="326" ht="98" spans="1:13">
      <c r="A326" s="178" t="str">
        <f t="shared" si="5"/>
        <v>Controlling &amp; Corrective Action|Department Head|1</v>
      </c>
      <c r="B326" s="57" t="s">
        <v>447</v>
      </c>
      <c r="C326" s="177" t="s">
        <v>655</v>
      </c>
      <c r="D326" s="177">
        <v>1</v>
      </c>
      <c r="E326" s="177" t="s">
        <v>473</v>
      </c>
      <c r="F326" s="177">
        <v>1</v>
      </c>
      <c r="G326" s="57" t="s">
        <v>2041</v>
      </c>
      <c r="H326" s="57" t="s">
        <v>2042</v>
      </c>
      <c r="I326" s="57" t="s">
        <v>2043</v>
      </c>
      <c r="J326" s="57" t="s">
        <v>2044</v>
      </c>
      <c r="K326" s="57" t="s">
        <v>478</v>
      </c>
      <c r="L326" s="57" t="s">
        <v>479</v>
      </c>
      <c r="M326" s="57" t="s">
        <v>2045</v>
      </c>
    </row>
    <row r="327" ht="98" spans="1:13">
      <c r="A327" s="178" t="str">
        <f t="shared" si="5"/>
        <v>Controlling &amp; Corrective Action|Department Head|1</v>
      </c>
      <c r="B327" s="57" t="s">
        <v>447</v>
      </c>
      <c r="C327" s="177" t="s">
        <v>655</v>
      </c>
      <c r="D327" s="177">
        <v>1</v>
      </c>
      <c r="E327" s="177" t="s">
        <v>473</v>
      </c>
      <c r="F327" s="177">
        <v>2</v>
      </c>
      <c r="G327" s="57" t="s">
        <v>2046</v>
      </c>
      <c r="H327" s="57" t="s">
        <v>2047</v>
      </c>
      <c r="I327" s="57" t="s">
        <v>2048</v>
      </c>
      <c r="J327" s="57" t="s">
        <v>2049</v>
      </c>
      <c r="K327" s="57" t="s">
        <v>478</v>
      </c>
      <c r="L327" s="57" t="s">
        <v>479</v>
      </c>
      <c r="M327" s="57" t="s">
        <v>2050</v>
      </c>
    </row>
    <row r="328" ht="98" spans="1:13">
      <c r="A328" s="178" t="str">
        <f t="shared" si="5"/>
        <v>Controlling &amp; Corrective Action|Department Head|1</v>
      </c>
      <c r="B328" s="57" t="s">
        <v>447</v>
      </c>
      <c r="C328" s="177" t="s">
        <v>655</v>
      </c>
      <c r="D328" s="177">
        <v>1</v>
      </c>
      <c r="E328" s="177" t="s">
        <v>473</v>
      </c>
      <c r="F328" s="177">
        <v>3</v>
      </c>
      <c r="G328" s="57" t="s">
        <v>2051</v>
      </c>
      <c r="H328" s="57" t="s">
        <v>2052</v>
      </c>
      <c r="I328" s="57" t="s">
        <v>2053</v>
      </c>
      <c r="J328" s="57" t="s">
        <v>2054</v>
      </c>
      <c r="K328" s="57" t="s">
        <v>478</v>
      </c>
      <c r="L328" s="57" t="s">
        <v>479</v>
      </c>
      <c r="M328" s="57" t="s">
        <v>2055</v>
      </c>
    </row>
    <row r="329" ht="126" spans="1:13">
      <c r="A329" s="178" t="str">
        <f t="shared" si="5"/>
        <v>Controlling &amp; Corrective Action|Department Head|2</v>
      </c>
      <c r="B329" s="57" t="s">
        <v>447</v>
      </c>
      <c r="C329" s="177" t="s">
        <v>655</v>
      </c>
      <c r="D329" s="177">
        <v>2</v>
      </c>
      <c r="E329" s="177" t="s">
        <v>491</v>
      </c>
      <c r="F329" s="177">
        <v>1</v>
      </c>
      <c r="G329" s="57" t="s">
        <v>2056</v>
      </c>
      <c r="H329" s="57" t="s">
        <v>2057</v>
      </c>
      <c r="I329" s="57" t="s">
        <v>2058</v>
      </c>
      <c r="J329" s="57" t="s">
        <v>2059</v>
      </c>
      <c r="K329" s="57" t="s">
        <v>478</v>
      </c>
      <c r="L329" s="57" t="s">
        <v>479</v>
      </c>
      <c r="M329" s="57" t="s">
        <v>2060</v>
      </c>
    </row>
    <row r="330" ht="98" spans="1:13">
      <c r="A330" s="178" t="str">
        <f t="shared" si="5"/>
        <v>Controlling &amp; Corrective Action|Department Head|2</v>
      </c>
      <c r="B330" s="57" t="s">
        <v>447</v>
      </c>
      <c r="C330" s="177" t="s">
        <v>655</v>
      </c>
      <c r="D330" s="177">
        <v>2</v>
      </c>
      <c r="E330" s="177" t="s">
        <v>491</v>
      </c>
      <c r="F330" s="177">
        <v>2</v>
      </c>
      <c r="G330" s="57" t="s">
        <v>2061</v>
      </c>
      <c r="H330" s="57" t="s">
        <v>2062</v>
      </c>
      <c r="I330" s="57" t="s">
        <v>2063</v>
      </c>
      <c r="J330" s="57" t="s">
        <v>2064</v>
      </c>
      <c r="K330" s="57" t="s">
        <v>478</v>
      </c>
      <c r="L330" s="57" t="s">
        <v>479</v>
      </c>
      <c r="M330" s="57" t="s">
        <v>2065</v>
      </c>
    </row>
    <row r="331" ht="126" spans="1:13">
      <c r="A331" s="178" t="str">
        <f t="shared" si="5"/>
        <v>Controlling &amp; Corrective Action|Department Head|2</v>
      </c>
      <c r="B331" s="57" t="s">
        <v>447</v>
      </c>
      <c r="C331" s="177" t="s">
        <v>655</v>
      </c>
      <c r="D331" s="177">
        <v>2</v>
      </c>
      <c r="E331" s="177" t="s">
        <v>491</v>
      </c>
      <c r="F331" s="177">
        <v>3</v>
      </c>
      <c r="G331" s="57" t="s">
        <v>2066</v>
      </c>
      <c r="H331" s="57" t="s">
        <v>2067</v>
      </c>
      <c r="I331" s="57" t="s">
        <v>2068</v>
      </c>
      <c r="J331" s="57" t="s">
        <v>2069</v>
      </c>
      <c r="K331" s="57" t="s">
        <v>478</v>
      </c>
      <c r="L331" s="57" t="s">
        <v>479</v>
      </c>
      <c r="M331" s="57" t="s">
        <v>2070</v>
      </c>
    </row>
    <row r="332" ht="126" spans="1:13">
      <c r="A332" s="178" t="str">
        <f t="shared" si="5"/>
        <v>Controlling &amp; Corrective Action|Department Head|3</v>
      </c>
      <c r="B332" s="57" t="s">
        <v>447</v>
      </c>
      <c r="C332" s="177" t="s">
        <v>655</v>
      </c>
      <c r="D332" s="177">
        <v>3</v>
      </c>
      <c r="E332" s="177" t="s">
        <v>507</v>
      </c>
      <c r="F332" s="177">
        <v>1</v>
      </c>
      <c r="G332" s="57" t="s">
        <v>2071</v>
      </c>
      <c r="H332" s="57" t="s">
        <v>2072</v>
      </c>
      <c r="I332" s="57" t="s">
        <v>2073</v>
      </c>
      <c r="J332" s="57" t="s">
        <v>2074</v>
      </c>
      <c r="K332" s="57" t="s">
        <v>478</v>
      </c>
      <c r="L332" s="57" t="s">
        <v>479</v>
      </c>
      <c r="M332" s="57" t="s">
        <v>2075</v>
      </c>
    </row>
    <row r="333" ht="140" spans="1:13">
      <c r="A333" s="178" t="str">
        <f t="shared" si="5"/>
        <v>Controlling &amp; Corrective Action|Department Head|3</v>
      </c>
      <c r="B333" s="57" t="s">
        <v>447</v>
      </c>
      <c r="C333" s="177" t="s">
        <v>655</v>
      </c>
      <c r="D333" s="177">
        <v>3</v>
      </c>
      <c r="E333" s="177" t="s">
        <v>507</v>
      </c>
      <c r="F333" s="177">
        <v>2</v>
      </c>
      <c r="G333" s="57" t="s">
        <v>2076</v>
      </c>
      <c r="H333" s="57" t="s">
        <v>2077</v>
      </c>
      <c r="I333" s="57" t="s">
        <v>2078</v>
      </c>
      <c r="J333" s="57" t="s">
        <v>2079</v>
      </c>
      <c r="K333" s="57" t="s">
        <v>478</v>
      </c>
      <c r="L333" s="57" t="s">
        <v>479</v>
      </c>
      <c r="M333" s="57" t="s">
        <v>2080</v>
      </c>
    </row>
    <row r="334" ht="140" spans="1:13">
      <c r="A334" s="178" t="str">
        <f t="shared" si="5"/>
        <v>Controlling &amp; Corrective Action|Department Head|3</v>
      </c>
      <c r="B334" s="57" t="s">
        <v>447</v>
      </c>
      <c r="C334" s="177" t="s">
        <v>655</v>
      </c>
      <c r="D334" s="177">
        <v>3</v>
      </c>
      <c r="E334" s="177" t="s">
        <v>507</v>
      </c>
      <c r="F334" s="177">
        <v>3</v>
      </c>
      <c r="G334" s="57" t="s">
        <v>2081</v>
      </c>
      <c r="H334" s="57" t="s">
        <v>2082</v>
      </c>
      <c r="I334" s="57" t="s">
        <v>2083</v>
      </c>
      <c r="J334" s="57" t="s">
        <v>2084</v>
      </c>
      <c r="K334" s="57" t="s">
        <v>478</v>
      </c>
      <c r="L334" s="57" t="s">
        <v>479</v>
      </c>
      <c r="M334" s="57" t="s">
        <v>2085</v>
      </c>
    </row>
    <row r="335" ht="112" spans="1:13">
      <c r="A335" s="178" t="str">
        <f t="shared" si="5"/>
        <v>Controlling &amp; Corrective Action|Department Head|4</v>
      </c>
      <c r="B335" s="57" t="s">
        <v>447</v>
      </c>
      <c r="C335" s="177" t="s">
        <v>655</v>
      </c>
      <c r="D335" s="177">
        <v>4</v>
      </c>
      <c r="E335" s="177" t="s">
        <v>523</v>
      </c>
      <c r="F335" s="177">
        <v>1</v>
      </c>
      <c r="G335" s="57" t="s">
        <v>2086</v>
      </c>
      <c r="H335" s="57" t="s">
        <v>2087</v>
      </c>
      <c r="I335" s="57" t="s">
        <v>2088</v>
      </c>
      <c r="J335" s="57" t="s">
        <v>2089</v>
      </c>
      <c r="K335" s="57" t="s">
        <v>478</v>
      </c>
      <c r="L335" s="57" t="s">
        <v>479</v>
      </c>
      <c r="M335" s="57" t="s">
        <v>2090</v>
      </c>
    </row>
    <row r="336" ht="112" spans="1:13">
      <c r="A336" s="178" t="str">
        <f t="shared" si="5"/>
        <v>Controlling &amp; Corrective Action|Department Head|4</v>
      </c>
      <c r="B336" s="57" t="s">
        <v>447</v>
      </c>
      <c r="C336" s="177" t="s">
        <v>655</v>
      </c>
      <c r="D336" s="177">
        <v>4</v>
      </c>
      <c r="E336" s="177" t="s">
        <v>523</v>
      </c>
      <c r="F336" s="177">
        <v>2</v>
      </c>
      <c r="G336" s="57" t="s">
        <v>2091</v>
      </c>
      <c r="H336" s="57" t="s">
        <v>2092</v>
      </c>
      <c r="I336" s="57" t="s">
        <v>2093</v>
      </c>
      <c r="J336" s="57" t="s">
        <v>2094</v>
      </c>
      <c r="K336" s="57" t="s">
        <v>478</v>
      </c>
      <c r="L336" s="57" t="s">
        <v>479</v>
      </c>
      <c r="M336" s="57" t="s">
        <v>2095</v>
      </c>
    </row>
    <row r="337" ht="112" spans="1:13">
      <c r="A337" s="178" t="str">
        <f t="shared" si="5"/>
        <v>Controlling &amp; Corrective Action|Department Head|4</v>
      </c>
      <c r="B337" s="57" t="s">
        <v>447</v>
      </c>
      <c r="C337" s="177" t="s">
        <v>655</v>
      </c>
      <c r="D337" s="177">
        <v>4</v>
      </c>
      <c r="E337" s="177" t="s">
        <v>523</v>
      </c>
      <c r="F337" s="177">
        <v>3</v>
      </c>
      <c r="G337" s="57" t="s">
        <v>2096</v>
      </c>
      <c r="H337" s="57" t="s">
        <v>2097</v>
      </c>
      <c r="I337" s="57" t="s">
        <v>2098</v>
      </c>
      <c r="J337" s="57" t="s">
        <v>2099</v>
      </c>
      <c r="K337" s="57" t="s">
        <v>478</v>
      </c>
      <c r="L337" s="57" t="s">
        <v>479</v>
      </c>
      <c r="M337" s="57" t="s">
        <v>2100</v>
      </c>
    </row>
    <row r="338" ht="126" spans="1:13">
      <c r="A338" s="178" t="str">
        <f t="shared" si="5"/>
        <v>Controlling &amp; Corrective Action|Division Head|1</v>
      </c>
      <c r="B338" s="57" t="s">
        <v>447</v>
      </c>
      <c r="C338" s="177" t="s">
        <v>712</v>
      </c>
      <c r="D338" s="177">
        <v>1</v>
      </c>
      <c r="E338" s="177" t="s">
        <v>473</v>
      </c>
      <c r="F338" s="177">
        <v>1</v>
      </c>
      <c r="G338" s="57" t="s">
        <v>2101</v>
      </c>
      <c r="H338" s="57" t="s">
        <v>2102</v>
      </c>
      <c r="I338" s="57" t="s">
        <v>2103</v>
      </c>
      <c r="J338" s="57" t="s">
        <v>2104</v>
      </c>
      <c r="K338" s="57" t="s">
        <v>478</v>
      </c>
      <c r="L338" s="57" t="s">
        <v>479</v>
      </c>
      <c r="M338" s="57" t="s">
        <v>2105</v>
      </c>
    </row>
    <row r="339" ht="126" spans="1:13">
      <c r="A339" s="178" t="str">
        <f t="shared" si="5"/>
        <v>Controlling &amp; Corrective Action|Division Head|1</v>
      </c>
      <c r="B339" s="57" t="s">
        <v>447</v>
      </c>
      <c r="C339" s="177" t="s">
        <v>712</v>
      </c>
      <c r="D339" s="177">
        <v>1</v>
      </c>
      <c r="E339" s="177" t="s">
        <v>473</v>
      </c>
      <c r="F339" s="177">
        <v>2</v>
      </c>
      <c r="G339" s="57" t="s">
        <v>2106</v>
      </c>
      <c r="H339" s="57" t="s">
        <v>2107</v>
      </c>
      <c r="I339" s="57" t="s">
        <v>2108</v>
      </c>
      <c r="J339" s="57" t="s">
        <v>2109</v>
      </c>
      <c r="K339" s="57" t="s">
        <v>478</v>
      </c>
      <c r="L339" s="57" t="s">
        <v>479</v>
      </c>
      <c r="M339" s="57" t="s">
        <v>2110</v>
      </c>
    </row>
    <row r="340" ht="126" spans="1:13">
      <c r="A340" s="178" t="str">
        <f t="shared" si="5"/>
        <v>Controlling &amp; Corrective Action|Division Head|1</v>
      </c>
      <c r="B340" s="57" t="s">
        <v>447</v>
      </c>
      <c r="C340" s="177" t="s">
        <v>712</v>
      </c>
      <c r="D340" s="177">
        <v>1</v>
      </c>
      <c r="E340" s="177" t="s">
        <v>473</v>
      </c>
      <c r="F340" s="177">
        <v>3</v>
      </c>
      <c r="G340" s="57" t="s">
        <v>2111</v>
      </c>
      <c r="H340" s="57" t="s">
        <v>2112</v>
      </c>
      <c r="I340" s="57" t="s">
        <v>2113</v>
      </c>
      <c r="J340" s="57" t="s">
        <v>2114</v>
      </c>
      <c r="K340" s="57" t="s">
        <v>478</v>
      </c>
      <c r="L340" s="57" t="s">
        <v>479</v>
      </c>
      <c r="M340" s="57" t="s">
        <v>2115</v>
      </c>
    </row>
    <row r="341" ht="112" spans="1:13">
      <c r="A341" s="178" t="str">
        <f t="shared" si="5"/>
        <v>Controlling &amp; Corrective Action|Division Head|2</v>
      </c>
      <c r="B341" s="57" t="s">
        <v>447</v>
      </c>
      <c r="C341" s="177" t="s">
        <v>712</v>
      </c>
      <c r="D341" s="177">
        <v>2</v>
      </c>
      <c r="E341" s="177" t="s">
        <v>491</v>
      </c>
      <c r="F341" s="177">
        <v>1</v>
      </c>
      <c r="G341" s="57" t="s">
        <v>2116</v>
      </c>
      <c r="H341" s="57" t="s">
        <v>2117</v>
      </c>
      <c r="I341" s="57" t="s">
        <v>2118</v>
      </c>
      <c r="J341" s="57" t="s">
        <v>2119</v>
      </c>
      <c r="K341" s="57" t="s">
        <v>478</v>
      </c>
      <c r="L341" s="57" t="s">
        <v>479</v>
      </c>
      <c r="M341" s="57" t="s">
        <v>2120</v>
      </c>
    </row>
    <row r="342" ht="98" spans="1:13">
      <c r="A342" s="178" t="str">
        <f t="shared" si="5"/>
        <v>Controlling &amp; Corrective Action|Division Head|2</v>
      </c>
      <c r="B342" s="57" t="s">
        <v>447</v>
      </c>
      <c r="C342" s="177" t="s">
        <v>712</v>
      </c>
      <c r="D342" s="177">
        <v>2</v>
      </c>
      <c r="E342" s="177" t="s">
        <v>491</v>
      </c>
      <c r="F342" s="177">
        <v>2</v>
      </c>
      <c r="G342" s="57" t="s">
        <v>2121</v>
      </c>
      <c r="H342" s="57" t="s">
        <v>2122</v>
      </c>
      <c r="I342" s="57" t="s">
        <v>2123</v>
      </c>
      <c r="J342" s="57" t="s">
        <v>2124</v>
      </c>
      <c r="K342" s="57" t="s">
        <v>478</v>
      </c>
      <c r="L342" s="57" t="s">
        <v>479</v>
      </c>
      <c r="M342" s="57" t="s">
        <v>2125</v>
      </c>
    </row>
    <row r="343" ht="98" spans="1:13">
      <c r="A343" s="178" t="str">
        <f t="shared" si="5"/>
        <v>Controlling &amp; Corrective Action|Division Head|2</v>
      </c>
      <c r="B343" s="57" t="s">
        <v>447</v>
      </c>
      <c r="C343" s="177" t="s">
        <v>712</v>
      </c>
      <c r="D343" s="177">
        <v>2</v>
      </c>
      <c r="E343" s="177" t="s">
        <v>491</v>
      </c>
      <c r="F343" s="177">
        <v>3</v>
      </c>
      <c r="G343" s="57" t="s">
        <v>2126</v>
      </c>
      <c r="H343" s="57" t="s">
        <v>2127</v>
      </c>
      <c r="I343" s="57" t="s">
        <v>2128</v>
      </c>
      <c r="J343" s="57" t="s">
        <v>2129</v>
      </c>
      <c r="K343" s="57" t="s">
        <v>478</v>
      </c>
      <c r="L343" s="57" t="s">
        <v>479</v>
      </c>
      <c r="M343" s="57" t="s">
        <v>2130</v>
      </c>
    </row>
    <row r="344" ht="126" spans="1:13">
      <c r="A344" s="178" t="str">
        <f t="shared" si="5"/>
        <v>Controlling &amp; Corrective Action|Division Head|3</v>
      </c>
      <c r="B344" s="57" t="s">
        <v>447</v>
      </c>
      <c r="C344" s="177" t="s">
        <v>712</v>
      </c>
      <c r="D344" s="177">
        <v>3</v>
      </c>
      <c r="E344" s="177" t="s">
        <v>507</v>
      </c>
      <c r="F344" s="177">
        <v>1</v>
      </c>
      <c r="G344" s="57" t="s">
        <v>2131</v>
      </c>
      <c r="H344" s="57" t="s">
        <v>2132</v>
      </c>
      <c r="I344" s="57" t="s">
        <v>2133</v>
      </c>
      <c r="J344" s="57" t="s">
        <v>2134</v>
      </c>
      <c r="K344" s="57" t="s">
        <v>478</v>
      </c>
      <c r="L344" s="57" t="s">
        <v>479</v>
      </c>
      <c r="M344" s="57" t="s">
        <v>2135</v>
      </c>
    </row>
    <row r="345" ht="112" spans="1:13">
      <c r="A345" s="178" t="str">
        <f t="shared" si="5"/>
        <v>Controlling &amp; Corrective Action|Division Head|3</v>
      </c>
      <c r="B345" s="57" t="s">
        <v>447</v>
      </c>
      <c r="C345" s="177" t="s">
        <v>712</v>
      </c>
      <c r="D345" s="177">
        <v>3</v>
      </c>
      <c r="E345" s="177" t="s">
        <v>507</v>
      </c>
      <c r="F345" s="177">
        <v>2</v>
      </c>
      <c r="G345" s="57" t="s">
        <v>2136</v>
      </c>
      <c r="H345" s="57" t="s">
        <v>2137</v>
      </c>
      <c r="I345" s="57" t="s">
        <v>2138</v>
      </c>
      <c r="J345" s="57" t="s">
        <v>2139</v>
      </c>
      <c r="K345" s="57" t="s">
        <v>478</v>
      </c>
      <c r="L345" s="57" t="s">
        <v>479</v>
      </c>
      <c r="M345" s="57" t="s">
        <v>2140</v>
      </c>
    </row>
    <row r="346" ht="84" spans="1:13">
      <c r="A346" s="178" t="str">
        <f t="shared" si="5"/>
        <v>Controlling &amp; Corrective Action|Division Head|3</v>
      </c>
      <c r="B346" s="57" t="s">
        <v>447</v>
      </c>
      <c r="C346" s="177" t="s">
        <v>712</v>
      </c>
      <c r="D346" s="177">
        <v>3</v>
      </c>
      <c r="E346" s="177" t="s">
        <v>507</v>
      </c>
      <c r="F346" s="177">
        <v>3</v>
      </c>
      <c r="G346" s="57" t="s">
        <v>2141</v>
      </c>
      <c r="H346" s="57" t="s">
        <v>2142</v>
      </c>
      <c r="I346" s="57" t="s">
        <v>2143</v>
      </c>
      <c r="J346" s="57" t="s">
        <v>2144</v>
      </c>
      <c r="K346" s="57" t="s">
        <v>478</v>
      </c>
      <c r="L346" s="57" t="s">
        <v>479</v>
      </c>
      <c r="M346" s="57" t="s">
        <v>2145</v>
      </c>
    </row>
    <row r="347" ht="126" spans="1:13">
      <c r="A347" s="178" t="str">
        <f t="shared" si="5"/>
        <v>Controlling &amp; Corrective Action|Division Head|4</v>
      </c>
      <c r="B347" s="57" t="s">
        <v>447</v>
      </c>
      <c r="C347" s="177" t="s">
        <v>712</v>
      </c>
      <c r="D347" s="177">
        <v>4</v>
      </c>
      <c r="E347" s="177" t="s">
        <v>523</v>
      </c>
      <c r="F347" s="177">
        <v>1</v>
      </c>
      <c r="G347" s="57" t="s">
        <v>2146</v>
      </c>
      <c r="H347" s="57" t="s">
        <v>2147</v>
      </c>
      <c r="I347" s="57" t="s">
        <v>2148</v>
      </c>
      <c r="J347" s="57" t="s">
        <v>2149</v>
      </c>
      <c r="K347" s="57" t="s">
        <v>478</v>
      </c>
      <c r="L347" s="57" t="s">
        <v>479</v>
      </c>
      <c r="M347" s="57" t="s">
        <v>2150</v>
      </c>
    </row>
    <row r="348" ht="112" spans="1:13">
      <c r="A348" s="178" t="str">
        <f t="shared" si="5"/>
        <v>Controlling &amp; Corrective Action|Division Head|4</v>
      </c>
      <c r="B348" s="57" t="s">
        <v>447</v>
      </c>
      <c r="C348" s="177" t="s">
        <v>712</v>
      </c>
      <c r="D348" s="177">
        <v>4</v>
      </c>
      <c r="E348" s="177" t="s">
        <v>523</v>
      </c>
      <c r="F348" s="177">
        <v>2</v>
      </c>
      <c r="G348" s="57" t="s">
        <v>2151</v>
      </c>
      <c r="H348" s="57" t="s">
        <v>2152</v>
      </c>
      <c r="I348" s="57" t="s">
        <v>2153</v>
      </c>
      <c r="J348" s="57" t="s">
        <v>2154</v>
      </c>
      <c r="K348" s="57" t="s">
        <v>478</v>
      </c>
      <c r="L348" s="57" t="s">
        <v>479</v>
      </c>
      <c r="M348" s="57" t="s">
        <v>2155</v>
      </c>
    </row>
    <row r="349" ht="112" spans="1:13">
      <c r="A349" s="178" t="str">
        <f t="shared" si="5"/>
        <v>Controlling &amp; Corrective Action|Division Head|4</v>
      </c>
      <c r="B349" s="57" t="s">
        <v>447</v>
      </c>
      <c r="C349" s="177" t="s">
        <v>712</v>
      </c>
      <c r="D349" s="177">
        <v>4</v>
      </c>
      <c r="E349" s="177" t="s">
        <v>523</v>
      </c>
      <c r="F349" s="177">
        <v>3</v>
      </c>
      <c r="G349" s="57" t="s">
        <v>2156</v>
      </c>
      <c r="H349" s="57" t="s">
        <v>2157</v>
      </c>
      <c r="I349" s="57" t="s">
        <v>2158</v>
      </c>
      <c r="J349" s="57" t="s">
        <v>2159</v>
      </c>
      <c r="K349" s="57" t="s">
        <v>478</v>
      </c>
      <c r="L349" s="57" t="s">
        <v>479</v>
      </c>
      <c r="M349" s="57" t="s">
        <v>2160</v>
      </c>
    </row>
    <row r="350" ht="112" spans="1:13">
      <c r="A350" s="178" t="str">
        <f t="shared" si="5"/>
        <v>Controlling &amp; Corrective Action|Director|1</v>
      </c>
      <c r="B350" s="57" t="s">
        <v>447</v>
      </c>
      <c r="C350" s="177" t="s">
        <v>773</v>
      </c>
      <c r="D350" s="177">
        <v>1</v>
      </c>
      <c r="E350" s="177" t="s">
        <v>473</v>
      </c>
      <c r="F350" s="177">
        <v>1</v>
      </c>
      <c r="G350" s="57" t="s">
        <v>2161</v>
      </c>
      <c r="H350" s="57" t="s">
        <v>2162</v>
      </c>
      <c r="I350" s="57" t="s">
        <v>2163</v>
      </c>
      <c r="J350" s="57" t="s">
        <v>2164</v>
      </c>
      <c r="K350" s="57" t="s">
        <v>478</v>
      </c>
      <c r="L350" s="57" t="s">
        <v>479</v>
      </c>
      <c r="M350" s="57" t="s">
        <v>2165</v>
      </c>
    </row>
    <row r="351" ht="98" spans="1:13">
      <c r="A351" s="178" t="str">
        <f t="shared" si="5"/>
        <v>Controlling &amp; Corrective Action|Director|1</v>
      </c>
      <c r="B351" s="57" t="s">
        <v>447</v>
      </c>
      <c r="C351" s="177" t="s">
        <v>773</v>
      </c>
      <c r="D351" s="177">
        <v>1</v>
      </c>
      <c r="E351" s="177" t="s">
        <v>473</v>
      </c>
      <c r="F351" s="177">
        <v>2</v>
      </c>
      <c r="G351" s="57" t="s">
        <v>2166</v>
      </c>
      <c r="H351" s="57" t="s">
        <v>2167</v>
      </c>
      <c r="I351" s="57" t="s">
        <v>2168</v>
      </c>
      <c r="J351" s="57" t="s">
        <v>2169</v>
      </c>
      <c r="K351" s="57" t="s">
        <v>478</v>
      </c>
      <c r="L351" s="57" t="s">
        <v>479</v>
      </c>
      <c r="M351" s="57" t="s">
        <v>2170</v>
      </c>
    </row>
    <row r="352" ht="112" spans="1:13">
      <c r="A352" s="178" t="str">
        <f t="shared" si="5"/>
        <v>Controlling &amp; Corrective Action|Director|1</v>
      </c>
      <c r="B352" s="57" t="s">
        <v>447</v>
      </c>
      <c r="C352" s="177" t="s">
        <v>773</v>
      </c>
      <c r="D352" s="177">
        <v>1</v>
      </c>
      <c r="E352" s="177" t="s">
        <v>473</v>
      </c>
      <c r="F352" s="177">
        <v>3</v>
      </c>
      <c r="G352" s="57" t="s">
        <v>2171</v>
      </c>
      <c r="H352" s="57" t="s">
        <v>2172</v>
      </c>
      <c r="I352" s="57" t="s">
        <v>2173</v>
      </c>
      <c r="J352" s="57" t="s">
        <v>2174</v>
      </c>
      <c r="K352" s="57" t="s">
        <v>478</v>
      </c>
      <c r="L352" s="57" t="s">
        <v>479</v>
      </c>
      <c r="M352" s="57" t="s">
        <v>2175</v>
      </c>
    </row>
    <row r="353" ht="84" spans="1:13">
      <c r="A353" s="178" t="str">
        <f t="shared" si="5"/>
        <v>Controlling &amp; Corrective Action|Director|2</v>
      </c>
      <c r="B353" s="57" t="s">
        <v>447</v>
      </c>
      <c r="C353" s="177" t="s">
        <v>773</v>
      </c>
      <c r="D353" s="177">
        <v>2</v>
      </c>
      <c r="E353" s="177" t="s">
        <v>491</v>
      </c>
      <c r="F353" s="177">
        <v>1</v>
      </c>
      <c r="G353" s="57" t="s">
        <v>2176</v>
      </c>
      <c r="H353" s="57" t="s">
        <v>2177</v>
      </c>
      <c r="I353" s="57" t="s">
        <v>2178</v>
      </c>
      <c r="J353" s="57" t="s">
        <v>2179</v>
      </c>
      <c r="K353" s="57" t="s">
        <v>478</v>
      </c>
      <c r="L353" s="57" t="s">
        <v>479</v>
      </c>
      <c r="M353" s="57" t="s">
        <v>2180</v>
      </c>
    </row>
    <row r="354" ht="98" spans="1:13">
      <c r="A354" s="178" t="str">
        <f t="shared" si="5"/>
        <v>Controlling &amp; Corrective Action|Director|2</v>
      </c>
      <c r="B354" s="57" t="s">
        <v>447</v>
      </c>
      <c r="C354" s="177" t="s">
        <v>773</v>
      </c>
      <c r="D354" s="177">
        <v>2</v>
      </c>
      <c r="E354" s="177" t="s">
        <v>491</v>
      </c>
      <c r="F354" s="177">
        <v>2</v>
      </c>
      <c r="G354" s="57" t="s">
        <v>2181</v>
      </c>
      <c r="H354" s="57" t="s">
        <v>2182</v>
      </c>
      <c r="I354" s="57" t="s">
        <v>2183</v>
      </c>
      <c r="J354" s="57" t="s">
        <v>2184</v>
      </c>
      <c r="K354" s="57" t="s">
        <v>478</v>
      </c>
      <c r="L354" s="57" t="s">
        <v>479</v>
      </c>
      <c r="M354" s="57" t="s">
        <v>2185</v>
      </c>
    </row>
    <row r="355" ht="98" spans="1:13">
      <c r="A355" s="178" t="str">
        <f t="shared" si="5"/>
        <v>Controlling &amp; Corrective Action|Director|2</v>
      </c>
      <c r="B355" s="57" t="s">
        <v>447</v>
      </c>
      <c r="C355" s="177" t="s">
        <v>773</v>
      </c>
      <c r="D355" s="177">
        <v>2</v>
      </c>
      <c r="E355" s="177" t="s">
        <v>491</v>
      </c>
      <c r="F355" s="177">
        <v>3</v>
      </c>
      <c r="G355" s="57" t="s">
        <v>2186</v>
      </c>
      <c r="H355" s="57" t="s">
        <v>2187</v>
      </c>
      <c r="I355" s="57" t="s">
        <v>2188</v>
      </c>
      <c r="J355" s="57" t="s">
        <v>2189</v>
      </c>
      <c r="K355" s="57" t="s">
        <v>478</v>
      </c>
      <c r="L355" s="57" t="s">
        <v>479</v>
      </c>
      <c r="M355" s="57" t="s">
        <v>2190</v>
      </c>
    </row>
    <row r="356" ht="126" spans="1:13">
      <c r="A356" s="178" t="str">
        <f t="shared" si="5"/>
        <v>Controlling &amp; Corrective Action|Director|3</v>
      </c>
      <c r="B356" s="57" t="s">
        <v>447</v>
      </c>
      <c r="C356" s="177" t="s">
        <v>773</v>
      </c>
      <c r="D356" s="177">
        <v>3</v>
      </c>
      <c r="E356" s="177" t="s">
        <v>507</v>
      </c>
      <c r="F356" s="177">
        <v>1</v>
      </c>
      <c r="G356" s="57" t="s">
        <v>2191</v>
      </c>
      <c r="H356" s="57" t="s">
        <v>2192</v>
      </c>
      <c r="I356" s="57" t="s">
        <v>2193</v>
      </c>
      <c r="J356" s="57" t="s">
        <v>2194</v>
      </c>
      <c r="K356" s="57" t="s">
        <v>478</v>
      </c>
      <c r="L356" s="57" t="s">
        <v>479</v>
      </c>
      <c r="M356" s="57" t="s">
        <v>2195</v>
      </c>
    </row>
    <row r="357" ht="98" spans="1:13">
      <c r="A357" s="178" t="str">
        <f t="shared" si="5"/>
        <v>Controlling &amp; Corrective Action|Director|3</v>
      </c>
      <c r="B357" s="57" t="s">
        <v>447</v>
      </c>
      <c r="C357" s="177" t="s">
        <v>773</v>
      </c>
      <c r="D357" s="177">
        <v>3</v>
      </c>
      <c r="E357" s="177" t="s">
        <v>507</v>
      </c>
      <c r="F357" s="177">
        <v>2</v>
      </c>
      <c r="G357" s="57" t="s">
        <v>2196</v>
      </c>
      <c r="H357" s="57" t="s">
        <v>2197</v>
      </c>
      <c r="I357" s="57" t="s">
        <v>2198</v>
      </c>
      <c r="J357" s="57" t="s">
        <v>2199</v>
      </c>
      <c r="K357" s="57" t="s">
        <v>478</v>
      </c>
      <c r="L357" s="57" t="s">
        <v>479</v>
      </c>
      <c r="M357" s="57" t="s">
        <v>2200</v>
      </c>
    </row>
    <row r="358" ht="98" spans="1:13">
      <c r="A358" s="178" t="str">
        <f t="shared" si="5"/>
        <v>Controlling &amp; Corrective Action|Director|3</v>
      </c>
      <c r="B358" s="57" t="s">
        <v>447</v>
      </c>
      <c r="C358" s="177" t="s">
        <v>773</v>
      </c>
      <c r="D358" s="177">
        <v>3</v>
      </c>
      <c r="E358" s="177" t="s">
        <v>507</v>
      </c>
      <c r="F358" s="177">
        <v>3</v>
      </c>
      <c r="G358" s="57" t="s">
        <v>2201</v>
      </c>
      <c r="H358" s="57" t="s">
        <v>2202</v>
      </c>
      <c r="I358" s="57" t="s">
        <v>2203</v>
      </c>
      <c r="J358" s="57" t="s">
        <v>2204</v>
      </c>
      <c r="K358" s="57" t="s">
        <v>478</v>
      </c>
      <c r="L358" s="57" t="s">
        <v>479</v>
      </c>
      <c r="M358" s="57" t="s">
        <v>2205</v>
      </c>
    </row>
    <row r="359" ht="140" spans="1:13">
      <c r="A359" s="178" t="str">
        <f t="shared" si="5"/>
        <v>Controlling &amp; Corrective Action|Director|4</v>
      </c>
      <c r="B359" s="57" t="s">
        <v>447</v>
      </c>
      <c r="C359" s="177" t="s">
        <v>773</v>
      </c>
      <c r="D359" s="177">
        <v>4</v>
      </c>
      <c r="E359" s="177" t="s">
        <v>523</v>
      </c>
      <c r="F359" s="177">
        <v>1</v>
      </c>
      <c r="G359" s="57" t="s">
        <v>2206</v>
      </c>
      <c r="H359" s="57" t="s">
        <v>2207</v>
      </c>
      <c r="I359" s="57" t="s">
        <v>2208</v>
      </c>
      <c r="J359" s="57" t="s">
        <v>2209</v>
      </c>
      <c r="K359" s="57" t="s">
        <v>478</v>
      </c>
      <c r="L359" s="57" t="s">
        <v>479</v>
      </c>
      <c r="M359" s="57" t="s">
        <v>2210</v>
      </c>
    </row>
    <row r="360" ht="112" spans="1:13">
      <c r="A360" s="178" t="str">
        <f t="shared" si="5"/>
        <v>Controlling &amp; Corrective Action|Director|4</v>
      </c>
      <c r="B360" s="57" t="s">
        <v>447</v>
      </c>
      <c r="C360" s="177" t="s">
        <v>773</v>
      </c>
      <c r="D360" s="177">
        <v>4</v>
      </c>
      <c r="E360" s="177" t="s">
        <v>523</v>
      </c>
      <c r="F360" s="177">
        <v>2</v>
      </c>
      <c r="G360" s="57" t="s">
        <v>2211</v>
      </c>
      <c r="H360" s="57" t="s">
        <v>2212</v>
      </c>
      <c r="I360" s="57" t="s">
        <v>2213</v>
      </c>
      <c r="J360" s="57" t="s">
        <v>2214</v>
      </c>
      <c r="K360" s="57" t="s">
        <v>478</v>
      </c>
      <c r="L360" s="57" t="s">
        <v>479</v>
      </c>
      <c r="M360" s="57" t="s">
        <v>2215</v>
      </c>
    </row>
    <row r="361" ht="126" spans="1:13">
      <c r="A361" s="178" t="str">
        <f t="shared" si="5"/>
        <v>Controlling &amp; Corrective Action|Director|4</v>
      </c>
      <c r="B361" s="57" t="s">
        <v>447</v>
      </c>
      <c r="C361" s="177" t="s">
        <v>773</v>
      </c>
      <c r="D361" s="177">
        <v>4</v>
      </c>
      <c r="E361" s="177" t="s">
        <v>523</v>
      </c>
      <c r="F361" s="177">
        <v>3</v>
      </c>
      <c r="G361" s="57" t="s">
        <v>2216</v>
      </c>
      <c r="H361" s="57" t="s">
        <v>2217</v>
      </c>
      <c r="I361" s="57" t="s">
        <v>2218</v>
      </c>
      <c r="J361" s="57" t="s">
        <v>2219</v>
      </c>
      <c r="K361" s="57" t="s">
        <v>478</v>
      </c>
      <c r="L361" s="57" t="s">
        <v>479</v>
      </c>
      <c r="M361" s="57" t="s">
        <v>2220</v>
      </c>
    </row>
    <row r="362" ht="168" spans="1:13">
      <c r="A362" s="178" t="str">
        <f t="shared" si="5"/>
        <v>Developing Oneself|Officer|1</v>
      </c>
      <c r="B362" s="57" t="s">
        <v>444</v>
      </c>
      <c r="C362" s="177" t="s">
        <v>6</v>
      </c>
      <c r="D362" s="177">
        <v>1</v>
      </c>
      <c r="E362" s="177" t="s">
        <v>473</v>
      </c>
      <c r="F362" s="177">
        <v>1</v>
      </c>
      <c r="G362" s="57" t="s">
        <v>2221</v>
      </c>
      <c r="H362" s="57" t="s">
        <v>2222</v>
      </c>
      <c r="I362" s="57" t="s">
        <v>2223</v>
      </c>
      <c r="J362" s="57" t="s">
        <v>2224</v>
      </c>
      <c r="K362" s="57" t="s">
        <v>2225</v>
      </c>
      <c r="L362" s="57" t="s">
        <v>2226</v>
      </c>
      <c r="M362" s="57" t="s">
        <v>2227</v>
      </c>
    </row>
    <row r="363" ht="126" spans="1:13">
      <c r="A363" s="178" t="str">
        <f t="shared" si="5"/>
        <v>Developing Oneself|Officer|1</v>
      </c>
      <c r="B363" s="57" t="s">
        <v>444</v>
      </c>
      <c r="C363" s="177" t="s">
        <v>6</v>
      </c>
      <c r="D363" s="177">
        <v>1</v>
      </c>
      <c r="E363" s="177" t="s">
        <v>473</v>
      </c>
      <c r="F363" s="177">
        <v>2</v>
      </c>
      <c r="G363" s="57" t="s">
        <v>2228</v>
      </c>
      <c r="H363" s="57" t="s">
        <v>2229</v>
      </c>
      <c r="I363" s="57" t="s">
        <v>2230</v>
      </c>
      <c r="J363" s="57" t="s">
        <v>2231</v>
      </c>
      <c r="L363" s="57" t="s">
        <v>2226</v>
      </c>
      <c r="M363" s="57" t="s">
        <v>2232</v>
      </c>
    </row>
    <row r="364" ht="154" spans="1:13">
      <c r="A364" s="178" t="str">
        <f t="shared" si="5"/>
        <v>Developing Oneself|Officer|1</v>
      </c>
      <c r="B364" s="57" t="s">
        <v>444</v>
      </c>
      <c r="C364" s="177" t="s">
        <v>6</v>
      </c>
      <c r="D364" s="177">
        <v>1</v>
      </c>
      <c r="E364" s="177" t="s">
        <v>473</v>
      </c>
      <c r="F364" s="177">
        <v>3</v>
      </c>
      <c r="G364" s="57" t="s">
        <v>2233</v>
      </c>
      <c r="H364" s="57" t="s">
        <v>2234</v>
      </c>
      <c r="I364" s="57" t="s">
        <v>2235</v>
      </c>
      <c r="J364" s="57" t="s">
        <v>2236</v>
      </c>
      <c r="L364" s="57" t="s">
        <v>2226</v>
      </c>
      <c r="M364" s="57" t="s">
        <v>2237</v>
      </c>
    </row>
    <row r="365" ht="126" spans="1:13">
      <c r="A365" s="178" t="str">
        <f t="shared" si="5"/>
        <v>Developing Oneself|Officer|2</v>
      </c>
      <c r="B365" s="57" t="s">
        <v>444</v>
      </c>
      <c r="C365" s="177" t="s">
        <v>6</v>
      </c>
      <c r="D365" s="177">
        <v>2</v>
      </c>
      <c r="E365" s="177" t="s">
        <v>491</v>
      </c>
      <c r="F365" s="177">
        <v>1</v>
      </c>
      <c r="G365" s="57" t="s">
        <v>2238</v>
      </c>
      <c r="H365" s="57" t="s">
        <v>2239</v>
      </c>
      <c r="I365" s="57" t="s">
        <v>2240</v>
      </c>
      <c r="J365" s="57" t="s">
        <v>2241</v>
      </c>
      <c r="K365" s="57" t="s">
        <v>2225</v>
      </c>
      <c r="L365" s="57" t="s">
        <v>2242</v>
      </c>
      <c r="M365" s="57" t="s">
        <v>2243</v>
      </c>
    </row>
    <row r="366" ht="126" spans="1:13">
      <c r="A366" s="178" t="str">
        <f t="shared" si="5"/>
        <v>Developing Oneself|Officer|2</v>
      </c>
      <c r="B366" s="57" t="s">
        <v>444</v>
      </c>
      <c r="C366" s="177" t="s">
        <v>6</v>
      </c>
      <c r="D366" s="177">
        <v>2</v>
      </c>
      <c r="E366" s="177" t="s">
        <v>491</v>
      </c>
      <c r="F366" s="177">
        <v>2</v>
      </c>
      <c r="G366" s="57" t="s">
        <v>2244</v>
      </c>
      <c r="H366" s="57" t="s">
        <v>2245</v>
      </c>
      <c r="I366" s="57" t="s">
        <v>2246</v>
      </c>
      <c r="J366" s="57" t="s">
        <v>2247</v>
      </c>
      <c r="L366" s="57" t="s">
        <v>2242</v>
      </c>
      <c r="M366" s="57" t="s">
        <v>2248</v>
      </c>
    </row>
    <row r="367" ht="126" spans="1:13">
      <c r="A367" s="178" t="str">
        <f t="shared" si="5"/>
        <v>Developing Oneself|Officer|2</v>
      </c>
      <c r="B367" s="57" t="s">
        <v>444</v>
      </c>
      <c r="C367" s="177" t="s">
        <v>6</v>
      </c>
      <c r="D367" s="177">
        <v>2</v>
      </c>
      <c r="E367" s="177" t="s">
        <v>491</v>
      </c>
      <c r="F367" s="177">
        <v>3</v>
      </c>
      <c r="G367" s="57" t="s">
        <v>2249</v>
      </c>
      <c r="H367" s="57" t="s">
        <v>2250</v>
      </c>
      <c r="I367" s="57" t="s">
        <v>2251</v>
      </c>
      <c r="J367" s="57" t="s">
        <v>2252</v>
      </c>
      <c r="L367" s="57" t="s">
        <v>2253</v>
      </c>
      <c r="M367" s="57" t="s">
        <v>2254</v>
      </c>
    </row>
    <row r="368" ht="126" spans="1:13">
      <c r="A368" s="178" t="str">
        <f t="shared" si="5"/>
        <v>Developing Oneself|Officer|3</v>
      </c>
      <c r="B368" s="57" t="s">
        <v>444</v>
      </c>
      <c r="C368" s="177" t="s">
        <v>6</v>
      </c>
      <c r="D368" s="177">
        <v>3</v>
      </c>
      <c r="E368" s="177" t="s">
        <v>507</v>
      </c>
      <c r="F368" s="177">
        <v>1</v>
      </c>
      <c r="G368" s="57" t="s">
        <v>2255</v>
      </c>
      <c r="H368" s="57" t="s">
        <v>2256</v>
      </c>
      <c r="I368" s="57" t="s">
        <v>2257</v>
      </c>
      <c r="J368" s="57" t="s">
        <v>2258</v>
      </c>
      <c r="K368" s="57" t="s">
        <v>2259</v>
      </c>
      <c r="L368" s="57" t="s">
        <v>2226</v>
      </c>
      <c r="M368" s="57" t="s">
        <v>2260</v>
      </c>
    </row>
    <row r="369" ht="112" spans="1:13">
      <c r="A369" s="178" t="str">
        <f t="shared" si="5"/>
        <v>Developing Oneself|Officer|3</v>
      </c>
      <c r="B369" s="57" t="s">
        <v>444</v>
      </c>
      <c r="C369" s="177" t="s">
        <v>6</v>
      </c>
      <c r="D369" s="177">
        <v>3</v>
      </c>
      <c r="E369" s="177" t="s">
        <v>507</v>
      </c>
      <c r="F369" s="177">
        <v>2</v>
      </c>
      <c r="G369" s="57" t="s">
        <v>2261</v>
      </c>
      <c r="H369" s="57" t="s">
        <v>2262</v>
      </c>
      <c r="I369" s="57" t="s">
        <v>2263</v>
      </c>
      <c r="J369" s="57" t="s">
        <v>2264</v>
      </c>
      <c r="L369" s="57" t="s">
        <v>2265</v>
      </c>
      <c r="M369" s="57" t="s">
        <v>2266</v>
      </c>
    </row>
    <row r="370" ht="112" spans="1:13">
      <c r="A370" s="178" t="str">
        <f t="shared" si="5"/>
        <v>Developing Oneself|Officer|3</v>
      </c>
      <c r="B370" s="57" t="s">
        <v>444</v>
      </c>
      <c r="C370" s="177" t="s">
        <v>6</v>
      </c>
      <c r="D370" s="177">
        <v>3</v>
      </c>
      <c r="E370" s="177" t="s">
        <v>507</v>
      </c>
      <c r="F370" s="177">
        <v>3</v>
      </c>
      <c r="G370" s="57" t="s">
        <v>2267</v>
      </c>
      <c r="H370" s="57" t="s">
        <v>2268</v>
      </c>
      <c r="I370" s="57" t="s">
        <v>2269</v>
      </c>
      <c r="J370" s="57" t="s">
        <v>2270</v>
      </c>
      <c r="L370" s="57" t="s">
        <v>2226</v>
      </c>
      <c r="M370" s="57" t="s">
        <v>2271</v>
      </c>
    </row>
    <row r="371" ht="112" spans="1:13">
      <c r="A371" s="178" t="str">
        <f t="shared" si="5"/>
        <v>Developing Oneself|Officer|4</v>
      </c>
      <c r="B371" s="57" t="s">
        <v>444</v>
      </c>
      <c r="C371" s="177" t="s">
        <v>6</v>
      </c>
      <c r="D371" s="177">
        <v>4</v>
      </c>
      <c r="E371" s="177" t="s">
        <v>523</v>
      </c>
      <c r="F371" s="177">
        <v>1</v>
      </c>
      <c r="G371" s="57" t="s">
        <v>2272</v>
      </c>
      <c r="H371" s="57" t="s">
        <v>2273</v>
      </c>
      <c r="I371" s="57" t="s">
        <v>2274</v>
      </c>
      <c r="J371" s="57" t="s">
        <v>2275</v>
      </c>
      <c r="K371" s="57" t="s">
        <v>2276</v>
      </c>
      <c r="L371" s="57" t="s">
        <v>2277</v>
      </c>
      <c r="M371" s="57" t="s">
        <v>2278</v>
      </c>
    </row>
    <row r="372" ht="126" spans="1:13">
      <c r="A372" s="178" t="str">
        <f t="shared" si="5"/>
        <v>Developing Oneself|Officer|4</v>
      </c>
      <c r="B372" s="57" t="s">
        <v>444</v>
      </c>
      <c r="C372" s="177" t="s">
        <v>6</v>
      </c>
      <c r="D372" s="177">
        <v>4</v>
      </c>
      <c r="E372" s="177" t="s">
        <v>523</v>
      </c>
      <c r="F372" s="177">
        <v>2</v>
      </c>
      <c r="G372" s="57" t="s">
        <v>2279</v>
      </c>
      <c r="H372" s="57" t="s">
        <v>2280</v>
      </c>
      <c r="I372" s="57" t="s">
        <v>2281</v>
      </c>
      <c r="J372" s="57" t="s">
        <v>2282</v>
      </c>
      <c r="L372" s="57" t="s">
        <v>2283</v>
      </c>
      <c r="M372" s="57" t="s">
        <v>2284</v>
      </c>
    </row>
    <row r="373" ht="126" spans="1:13">
      <c r="A373" s="178" t="str">
        <f t="shared" si="5"/>
        <v>Developing Oneself|Officer|4</v>
      </c>
      <c r="B373" s="57" t="s">
        <v>444</v>
      </c>
      <c r="C373" s="177" t="s">
        <v>6</v>
      </c>
      <c r="D373" s="177">
        <v>4</v>
      </c>
      <c r="E373" s="177" t="s">
        <v>523</v>
      </c>
      <c r="F373" s="177">
        <v>3</v>
      </c>
      <c r="G373" s="57" t="s">
        <v>2285</v>
      </c>
      <c r="H373" s="57" t="s">
        <v>2286</v>
      </c>
      <c r="I373" s="57" t="s">
        <v>2287</v>
      </c>
      <c r="J373" s="57" t="s">
        <v>2288</v>
      </c>
      <c r="L373" s="57" t="s">
        <v>2277</v>
      </c>
      <c r="M373" s="57" t="s">
        <v>2289</v>
      </c>
    </row>
    <row r="374" ht="28" spans="1:13">
      <c r="A374" s="178" t="str">
        <f t="shared" si="5"/>
        <v>Developing Oneself|Analyst|1</v>
      </c>
      <c r="B374" s="57" t="s">
        <v>444</v>
      </c>
      <c r="C374" s="177" t="s">
        <v>8</v>
      </c>
      <c r="D374" s="177">
        <v>1</v>
      </c>
      <c r="E374" s="177" t="s">
        <v>473</v>
      </c>
      <c r="F374" s="177">
        <v>1</v>
      </c>
      <c r="G374" s="57" t="s">
        <v>2290</v>
      </c>
      <c r="H374" s="57" t="s">
        <v>2291</v>
      </c>
      <c r="I374" s="57" t="s">
        <v>2292</v>
      </c>
      <c r="J374" s="57" t="s">
        <v>2293</v>
      </c>
      <c r="K374" s="57" t="s">
        <v>2294</v>
      </c>
      <c r="L374" s="57" t="s">
        <v>2295</v>
      </c>
      <c r="M374" s="57" t="s">
        <v>2296</v>
      </c>
    </row>
    <row r="375" ht="28" spans="1:13">
      <c r="A375" s="178" t="str">
        <f t="shared" si="5"/>
        <v>Developing Oneself|Analyst|1</v>
      </c>
      <c r="B375" s="57" t="s">
        <v>444</v>
      </c>
      <c r="C375" s="177" t="s">
        <v>8</v>
      </c>
      <c r="D375" s="177">
        <v>1</v>
      </c>
      <c r="E375" s="177" t="s">
        <v>473</v>
      </c>
      <c r="F375" s="177">
        <v>2</v>
      </c>
      <c r="G375" s="57" t="s">
        <v>2297</v>
      </c>
      <c r="H375" s="57" t="s">
        <v>2298</v>
      </c>
      <c r="I375" s="57" t="s">
        <v>2299</v>
      </c>
      <c r="J375" s="57" t="s">
        <v>2300</v>
      </c>
      <c r="K375" s="57" t="s">
        <v>2301</v>
      </c>
      <c r="L375" s="57" t="s">
        <v>2302</v>
      </c>
      <c r="M375" s="57" t="s">
        <v>2303</v>
      </c>
    </row>
    <row r="376" ht="28" spans="1:13">
      <c r="A376" s="178" t="str">
        <f t="shared" si="5"/>
        <v>Developing Oneself|Analyst|1</v>
      </c>
      <c r="B376" s="57" t="s">
        <v>444</v>
      </c>
      <c r="C376" s="177" t="s">
        <v>8</v>
      </c>
      <c r="D376" s="177">
        <v>1</v>
      </c>
      <c r="E376" s="177" t="s">
        <v>473</v>
      </c>
      <c r="F376" s="177">
        <v>3</v>
      </c>
      <c r="G376" s="57" t="s">
        <v>2304</v>
      </c>
      <c r="H376" s="57" t="s">
        <v>2305</v>
      </c>
      <c r="I376" s="57" t="s">
        <v>2306</v>
      </c>
      <c r="J376" s="57" t="s">
        <v>2307</v>
      </c>
      <c r="K376" s="57" t="s">
        <v>2308</v>
      </c>
      <c r="L376" s="57" t="s">
        <v>2309</v>
      </c>
      <c r="M376" s="57" t="s">
        <v>2310</v>
      </c>
    </row>
    <row r="377" ht="28" spans="1:13">
      <c r="A377" s="178" t="str">
        <f t="shared" si="5"/>
        <v>Developing Oneself|Analyst|2</v>
      </c>
      <c r="B377" s="57" t="s">
        <v>444</v>
      </c>
      <c r="C377" s="177" t="s">
        <v>8</v>
      </c>
      <c r="D377" s="177">
        <v>2</v>
      </c>
      <c r="E377" s="177" t="s">
        <v>491</v>
      </c>
      <c r="F377" s="177">
        <v>1</v>
      </c>
      <c r="G377" s="57" t="s">
        <v>2311</v>
      </c>
      <c r="H377" s="57" t="s">
        <v>2312</v>
      </c>
      <c r="I377" s="57" t="s">
        <v>2313</v>
      </c>
      <c r="J377" s="57" t="s">
        <v>2314</v>
      </c>
      <c r="K377" s="57" t="s">
        <v>2315</v>
      </c>
      <c r="L377" s="57" t="s">
        <v>2316</v>
      </c>
      <c r="M377" s="57" t="s">
        <v>2317</v>
      </c>
    </row>
    <row r="378" ht="28" spans="1:13">
      <c r="A378" s="178" t="str">
        <f t="shared" si="5"/>
        <v>Developing Oneself|Analyst|2</v>
      </c>
      <c r="B378" s="57" t="s">
        <v>444</v>
      </c>
      <c r="C378" s="177" t="s">
        <v>8</v>
      </c>
      <c r="D378" s="177">
        <v>2</v>
      </c>
      <c r="E378" s="177" t="s">
        <v>491</v>
      </c>
      <c r="F378" s="177">
        <v>2</v>
      </c>
      <c r="G378" s="57" t="s">
        <v>2318</v>
      </c>
      <c r="H378" s="57" t="s">
        <v>2319</v>
      </c>
      <c r="I378" s="57" t="s">
        <v>2320</v>
      </c>
      <c r="J378" s="57" t="s">
        <v>2321</v>
      </c>
      <c r="K378" s="57" t="s">
        <v>2322</v>
      </c>
      <c r="L378" s="57" t="s">
        <v>2323</v>
      </c>
      <c r="M378" s="57" t="s">
        <v>2324</v>
      </c>
    </row>
    <row r="379" ht="28" spans="1:13">
      <c r="A379" s="178" t="str">
        <f t="shared" si="5"/>
        <v>Developing Oneself|Analyst|2</v>
      </c>
      <c r="B379" s="57" t="s">
        <v>444</v>
      </c>
      <c r="C379" s="177" t="s">
        <v>8</v>
      </c>
      <c r="D379" s="177">
        <v>2</v>
      </c>
      <c r="E379" s="177" t="s">
        <v>491</v>
      </c>
      <c r="F379" s="177">
        <v>3</v>
      </c>
      <c r="G379" s="57" t="s">
        <v>2325</v>
      </c>
      <c r="H379" s="57" t="s">
        <v>2326</v>
      </c>
      <c r="I379" s="57" t="s">
        <v>2327</v>
      </c>
      <c r="J379" s="57" t="s">
        <v>2328</v>
      </c>
      <c r="K379" s="57" t="s">
        <v>2329</v>
      </c>
      <c r="L379" s="57" t="s">
        <v>2330</v>
      </c>
      <c r="M379" s="57" t="s">
        <v>2331</v>
      </c>
    </row>
    <row r="380" ht="28" spans="1:13">
      <c r="A380" s="178" t="str">
        <f t="shared" si="5"/>
        <v>Developing Oneself|Analyst|3</v>
      </c>
      <c r="B380" s="57" t="s">
        <v>444</v>
      </c>
      <c r="C380" s="177" t="s">
        <v>8</v>
      </c>
      <c r="D380" s="177">
        <v>3</v>
      </c>
      <c r="E380" s="177" t="s">
        <v>507</v>
      </c>
      <c r="F380" s="177">
        <v>1</v>
      </c>
      <c r="G380" s="57" t="s">
        <v>2332</v>
      </c>
      <c r="H380" s="57" t="s">
        <v>2333</v>
      </c>
      <c r="I380" s="57" t="s">
        <v>2334</v>
      </c>
      <c r="J380" s="57" t="s">
        <v>2335</v>
      </c>
      <c r="K380" s="57" t="s">
        <v>2336</v>
      </c>
      <c r="L380" s="57" t="s">
        <v>2337</v>
      </c>
      <c r="M380" s="57" t="s">
        <v>2338</v>
      </c>
    </row>
    <row r="381" ht="28" spans="1:13">
      <c r="A381" s="178" t="str">
        <f t="shared" si="5"/>
        <v>Developing Oneself|Analyst|3</v>
      </c>
      <c r="B381" s="57" t="s">
        <v>444</v>
      </c>
      <c r="C381" s="177" t="s">
        <v>8</v>
      </c>
      <c r="D381" s="177">
        <v>3</v>
      </c>
      <c r="E381" s="177" t="s">
        <v>507</v>
      </c>
      <c r="F381" s="177">
        <v>2</v>
      </c>
      <c r="G381" s="57" t="s">
        <v>2339</v>
      </c>
      <c r="H381" s="57" t="s">
        <v>2340</v>
      </c>
      <c r="I381" s="57" t="s">
        <v>2341</v>
      </c>
      <c r="J381" s="57" t="s">
        <v>2342</v>
      </c>
      <c r="K381" s="57" t="s">
        <v>2343</v>
      </c>
      <c r="L381" s="57" t="s">
        <v>2344</v>
      </c>
      <c r="M381" s="57" t="s">
        <v>2345</v>
      </c>
    </row>
    <row r="382" ht="28" spans="1:13">
      <c r="A382" s="178" t="str">
        <f t="shared" si="5"/>
        <v>Developing Oneself|Analyst|3</v>
      </c>
      <c r="B382" s="57" t="s">
        <v>444</v>
      </c>
      <c r="C382" s="177" t="s">
        <v>8</v>
      </c>
      <c r="D382" s="177">
        <v>3</v>
      </c>
      <c r="E382" s="177" t="s">
        <v>507</v>
      </c>
      <c r="F382" s="177">
        <v>3</v>
      </c>
      <c r="G382" s="57" t="s">
        <v>2346</v>
      </c>
      <c r="H382" s="57" t="s">
        <v>2347</v>
      </c>
      <c r="I382" s="57" t="s">
        <v>2348</v>
      </c>
      <c r="J382" s="57" t="s">
        <v>2349</v>
      </c>
      <c r="K382" s="57" t="s">
        <v>2350</v>
      </c>
      <c r="L382" s="57" t="s">
        <v>2351</v>
      </c>
      <c r="M382" s="57" t="s">
        <v>2352</v>
      </c>
    </row>
    <row r="383" ht="28" spans="1:13">
      <c r="A383" s="178" t="str">
        <f t="shared" si="5"/>
        <v>Developing Oneself|Analyst|4</v>
      </c>
      <c r="B383" s="57" t="s">
        <v>444</v>
      </c>
      <c r="C383" s="177" t="s">
        <v>8</v>
      </c>
      <c r="D383" s="177">
        <v>4</v>
      </c>
      <c r="E383" s="177" t="s">
        <v>523</v>
      </c>
      <c r="F383" s="177">
        <v>1</v>
      </c>
      <c r="G383" s="57" t="s">
        <v>2353</v>
      </c>
      <c r="H383" s="57" t="s">
        <v>2354</v>
      </c>
      <c r="I383" s="57" t="s">
        <v>2355</v>
      </c>
      <c r="J383" s="57" t="s">
        <v>2356</v>
      </c>
      <c r="K383" s="57" t="s">
        <v>2357</v>
      </c>
      <c r="L383" s="57" t="s">
        <v>2358</v>
      </c>
      <c r="M383" s="57" t="s">
        <v>2359</v>
      </c>
    </row>
    <row r="384" ht="28" spans="1:13">
      <c r="A384" s="178" t="str">
        <f t="shared" si="5"/>
        <v>Developing Oneself|Analyst|4</v>
      </c>
      <c r="B384" s="57" t="s">
        <v>444</v>
      </c>
      <c r="C384" s="177" t="s">
        <v>8</v>
      </c>
      <c r="D384" s="177">
        <v>4</v>
      </c>
      <c r="E384" s="177" t="s">
        <v>523</v>
      </c>
      <c r="F384" s="177">
        <v>2</v>
      </c>
      <c r="G384" s="57" t="s">
        <v>2360</v>
      </c>
      <c r="H384" s="57" t="s">
        <v>2361</v>
      </c>
      <c r="I384" s="57" t="s">
        <v>2362</v>
      </c>
      <c r="J384" s="57" t="s">
        <v>2363</v>
      </c>
      <c r="K384" s="57" t="s">
        <v>2364</v>
      </c>
      <c r="L384" s="57" t="s">
        <v>2365</v>
      </c>
      <c r="M384" s="57" t="s">
        <v>2366</v>
      </c>
    </row>
    <row r="385" ht="28" spans="1:13">
      <c r="A385" s="178" t="str">
        <f t="shared" si="5"/>
        <v>Developing Oneself|Analyst|4</v>
      </c>
      <c r="B385" s="57" t="s">
        <v>444</v>
      </c>
      <c r="C385" s="177" t="s">
        <v>8</v>
      </c>
      <c r="D385" s="177">
        <v>4</v>
      </c>
      <c r="E385" s="177" t="s">
        <v>523</v>
      </c>
      <c r="F385" s="177">
        <v>3</v>
      </c>
      <c r="G385" s="57" t="s">
        <v>2367</v>
      </c>
      <c r="H385" s="57" t="s">
        <v>2368</v>
      </c>
      <c r="I385" s="57" t="s">
        <v>2369</v>
      </c>
      <c r="J385" s="57" t="s">
        <v>2370</v>
      </c>
      <c r="K385" s="57" t="s">
        <v>2371</v>
      </c>
      <c r="L385" s="57" t="s">
        <v>2372</v>
      </c>
      <c r="M385" s="57" t="s">
        <v>2373</v>
      </c>
    </row>
    <row r="386" ht="42" spans="1:13">
      <c r="A386" s="178" t="str">
        <f t="shared" si="5"/>
        <v>Developing Oneself|Unit Head/Specialist|1</v>
      </c>
      <c r="B386" s="57" t="s">
        <v>444</v>
      </c>
      <c r="C386" s="177" t="s">
        <v>18</v>
      </c>
      <c r="D386" s="177">
        <v>1</v>
      </c>
      <c r="E386" s="177" t="s">
        <v>473</v>
      </c>
      <c r="F386" s="177">
        <v>1</v>
      </c>
      <c r="G386" s="57" t="s">
        <v>2374</v>
      </c>
      <c r="H386" s="57" t="s">
        <v>2375</v>
      </c>
      <c r="I386" s="57" t="s">
        <v>2376</v>
      </c>
      <c r="J386" s="57" t="s">
        <v>2377</v>
      </c>
      <c r="K386" s="57" t="s">
        <v>2378</v>
      </c>
      <c r="L386" s="57" t="s">
        <v>2379</v>
      </c>
      <c r="M386" s="57" t="s">
        <v>2380</v>
      </c>
    </row>
    <row r="387" ht="42" spans="1:13">
      <c r="A387" s="178" t="str">
        <f t="shared" ref="A387:A450" si="6">B387&amp;"|"&amp;C387&amp;"|"&amp;D387</f>
        <v>Developing Oneself|Unit Head/Specialist|1</v>
      </c>
      <c r="B387" s="57" t="s">
        <v>444</v>
      </c>
      <c r="C387" s="177" t="s">
        <v>18</v>
      </c>
      <c r="D387" s="177">
        <v>1</v>
      </c>
      <c r="E387" s="177" t="s">
        <v>473</v>
      </c>
      <c r="F387" s="177">
        <v>2</v>
      </c>
      <c r="G387" s="57" t="s">
        <v>2381</v>
      </c>
      <c r="H387" s="57" t="s">
        <v>2382</v>
      </c>
      <c r="I387" s="57" t="s">
        <v>2383</v>
      </c>
      <c r="J387" s="57" t="s">
        <v>2384</v>
      </c>
      <c r="K387" s="57" t="s">
        <v>2385</v>
      </c>
      <c r="L387" s="57" t="s">
        <v>2386</v>
      </c>
      <c r="M387" s="57" t="s">
        <v>2387</v>
      </c>
    </row>
    <row r="388" ht="42" spans="1:13">
      <c r="A388" s="178" t="str">
        <f t="shared" si="6"/>
        <v>Developing Oneself|Unit Head/Specialist|1</v>
      </c>
      <c r="B388" s="57" t="s">
        <v>444</v>
      </c>
      <c r="C388" s="177" t="s">
        <v>18</v>
      </c>
      <c r="D388" s="177">
        <v>1</v>
      </c>
      <c r="E388" s="177" t="s">
        <v>473</v>
      </c>
      <c r="F388" s="177">
        <v>3</v>
      </c>
      <c r="G388" s="57" t="s">
        <v>2388</v>
      </c>
      <c r="H388" s="57" t="s">
        <v>2389</v>
      </c>
      <c r="I388" s="57" t="s">
        <v>2390</v>
      </c>
      <c r="J388" s="57" t="s">
        <v>2391</v>
      </c>
      <c r="K388" s="57" t="s">
        <v>2392</v>
      </c>
      <c r="L388" s="57" t="s">
        <v>2393</v>
      </c>
      <c r="M388" s="57" t="s">
        <v>2394</v>
      </c>
    </row>
    <row r="389" ht="42" spans="1:13">
      <c r="A389" s="178" t="str">
        <f t="shared" si="6"/>
        <v>Developing Oneself|Unit Head/Specialist|2</v>
      </c>
      <c r="B389" s="57" t="s">
        <v>444</v>
      </c>
      <c r="C389" s="177" t="s">
        <v>18</v>
      </c>
      <c r="D389" s="177">
        <v>2</v>
      </c>
      <c r="E389" s="177" t="s">
        <v>491</v>
      </c>
      <c r="F389" s="177">
        <v>1</v>
      </c>
      <c r="G389" s="57" t="s">
        <v>2395</v>
      </c>
      <c r="H389" s="57" t="s">
        <v>2396</v>
      </c>
      <c r="I389" s="57" t="s">
        <v>2397</v>
      </c>
      <c r="J389" s="57" t="s">
        <v>2398</v>
      </c>
      <c r="K389" s="57" t="s">
        <v>2399</v>
      </c>
      <c r="L389" s="57" t="s">
        <v>2400</v>
      </c>
      <c r="M389" s="57" t="s">
        <v>2401</v>
      </c>
    </row>
    <row r="390" ht="42" spans="1:13">
      <c r="A390" s="178" t="str">
        <f t="shared" si="6"/>
        <v>Developing Oneself|Unit Head/Specialist|2</v>
      </c>
      <c r="B390" s="57" t="s">
        <v>444</v>
      </c>
      <c r="C390" s="177" t="s">
        <v>18</v>
      </c>
      <c r="D390" s="177">
        <v>2</v>
      </c>
      <c r="E390" s="177" t="s">
        <v>491</v>
      </c>
      <c r="F390" s="177">
        <v>2</v>
      </c>
      <c r="G390" s="57" t="s">
        <v>2402</v>
      </c>
      <c r="H390" s="57" t="s">
        <v>2403</v>
      </c>
      <c r="I390" s="57" t="s">
        <v>2404</v>
      </c>
      <c r="J390" s="57" t="s">
        <v>2405</v>
      </c>
      <c r="K390" s="57" t="s">
        <v>2406</v>
      </c>
      <c r="L390" s="57" t="s">
        <v>2407</v>
      </c>
      <c r="M390" s="57" t="s">
        <v>2408</v>
      </c>
    </row>
    <row r="391" ht="42" spans="1:13">
      <c r="A391" s="178" t="str">
        <f t="shared" si="6"/>
        <v>Developing Oneself|Unit Head/Specialist|2</v>
      </c>
      <c r="B391" s="57" t="s">
        <v>444</v>
      </c>
      <c r="C391" s="177" t="s">
        <v>18</v>
      </c>
      <c r="D391" s="177">
        <v>2</v>
      </c>
      <c r="E391" s="177" t="s">
        <v>491</v>
      </c>
      <c r="F391" s="177">
        <v>3</v>
      </c>
      <c r="G391" s="57" t="s">
        <v>2409</v>
      </c>
      <c r="H391" s="57" t="s">
        <v>2410</v>
      </c>
      <c r="I391" s="57" t="s">
        <v>2411</v>
      </c>
      <c r="J391" s="57" t="s">
        <v>2412</v>
      </c>
      <c r="K391" s="57" t="s">
        <v>2413</v>
      </c>
      <c r="L391" s="57" t="s">
        <v>2414</v>
      </c>
      <c r="M391" s="57" t="s">
        <v>2415</v>
      </c>
    </row>
    <row r="392" ht="42" spans="1:13">
      <c r="A392" s="178" t="str">
        <f t="shared" si="6"/>
        <v>Developing Oneself|Unit Head/Specialist|3</v>
      </c>
      <c r="B392" s="57" t="s">
        <v>444</v>
      </c>
      <c r="C392" s="177" t="s">
        <v>18</v>
      </c>
      <c r="D392" s="177">
        <v>3</v>
      </c>
      <c r="E392" s="177" t="s">
        <v>507</v>
      </c>
      <c r="F392" s="177">
        <v>1</v>
      </c>
      <c r="G392" s="57" t="s">
        <v>2416</v>
      </c>
      <c r="H392" s="57" t="s">
        <v>2417</v>
      </c>
      <c r="I392" s="57" t="s">
        <v>2418</v>
      </c>
      <c r="J392" s="57" t="s">
        <v>2419</v>
      </c>
      <c r="K392" s="57" t="s">
        <v>2420</v>
      </c>
      <c r="L392" s="57" t="s">
        <v>2421</v>
      </c>
      <c r="M392" s="57" t="s">
        <v>2422</v>
      </c>
    </row>
    <row r="393" ht="42" spans="1:13">
      <c r="A393" s="178" t="str">
        <f t="shared" si="6"/>
        <v>Developing Oneself|Unit Head/Specialist|3</v>
      </c>
      <c r="B393" s="57" t="s">
        <v>444</v>
      </c>
      <c r="C393" s="177" t="s">
        <v>18</v>
      </c>
      <c r="D393" s="177">
        <v>3</v>
      </c>
      <c r="E393" s="177" t="s">
        <v>507</v>
      </c>
      <c r="F393" s="177">
        <v>2</v>
      </c>
      <c r="G393" s="57" t="s">
        <v>2423</v>
      </c>
      <c r="H393" s="57" t="s">
        <v>2424</v>
      </c>
      <c r="I393" s="57" t="s">
        <v>2425</v>
      </c>
      <c r="J393" s="57" t="s">
        <v>2426</v>
      </c>
      <c r="K393" s="57" t="s">
        <v>2427</v>
      </c>
      <c r="L393" s="57" t="s">
        <v>2428</v>
      </c>
      <c r="M393" s="57" t="s">
        <v>2429</v>
      </c>
    </row>
    <row r="394" ht="42" spans="1:13">
      <c r="A394" s="178" t="str">
        <f t="shared" si="6"/>
        <v>Developing Oneself|Unit Head/Specialist|3</v>
      </c>
      <c r="B394" s="57" t="s">
        <v>444</v>
      </c>
      <c r="C394" s="177" t="s">
        <v>18</v>
      </c>
      <c r="D394" s="177">
        <v>3</v>
      </c>
      <c r="E394" s="177" t="s">
        <v>507</v>
      </c>
      <c r="F394" s="177">
        <v>3</v>
      </c>
      <c r="G394" s="57" t="s">
        <v>2430</v>
      </c>
      <c r="H394" s="57" t="s">
        <v>2431</v>
      </c>
      <c r="I394" s="57" t="s">
        <v>2432</v>
      </c>
      <c r="J394" s="57" t="s">
        <v>2433</v>
      </c>
      <c r="K394" s="57" t="s">
        <v>2434</v>
      </c>
      <c r="L394" s="57" t="s">
        <v>2435</v>
      </c>
      <c r="M394" s="57" t="s">
        <v>2436</v>
      </c>
    </row>
    <row r="395" ht="42" spans="1:13">
      <c r="A395" s="178" t="str">
        <f t="shared" si="6"/>
        <v>Developing Oneself|Unit Head/Specialist|4</v>
      </c>
      <c r="B395" s="57" t="s">
        <v>444</v>
      </c>
      <c r="C395" s="177" t="s">
        <v>18</v>
      </c>
      <c r="D395" s="177">
        <v>4</v>
      </c>
      <c r="E395" s="177" t="s">
        <v>523</v>
      </c>
      <c r="F395" s="177">
        <v>1</v>
      </c>
      <c r="G395" s="57" t="s">
        <v>2437</v>
      </c>
      <c r="H395" s="57" t="s">
        <v>2438</v>
      </c>
      <c r="I395" s="57" t="s">
        <v>2439</v>
      </c>
      <c r="J395" s="57" t="s">
        <v>2440</v>
      </c>
      <c r="K395" s="57" t="s">
        <v>2441</v>
      </c>
      <c r="L395" s="57" t="s">
        <v>2442</v>
      </c>
      <c r="M395" s="57" t="s">
        <v>2443</v>
      </c>
    </row>
    <row r="396" ht="42" spans="1:13">
      <c r="A396" s="178" t="str">
        <f t="shared" si="6"/>
        <v>Developing Oneself|Unit Head/Specialist|4</v>
      </c>
      <c r="B396" s="57" t="s">
        <v>444</v>
      </c>
      <c r="C396" s="177" t="s">
        <v>18</v>
      </c>
      <c r="D396" s="177">
        <v>4</v>
      </c>
      <c r="E396" s="177" t="s">
        <v>523</v>
      </c>
      <c r="F396" s="177">
        <v>2</v>
      </c>
      <c r="G396" s="57" t="s">
        <v>2444</v>
      </c>
      <c r="H396" s="57" t="s">
        <v>2445</v>
      </c>
      <c r="I396" s="57" t="s">
        <v>2446</v>
      </c>
      <c r="J396" s="57" t="s">
        <v>2447</v>
      </c>
      <c r="K396" s="57" t="s">
        <v>2448</v>
      </c>
      <c r="L396" s="57" t="s">
        <v>2449</v>
      </c>
      <c r="M396" s="57" t="s">
        <v>2450</v>
      </c>
    </row>
    <row r="397" ht="42" spans="1:13">
      <c r="A397" s="178" t="str">
        <f t="shared" si="6"/>
        <v>Developing Oneself|Unit Head/Specialist|4</v>
      </c>
      <c r="B397" s="57" t="s">
        <v>444</v>
      </c>
      <c r="C397" s="177" t="s">
        <v>18</v>
      </c>
      <c r="D397" s="177">
        <v>4</v>
      </c>
      <c r="E397" s="177" t="s">
        <v>523</v>
      </c>
      <c r="F397" s="177">
        <v>3</v>
      </c>
      <c r="G397" s="57" t="s">
        <v>2451</v>
      </c>
      <c r="H397" s="57" t="s">
        <v>2452</v>
      </c>
      <c r="I397" s="57" t="s">
        <v>2453</v>
      </c>
      <c r="J397" s="57" t="s">
        <v>2454</v>
      </c>
      <c r="K397" s="57" t="s">
        <v>2455</v>
      </c>
      <c r="L397" s="57" t="s">
        <v>2456</v>
      </c>
      <c r="M397" s="57" t="s">
        <v>2457</v>
      </c>
    </row>
    <row r="398" ht="28" spans="1:13">
      <c r="A398" s="178" t="str">
        <f t="shared" si="6"/>
        <v>Developing Oneself|Department Head|1</v>
      </c>
      <c r="B398" s="57" t="s">
        <v>444</v>
      </c>
      <c r="C398" s="177" t="s">
        <v>655</v>
      </c>
      <c r="D398" s="177">
        <v>1</v>
      </c>
      <c r="E398" s="177" t="s">
        <v>473</v>
      </c>
      <c r="F398" s="177">
        <v>1</v>
      </c>
      <c r="G398" s="57" t="s">
        <v>2458</v>
      </c>
      <c r="H398" s="57" t="s">
        <v>2459</v>
      </c>
      <c r="I398" s="57" t="s">
        <v>2460</v>
      </c>
      <c r="J398" s="57" t="s">
        <v>2461</v>
      </c>
      <c r="K398" s="57" t="s">
        <v>2462</v>
      </c>
      <c r="L398" s="57" t="s">
        <v>2463</v>
      </c>
      <c r="M398" s="57" t="s">
        <v>2464</v>
      </c>
    </row>
    <row r="399" ht="28" spans="1:13">
      <c r="A399" s="178" t="str">
        <f t="shared" si="6"/>
        <v>Developing Oneself|Department Head|1</v>
      </c>
      <c r="B399" s="57" t="s">
        <v>444</v>
      </c>
      <c r="C399" s="177" t="s">
        <v>655</v>
      </c>
      <c r="D399" s="177">
        <v>1</v>
      </c>
      <c r="E399" s="177" t="s">
        <v>473</v>
      </c>
      <c r="F399" s="177">
        <v>2</v>
      </c>
      <c r="G399" s="57" t="s">
        <v>2465</v>
      </c>
      <c r="H399" s="57" t="s">
        <v>2466</v>
      </c>
      <c r="I399" s="57" t="s">
        <v>2467</v>
      </c>
      <c r="J399" s="57" t="s">
        <v>2468</v>
      </c>
      <c r="K399" s="57" t="s">
        <v>2469</v>
      </c>
      <c r="L399" s="57" t="s">
        <v>2470</v>
      </c>
      <c r="M399" s="57" t="s">
        <v>2471</v>
      </c>
    </row>
    <row r="400" ht="28" spans="1:13">
      <c r="A400" s="178" t="str">
        <f t="shared" si="6"/>
        <v>Developing Oneself|Department Head|1</v>
      </c>
      <c r="B400" s="57" t="s">
        <v>444</v>
      </c>
      <c r="C400" s="177" t="s">
        <v>655</v>
      </c>
      <c r="D400" s="177">
        <v>1</v>
      </c>
      <c r="E400" s="177" t="s">
        <v>473</v>
      </c>
      <c r="F400" s="177">
        <v>3</v>
      </c>
      <c r="G400" s="57" t="s">
        <v>2472</v>
      </c>
      <c r="H400" s="57" t="s">
        <v>2473</v>
      </c>
      <c r="I400" s="57" t="s">
        <v>2474</v>
      </c>
      <c r="J400" s="57" t="s">
        <v>2475</v>
      </c>
      <c r="K400" s="57" t="s">
        <v>2476</v>
      </c>
      <c r="L400" s="57" t="s">
        <v>2477</v>
      </c>
      <c r="M400" s="57" t="s">
        <v>2478</v>
      </c>
    </row>
    <row r="401" ht="28" spans="1:13">
      <c r="A401" s="178" t="str">
        <f t="shared" si="6"/>
        <v>Developing Oneself|Department Head|2</v>
      </c>
      <c r="B401" s="57" t="s">
        <v>444</v>
      </c>
      <c r="C401" s="177" t="s">
        <v>655</v>
      </c>
      <c r="D401" s="177">
        <v>2</v>
      </c>
      <c r="E401" s="177" t="s">
        <v>491</v>
      </c>
      <c r="F401" s="177">
        <v>1</v>
      </c>
      <c r="G401" s="57" t="s">
        <v>2479</v>
      </c>
      <c r="H401" s="57" t="s">
        <v>2480</v>
      </c>
      <c r="I401" s="57" t="s">
        <v>2481</v>
      </c>
      <c r="J401" s="57" t="s">
        <v>2482</v>
      </c>
      <c r="K401" s="57" t="s">
        <v>2483</v>
      </c>
      <c r="L401" s="57" t="s">
        <v>2484</v>
      </c>
      <c r="M401" s="57" t="s">
        <v>2485</v>
      </c>
    </row>
    <row r="402" ht="28" spans="1:13">
      <c r="A402" s="178" t="str">
        <f t="shared" si="6"/>
        <v>Developing Oneself|Department Head|2</v>
      </c>
      <c r="B402" s="57" t="s">
        <v>444</v>
      </c>
      <c r="C402" s="177" t="s">
        <v>655</v>
      </c>
      <c r="D402" s="177">
        <v>2</v>
      </c>
      <c r="E402" s="177" t="s">
        <v>491</v>
      </c>
      <c r="F402" s="177">
        <v>2</v>
      </c>
      <c r="G402" s="57" t="s">
        <v>2486</v>
      </c>
      <c r="H402" s="57" t="s">
        <v>2487</v>
      </c>
      <c r="I402" s="57" t="s">
        <v>2488</v>
      </c>
      <c r="J402" s="57" t="s">
        <v>2489</v>
      </c>
      <c r="K402" s="57" t="s">
        <v>2490</v>
      </c>
      <c r="L402" s="57" t="s">
        <v>2491</v>
      </c>
      <c r="M402" s="57" t="s">
        <v>2492</v>
      </c>
    </row>
    <row r="403" ht="28" spans="1:13">
      <c r="A403" s="178" t="str">
        <f t="shared" si="6"/>
        <v>Developing Oneself|Department Head|2</v>
      </c>
      <c r="B403" s="57" t="s">
        <v>444</v>
      </c>
      <c r="C403" s="177" t="s">
        <v>655</v>
      </c>
      <c r="D403" s="177">
        <v>2</v>
      </c>
      <c r="E403" s="177" t="s">
        <v>491</v>
      </c>
      <c r="F403" s="177">
        <v>3</v>
      </c>
      <c r="G403" s="57" t="s">
        <v>2493</v>
      </c>
      <c r="H403" s="57" t="s">
        <v>2494</v>
      </c>
      <c r="I403" s="57" t="s">
        <v>2495</v>
      </c>
      <c r="J403" s="57" t="s">
        <v>2496</v>
      </c>
      <c r="K403" s="57" t="s">
        <v>2497</v>
      </c>
      <c r="L403" s="57" t="s">
        <v>2498</v>
      </c>
      <c r="M403" s="57" t="s">
        <v>2499</v>
      </c>
    </row>
    <row r="404" ht="28" spans="1:13">
      <c r="A404" s="178" t="str">
        <f t="shared" si="6"/>
        <v>Developing Oneself|Department Head|3</v>
      </c>
      <c r="B404" s="57" t="s">
        <v>444</v>
      </c>
      <c r="C404" s="177" t="s">
        <v>655</v>
      </c>
      <c r="D404" s="177">
        <v>3</v>
      </c>
      <c r="E404" s="177" t="s">
        <v>507</v>
      </c>
      <c r="F404" s="177">
        <v>1</v>
      </c>
      <c r="G404" s="57" t="s">
        <v>2500</v>
      </c>
      <c r="H404" s="57" t="s">
        <v>2501</v>
      </c>
      <c r="I404" s="57" t="s">
        <v>2502</v>
      </c>
      <c r="J404" s="57" t="s">
        <v>2503</v>
      </c>
      <c r="K404" s="57" t="s">
        <v>2504</v>
      </c>
      <c r="L404" s="57" t="s">
        <v>2505</v>
      </c>
      <c r="M404" s="57" t="s">
        <v>2506</v>
      </c>
    </row>
    <row r="405" ht="28" spans="1:13">
      <c r="A405" s="178" t="str">
        <f t="shared" si="6"/>
        <v>Developing Oneself|Department Head|3</v>
      </c>
      <c r="B405" s="57" t="s">
        <v>444</v>
      </c>
      <c r="C405" s="177" t="s">
        <v>655</v>
      </c>
      <c r="D405" s="177">
        <v>3</v>
      </c>
      <c r="E405" s="177" t="s">
        <v>507</v>
      </c>
      <c r="F405" s="177">
        <v>2</v>
      </c>
      <c r="G405" s="57" t="s">
        <v>2507</v>
      </c>
      <c r="H405" s="57" t="s">
        <v>2508</v>
      </c>
      <c r="I405" s="57" t="s">
        <v>2509</v>
      </c>
      <c r="J405" s="57" t="s">
        <v>2510</v>
      </c>
      <c r="K405" s="57" t="s">
        <v>2511</v>
      </c>
      <c r="L405" s="57" t="s">
        <v>2512</v>
      </c>
      <c r="M405" s="57" t="s">
        <v>2513</v>
      </c>
    </row>
    <row r="406" ht="28" spans="1:13">
      <c r="A406" s="178" t="str">
        <f t="shared" si="6"/>
        <v>Developing Oneself|Department Head|3</v>
      </c>
      <c r="B406" s="57" t="s">
        <v>444</v>
      </c>
      <c r="C406" s="177" t="s">
        <v>655</v>
      </c>
      <c r="D406" s="177">
        <v>3</v>
      </c>
      <c r="E406" s="177" t="s">
        <v>507</v>
      </c>
      <c r="F406" s="177">
        <v>3</v>
      </c>
      <c r="G406" s="57" t="s">
        <v>2514</v>
      </c>
      <c r="H406" s="57" t="s">
        <v>2515</v>
      </c>
      <c r="I406" s="57" t="s">
        <v>2516</v>
      </c>
      <c r="J406" s="57" t="s">
        <v>2517</v>
      </c>
      <c r="K406" s="57" t="s">
        <v>2518</v>
      </c>
      <c r="L406" s="57" t="s">
        <v>2519</v>
      </c>
      <c r="M406" s="57" t="s">
        <v>2520</v>
      </c>
    </row>
    <row r="407" ht="28" spans="1:13">
      <c r="A407" s="178" t="str">
        <f t="shared" si="6"/>
        <v>Developing Oneself|Department Head|4</v>
      </c>
      <c r="B407" s="57" t="s">
        <v>444</v>
      </c>
      <c r="C407" s="177" t="s">
        <v>655</v>
      </c>
      <c r="D407" s="177">
        <v>4</v>
      </c>
      <c r="E407" s="177" t="s">
        <v>523</v>
      </c>
      <c r="F407" s="177">
        <v>1</v>
      </c>
      <c r="G407" s="57" t="s">
        <v>2521</v>
      </c>
      <c r="H407" s="57" t="s">
        <v>2522</v>
      </c>
      <c r="I407" s="57" t="s">
        <v>2523</v>
      </c>
      <c r="J407" s="57" t="s">
        <v>2524</v>
      </c>
      <c r="K407" s="57" t="s">
        <v>2525</v>
      </c>
      <c r="L407" s="57" t="s">
        <v>2526</v>
      </c>
      <c r="M407" s="57" t="s">
        <v>2527</v>
      </c>
    </row>
    <row r="408" ht="28" spans="1:13">
      <c r="A408" s="178" t="str">
        <f t="shared" si="6"/>
        <v>Developing Oneself|Department Head|4</v>
      </c>
      <c r="B408" s="57" t="s">
        <v>444</v>
      </c>
      <c r="C408" s="177" t="s">
        <v>655</v>
      </c>
      <c r="D408" s="177">
        <v>4</v>
      </c>
      <c r="E408" s="177" t="s">
        <v>523</v>
      </c>
      <c r="F408" s="177">
        <v>2</v>
      </c>
      <c r="G408" s="57" t="s">
        <v>2528</v>
      </c>
      <c r="H408" s="57" t="s">
        <v>2529</v>
      </c>
      <c r="I408" s="57" t="s">
        <v>2530</v>
      </c>
      <c r="J408" s="57" t="s">
        <v>2531</v>
      </c>
      <c r="K408" s="57" t="s">
        <v>2532</v>
      </c>
      <c r="L408" s="57" t="s">
        <v>2533</v>
      </c>
      <c r="M408" s="57" t="s">
        <v>2534</v>
      </c>
    </row>
    <row r="409" ht="28" spans="1:13">
      <c r="A409" s="178" t="str">
        <f t="shared" si="6"/>
        <v>Developing Oneself|Department Head|4</v>
      </c>
      <c r="B409" s="57" t="s">
        <v>444</v>
      </c>
      <c r="C409" s="177" t="s">
        <v>655</v>
      </c>
      <c r="D409" s="177">
        <v>4</v>
      </c>
      <c r="E409" s="177" t="s">
        <v>523</v>
      </c>
      <c r="F409" s="177">
        <v>3</v>
      </c>
      <c r="G409" s="57" t="s">
        <v>2535</v>
      </c>
      <c r="H409" s="57" t="s">
        <v>2536</v>
      </c>
      <c r="I409" s="57" t="s">
        <v>2537</v>
      </c>
      <c r="J409" s="57" t="s">
        <v>2538</v>
      </c>
      <c r="K409" s="57" t="s">
        <v>2539</v>
      </c>
      <c r="L409" s="57" t="s">
        <v>2540</v>
      </c>
      <c r="M409" s="57" t="s">
        <v>2541</v>
      </c>
    </row>
    <row r="410" ht="28" spans="1:13">
      <c r="A410" s="178" t="str">
        <f t="shared" si="6"/>
        <v>Developing Oneself|Division Head|1</v>
      </c>
      <c r="B410" s="57" t="s">
        <v>444</v>
      </c>
      <c r="C410" s="177" t="s">
        <v>712</v>
      </c>
      <c r="D410" s="177">
        <v>1</v>
      </c>
      <c r="E410" s="177" t="s">
        <v>473</v>
      </c>
      <c r="F410" s="177">
        <v>1</v>
      </c>
      <c r="G410" s="57" t="s">
        <v>2542</v>
      </c>
      <c r="H410" s="57" t="s">
        <v>2543</v>
      </c>
      <c r="I410" s="57" t="s">
        <v>2544</v>
      </c>
      <c r="J410" s="57" t="s">
        <v>2545</v>
      </c>
      <c r="K410" s="57" t="s">
        <v>2546</v>
      </c>
      <c r="L410" s="57" t="s">
        <v>2547</v>
      </c>
      <c r="M410" s="57" t="s">
        <v>2548</v>
      </c>
    </row>
    <row r="411" ht="28" spans="1:13">
      <c r="A411" s="178" t="str">
        <f t="shared" si="6"/>
        <v>Developing Oneself|Division Head|1</v>
      </c>
      <c r="B411" s="57" t="s">
        <v>444</v>
      </c>
      <c r="C411" s="177" t="s">
        <v>712</v>
      </c>
      <c r="D411" s="177">
        <v>1</v>
      </c>
      <c r="E411" s="177" t="s">
        <v>473</v>
      </c>
      <c r="F411" s="177">
        <v>2</v>
      </c>
      <c r="G411" s="57" t="s">
        <v>2549</v>
      </c>
      <c r="H411" s="57" t="s">
        <v>2550</v>
      </c>
      <c r="I411" s="57" t="s">
        <v>2551</v>
      </c>
      <c r="J411" s="57" t="s">
        <v>2552</v>
      </c>
      <c r="K411" s="57" t="s">
        <v>2553</v>
      </c>
      <c r="L411" s="57" t="s">
        <v>2554</v>
      </c>
      <c r="M411" s="57" t="s">
        <v>2555</v>
      </c>
    </row>
    <row r="412" ht="28" spans="1:13">
      <c r="A412" s="178" t="str">
        <f t="shared" si="6"/>
        <v>Developing Oneself|Division Head|1</v>
      </c>
      <c r="B412" s="57" t="s">
        <v>444</v>
      </c>
      <c r="C412" s="177" t="s">
        <v>712</v>
      </c>
      <c r="D412" s="177">
        <v>1</v>
      </c>
      <c r="E412" s="177" t="s">
        <v>473</v>
      </c>
      <c r="F412" s="177">
        <v>3</v>
      </c>
      <c r="G412" s="57" t="s">
        <v>2556</v>
      </c>
      <c r="H412" s="57" t="s">
        <v>2557</v>
      </c>
      <c r="I412" s="57" t="s">
        <v>2558</v>
      </c>
      <c r="J412" s="57" t="s">
        <v>2559</v>
      </c>
      <c r="K412" s="57" t="s">
        <v>2560</v>
      </c>
      <c r="L412" s="57" t="s">
        <v>2561</v>
      </c>
      <c r="M412" s="57" t="s">
        <v>2562</v>
      </c>
    </row>
    <row r="413" ht="28" spans="1:13">
      <c r="A413" s="178" t="str">
        <f t="shared" si="6"/>
        <v>Developing Oneself|Division Head|2</v>
      </c>
      <c r="B413" s="57" t="s">
        <v>444</v>
      </c>
      <c r="C413" s="177" t="s">
        <v>712</v>
      </c>
      <c r="D413" s="177">
        <v>2</v>
      </c>
      <c r="E413" s="177" t="s">
        <v>491</v>
      </c>
      <c r="F413" s="177">
        <v>1</v>
      </c>
      <c r="G413" s="57" t="s">
        <v>2563</v>
      </c>
      <c r="H413" s="57" t="s">
        <v>2564</v>
      </c>
      <c r="I413" s="57" t="s">
        <v>2565</v>
      </c>
      <c r="J413" s="57" t="s">
        <v>2566</v>
      </c>
      <c r="K413" s="57" t="s">
        <v>2567</v>
      </c>
      <c r="L413" s="57" t="s">
        <v>2568</v>
      </c>
      <c r="M413" s="57" t="s">
        <v>2569</v>
      </c>
    </row>
    <row r="414" ht="28" spans="1:13">
      <c r="A414" s="178" t="str">
        <f t="shared" si="6"/>
        <v>Developing Oneself|Division Head|2</v>
      </c>
      <c r="B414" s="57" t="s">
        <v>444</v>
      </c>
      <c r="C414" s="177" t="s">
        <v>712</v>
      </c>
      <c r="D414" s="177">
        <v>2</v>
      </c>
      <c r="E414" s="177" t="s">
        <v>491</v>
      </c>
      <c r="F414" s="177">
        <v>2</v>
      </c>
      <c r="G414" s="57" t="s">
        <v>2570</v>
      </c>
      <c r="H414" s="57" t="s">
        <v>2571</v>
      </c>
      <c r="I414" s="57" t="s">
        <v>2572</v>
      </c>
      <c r="J414" s="57" t="s">
        <v>2573</v>
      </c>
      <c r="K414" s="57" t="s">
        <v>2574</v>
      </c>
      <c r="L414" s="57" t="s">
        <v>2575</v>
      </c>
      <c r="M414" s="57" t="s">
        <v>2576</v>
      </c>
    </row>
    <row r="415" ht="28" spans="1:13">
      <c r="A415" s="178" t="str">
        <f t="shared" si="6"/>
        <v>Developing Oneself|Division Head|2</v>
      </c>
      <c r="B415" s="57" t="s">
        <v>444</v>
      </c>
      <c r="C415" s="177" t="s">
        <v>712</v>
      </c>
      <c r="D415" s="177">
        <v>2</v>
      </c>
      <c r="E415" s="177" t="s">
        <v>491</v>
      </c>
      <c r="F415" s="177">
        <v>3</v>
      </c>
      <c r="G415" s="57" t="s">
        <v>2577</v>
      </c>
      <c r="H415" s="57" t="s">
        <v>2578</v>
      </c>
      <c r="I415" s="57" t="s">
        <v>2579</v>
      </c>
      <c r="J415" s="57" t="s">
        <v>2580</v>
      </c>
      <c r="K415" s="57" t="s">
        <v>2581</v>
      </c>
      <c r="L415" s="57" t="s">
        <v>2582</v>
      </c>
      <c r="M415" s="57" t="s">
        <v>2583</v>
      </c>
    </row>
    <row r="416" ht="28" spans="1:13">
      <c r="A416" s="178" t="str">
        <f t="shared" si="6"/>
        <v>Developing Oneself|Division Head|3</v>
      </c>
      <c r="B416" s="57" t="s">
        <v>444</v>
      </c>
      <c r="C416" s="177" t="s">
        <v>712</v>
      </c>
      <c r="D416" s="177">
        <v>3</v>
      </c>
      <c r="E416" s="177" t="s">
        <v>507</v>
      </c>
      <c r="F416" s="177">
        <v>1</v>
      </c>
      <c r="G416" s="57" t="s">
        <v>2584</v>
      </c>
      <c r="H416" s="57" t="s">
        <v>2585</v>
      </c>
      <c r="I416" s="57" t="s">
        <v>2586</v>
      </c>
      <c r="J416" s="57" t="s">
        <v>2587</v>
      </c>
      <c r="K416" s="57" t="s">
        <v>2588</v>
      </c>
      <c r="L416" s="57" t="s">
        <v>2589</v>
      </c>
      <c r="M416" s="57" t="s">
        <v>2590</v>
      </c>
    </row>
    <row r="417" ht="28" spans="1:13">
      <c r="A417" s="178" t="str">
        <f t="shared" si="6"/>
        <v>Developing Oneself|Division Head|3</v>
      </c>
      <c r="B417" s="57" t="s">
        <v>444</v>
      </c>
      <c r="C417" s="177" t="s">
        <v>712</v>
      </c>
      <c r="D417" s="177">
        <v>3</v>
      </c>
      <c r="E417" s="177" t="s">
        <v>507</v>
      </c>
      <c r="F417" s="177">
        <v>2</v>
      </c>
      <c r="G417" s="57" t="s">
        <v>2591</v>
      </c>
      <c r="H417" s="57" t="s">
        <v>2592</v>
      </c>
      <c r="I417" s="57" t="s">
        <v>2593</v>
      </c>
      <c r="J417" s="57" t="s">
        <v>2594</v>
      </c>
      <c r="K417" s="57" t="s">
        <v>2595</v>
      </c>
      <c r="L417" s="57" t="s">
        <v>2596</v>
      </c>
      <c r="M417" s="57" t="s">
        <v>2597</v>
      </c>
    </row>
    <row r="418" ht="28" spans="1:13">
      <c r="A418" s="178" t="str">
        <f t="shared" si="6"/>
        <v>Developing Oneself|Division Head|3</v>
      </c>
      <c r="B418" s="57" t="s">
        <v>444</v>
      </c>
      <c r="C418" s="177" t="s">
        <v>712</v>
      </c>
      <c r="D418" s="177">
        <v>3</v>
      </c>
      <c r="E418" s="177" t="s">
        <v>507</v>
      </c>
      <c r="F418" s="177">
        <v>3</v>
      </c>
      <c r="G418" s="57" t="s">
        <v>2598</v>
      </c>
      <c r="H418" s="57" t="s">
        <v>2599</v>
      </c>
      <c r="I418" s="57" t="s">
        <v>2600</v>
      </c>
      <c r="J418" s="57" t="s">
        <v>2601</v>
      </c>
      <c r="K418" s="57" t="s">
        <v>2602</v>
      </c>
      <c r="L418" s="57" t="s">
        <v>2603</v>
      </c>
      <c r="M418" s="57" t="s">
        <v>2604</v>
      </c>
    </row>
    <row r="419" ht="28" spans="1:13">
      <c r="A419" s="178" t="str">
        <f t="shared" si="6"/>
        <v>Developing Oneself|Division Head|4</v>
      </c>
      <c r="B419" s="57" t="s">
        <v>444</v>
      </c>
      <c r="C419" s="177" t="s">
        <v>712</v>
      </c>
      <c r="D419" s="177">
        <v>4</v>
      </c>
      <c r="E419" s="177" t="s">
        <v>523</v>
      </c>
      <c r="F419" s="177">
        <v>1</v>
      </c>
      <c r="G419" s="57" t="s">
        <v>2605</v>
      </c>
      <c r="H419" s="57" t="s">
        <v>2606</v>
      </c>
      <c r="I419" s="57" t="s">
        <v>2607</v>
      </c>
      <c r="J419" s="57" t="s">
        <v>2608</v>
      </c>
      <c r="K419" s="57" t="s">
        <v>2609</v>
      </c>
      <c r="L419" s="57" t="s">
        <v>2610</v>
      </c>
      <c r="M419" s="57" t="s">
        <v>2611</v>
      </c>
    </row>
    <row r="420" ht="28" spans="1:13">
      <c r="A420" s="178" t="str">
        <f t="shared" si="6"/>
        <v>Developing Oneself|Division Head|4</v>
      </c>
      <c r="B420" s="57" t="s">
        <v>444</v>
      </c>
      <c r="C420" s="177" t="s">
        <v>712</v>
      </c>
      <c r="D420" s="177">
        <v>4</v>
      </c>
      <c r="E420" s="177" t="s">
        <v>523</v>
      </c>
      <c r="F420" s="177">
        <v>2</v>
      </c>
      <c r="G420" s="57" t="s">
        <v>2612</v>
      </c>
      <c r="H420" s="57" t="s">
        <v>2613</v>
      </c>
      <c r="I420" s="57" t="s">
        <v>2614</v>
      </c>
      <c r="J420" s="57" t="s">
        <v>2615</v>
      </c>
      <c r="K420" s="57" t="s">
        <v>2616</v>
      </c>
      <c r="L420" s="57" t="s">
        <v>2617</v>
      </c>
      <c r="M420" s="57" t="s">
        <v>2618</v>
      </c>
    </row>
    <row r="421" ht="28" spans="1:13">
      <c r="A421" s="178" t="str">
        <f t="shared" si="6"/>
        <v>Developing Oneself|Division Head|4</v>
      </c>
      <c r="B421" s="57" t="s">
        <v>444</v>
      </c>
      <c r="C421" s="177" t="s">
        <v>712</v>
      </c>
      <c r="D421" s="177">
        <v>4</v>
      </c>
      <c r="E421" s="177" t="s">
        <v>523</v>
      </c>
      <c r="F421" s="177">
        <v>3</v>
      </c>
      <c r="G421" s="57" t="s">
        <v>2619</v>
      </c>
      <c r="H421" s="57" t="s">
        <v>2620</v>
      </c>
      <c r="I421" s="57" t="s">
        <v>2621</v>
      </c>
      <c r="J421" s="57" t="s">
        <v>2622</v>
      </c>
      <c r="K421" s="57" t="s">
        <v>2623</v>
      </c>
      <c r="L421" s="57" t="s">
        <v>2624</v>
      </c>
      <c r="M421" s="57" t="s">
        <v>2625</v>
      </c>
    </row>
    <row r="422" ht="28" spans="1:13">
      <c r="A422" s="178" t="str">
        <f t="shared" si="6"/>
        <v>Developing Oneself|Director|1</v>
      </c>
      <c r="B422" s="57" t="s">
        <v>444</v>
      </c>
      <c r="C422" s="177" t="s">
        <v>773</v>
      </c>
      <c r="D422" s="177">
        <v>1</v>
      </c>
      <c r="E422" s="177" t="s">
        <v>473</v>
      </c>
      <c r="F422" s="177">
        <v>1</v>
      </c>
      <c r="G422" s="57" t="s">
        <v>2626</v>
      </c>
      <c r="H422" s="57" t="s">
        <v>2627</v>
      </c>
      <c r="I422" s="57" t="s">
        <v>2628</v>
      </c>
      <c r="J422" s="57" t="s">
        <v>2629</v>
      </c>
      <c r="K422" s="57" t="s">
        <v>2630</v>
      </c>
      <c r="L422" s="57" t="s">
        <v>2631</v>
      </c>
      <c r="M422" s="57" t="s">
        <v>2632</v>
      </c>
    </row>
    <row r="423" ht="28" spans="1:13">
      <c r="A423" s="178" t="str">
        <f t="shared" si="6"/>
        <v>Developing Oneself|Director|1</v>
      </c>
      <c r="B423" s="57" t="s">
        <v>444</v>
      </c>
      <c r="C423" s="177" t="s">
        <v>773</v>
      </c>
      <c r="D423" s="177">
        <v>1</v>
      </c>
      <c r="E423" s="177" t="s">
        <v>473</v>
      </c>
      <c r="F423" s="177">
        <v>2</v>
      </c>
      <c r="G423" s="57" t="s">
        <v>2633</v>
      </c>
      <c r="H423" s="57" t="s">
        <v>2634</v>
      </c>
      <c r="I423" s="57" t="s">
        <v>2635</v>
      </c>
      <c r="J423" s="57" t="s">
        <v>2636</v>
      </c>
      <c r="K423" s="57" t="s">
        <v>2637</v>
      </c>
      <c r="L423" s="57" t="s">
        <v>2638</v>
      </c>
      <c r="M423" s="57" t="s">
        <v>2639</v>
      </c>
    </row>
    <row r="424" ht="28" spans="1:13">
      <c r="A424" s="178" t="str">
        <f t="shared" si="6"/>
        <v>Developing Oneself|Director|1</v>
      </c>
      <c r="B424" s="57" t="s">
        <v>444</v>
      </c>
      <c r="C424" s="177" t="s">
        <v>773</v>
      </c>
      <c r="D424" s="177">
        <v>1</v>
      </c>
      <c r="E424" s="177" t="s">
        <v>473</v>
      </c>
      <c r="F424" s="177">
        <v>3</v>
      </c>
      <c r="G424" s="57" t="s">
        <v>2640</v>
      </c>
      <c r="H424" s="57" t="s">
        <v>2641</v>
      </c>
      <c r="I424" s="57" t="s">
        <v>2642</v>
      </c>
      <c r="J424" s="57" t="s">
        <v>2643</v>
      </c>
      <c r="K424" s="57" t="s">
        <v>2644</v>
      </c>
      <c r="L424" s="57" t="s">
        <v>2645</v>
      </c>
      <c r="M424" s="57" t="s">
        <v>2646</v>
      </c>
    </row>
    <row r="425" ht="28" spans="1:13">
      <c r="A425" s="178" t="str">
        <f t="shared" si="6"/>
        <v>Developing Oneself|Director|2</v>
      </c>
      <c r="B425" s="57" t="s">
        <v>444</v>
      </c>
      <c r="C425" s="177" t="s">
        <v>773</v>
      </c>
      <c r="D425" s="177">
        <v>2</v>
      </c>
      <c r="E425" s="177" t="s">
        <v>491</v>
      </c>
      <c r="F425" s="177">
        <v>1</v>
      </c>
      <c r="G425" s="57" t="s">
        <v>2647</v>
      </c>
      <c r="H425" s="57" t="s">
        <v>2648</v>
      </c>
      <c r="I425" s="57" t="s">
        <v>2649</v>
      </c>
      <c r="J425" s="57" t="s">
        <v>2650</v>
      </c>
      <c r="K425" s="57" t="s">
        <v>2651</v>
      </c>
      <c r="L425" s="57" t="s">
        <v>2652</v>
      </c>
      <c r="M425" s="57" t="s">
        <v>2653</v>
      </c>
    </row>
    <row r="426" ht="28" spans="1:13">
      <c r="A426" s="178" t="str">
        <f t="shared" si="6"/>
        <v>Developing Oneself|Director|2</v>
      </c>
      <c r="B426" s="57" t="s">
        <v>444</v>
      </c>
      <c r="C426" s="177" t="s">
        <v>773</v>
      </c>
      <c r="D426" s="177">
        <v>2</v>
      </c>
      <c r="E426" s="177" t="s">
        <v>491</v>
      </c>
      <c r="F426" s="177">
        <v>2</v>
      </c>
      <c r="G426" s="57" t="s">
        <v>2654</v>
      </c>
      <c r="H426" s="57" t="s">
        <v>2655</v>
      </c>
      <c r="I426" s="57" t="s">
        <v>2656</v>
      </c>
      <c r="J426" s="57" t="s">
        <v>2657</v>
      </c>
      <c r="K426" s="57" t="s">
        <v>2658</v>
      </c>
      <c r="L426" s="57" t="s">
        <v>2659</v>
      </c>
      <c r="M426" s="57" t="s">
        <v>2660</v>
      </c>
    </row>
    <row r="427" ht="28" spans="1:13">
      <c r="A427" s="178" t="str">
        <f t="shared" si="6"/>
        <v>Developing Oneself|Director|2</v>
      </c>
      <c r="B427" s="57" t="s">
        <v>444</v>
      </c>
      <c r="C427" s="177" t="s">
        <v>773</v>
      </c>
      <c r="D427" s="177">
        <v>2</v>
      </c>
      <c r="E427" s="177" t="s">
        <v>491</v>
      </c>
      <c r="F427" s="177">
        <v>3</v>
      </c>
      <c r="G427" s="57" t="s">
        <v>2661</v>
      </c>
      <c r="H427" s="57" t="s">
        <v>2662</v>
      </c>
      <c r="I427" s="57" t="s">
        <v>2663</v>
      </c>
      <c r="J427" s="57" t="s">
        <v>2664</v>
      </c>
      <c r="K427" s="57" t="s">
        <v>2665</v>
      </c>
      <c r="L427" s="57" t="s">
        <v>2666</v>
      </c>
      <c r="M427" s="57" t="s">
        <v>2667</v>
      </c>
    </row>
    <row r="428" ht="28" spans="1:13">
      <c r="A428" s="178" t="str">
        <f t="shared" si="6"/>
        <v>Developing Oneself|Director|3</v>
      </c>
      <c r="B428" s="57" t="s">
        <v>444</v>
      </c>
      <c r="C428" s="177" t="s">
        <v>773</v>
      </c>
      <c r="D428" s="177">
        <v>3</v>
      </c>
      <c r="E428" s="177" t="s">
        <v>507</v>
      </c>
      <c r="F428" s="177">
        <v>1</v>
      </c>
      <c r="G428" s="57" t="s">
        <v>2668</v>
      </c>
      <c r="H428" s="57" t="s">
        <v>2669</v>
      </c>
      <c r="I428" s="57" t="s">
        <v>2670</v>
      </c>
      <c r="J428" s="57" t="s">
        <v>2671</v>
      </c>
      <c r="K428" s="57" t="s">
        <v>2672</v>
      </c>
      <c r="L428" s="57" t="s">
        <v>2673</v>
      </c>
      <c r="M428" s="57" t="s">
        <v>2674</v>
      </c>
    </row>
    <row r="429" ht="28" spans="1:13">
      <c r="A429" s="178" t="str">
        <f t="shared" si="6"/>
        <v>Developing Oneself|Director|3</v>
      </c>
      <c r="B429" s="57" t="s">
        <v>444</v>
      </c>
      <c r="C429" s="177" t="s">
        <v>773</v>
      </c>
      <c r="D429" s="177">
        <v>3</v>
      </c>
      <c r="E429" s="177" t="s">
        <v>507</v>
      </c>
      <c r="F429" s="177">
        <v>2</v>
      </c>
      <c r="G429" s="57" t="s">
        <v>2675</v>
      </c>
      <c r="H429" s="57" t="s">
        <v>2676</v>
      </c>
      <c r="I429" s="57" t="s">
        <v>2677</v>
      </c>
      <c r="J429" s="57" t="s">
        <v>2678</v>
      </c>
      <c r="K429" s="57" t="s">
        <v>2679</v>
      </c>
      <c r="L429" s="57" t="s">
        <v>2680</v>
      </c>
      <c r="M429" s="57" t="s">
        <v>2681</v>
      </c>
    </row>
    <row r="430" ht="28" spans="1:13">
      <c r="A430" s="178" t="str">
        <f t="shared" si="6"/>
        <v>Developing Oneself|Director|3</v>
      </c>
      <c r="B430" s="57" t="s">
        <v>444</v>
      </c>
      <c r="C430" s="177" t="s">
        <v>773</v>
      </c>
      <c r="D430" s="177">
        <v>3</v>
      </c>
      <c r="E430" s="177" t="s">
        <v>507</v>
      </c>
      <c r="F430" s="177">
        <v>3</v>
      </c>
      <c r="G430" s="57" t="s">
        <v>2682</v>
      </c>
      <c r="H430" s="57" t="s">
        <v>2683</v>
      </c>
      <c r="I430" s="57" t="s">
        <v>2684</v>
      </c>
      <c r="J430" s="57" t="s">
        <v>2685</v>
      </c>
      <c r="K430" s="57" t="s">
        <v>2686</v>
      </c>
      <c r="L430" s="57" t="s">
        <v>2687</v>
      </c>
      <c r="M430" s="57" t="s">
        <v>2688</v>
      </c>
    </row>
    <row r="431" ht="28" spans="1:13">
      <c r="A431" s="178" t="str">
        <f t="shared" si="6"/>
        <v>Developing Oneself|Director|4</v>
      </c>
      <c r="B431" s="57" t="s">
        <v>444</v>
      </c>
      <c r="C431" s="177" t="s">
        <v>773</v>
      </c>
      <c r="D431" s="177">
        <v>4</v>
      </c>
      <c r="E431" s="177" t="s">
        <v>523</v>
      </c>
      <c r="F431" s="177">
        <v>1</v>
      </c>
      <c r="G431" s="57" t="s">
        <v>2689</v>
      </c>
      <c r="H431" s="57" t="s">
        <v>2690</v>
      </c>
      <c r="I431" s="57" t="s">
        <v>2691</v>
      </c>
      <c r="J431" s="57" t="s">
        <v>2692</v>
      </c>
      <c r="K431" s="57" t="s">
        <v>2693</v>
      </c>
      <c r="L431" s="57" t="s">
        <v>2694</v>
      </c>
      <c r="M431" s="57" t="s">
        <v>2695</v>
      </c>
    </row>
    <row r="432" ht="28" spans="1:13">
      <c r="A432" s="178" t="str">
        <f t="shared" si="6"/>
        <v>Developing Oneself|Director|4</v>
      </c>
      <c r="B432" s="57" t="s">
        <v>444</v>
      </c>
      <c r="C432" s="177" t="s">
        <v>773</v>
      </c>
      <c r="D432" s="177">
        <v>4</v>
      </c>
      <c r="E432" s="177" t="s">
        <v>523</v>
      </c>
      <c r="F432" s="177">
        <v>2</v>
      </c>
      <c r="G432" s="57" t="s">
        <v>2696</v>
      </c>
      <c r="H432" s="57" t="s">
        <v>2697</v>
      </c>
      <c r="I432" s="57" t="s">
        <v>2698</v>
      </c>
      <c r="J432" s="57" t="s">
        <v>2699</v>
      </c>
      <c r="K432" s="57" t="s">
        <v>2700</v>
      </c>
      <c r="L432" s="57" t="s">
        <v>2701</v>
      </c>
      <c r="M432" s="57" t="s">
        <v>2702</v>
      </c>
    </row>
    <row r="433" ht="28" spans="1:13">
      <c r="A433" s="178" t="str">
        <f t="shared" si="6"/>
        <v>Developing Oneself|Director|4</v>
      </c>
      <c r="B433" s="57" t="s">
        <v>444</v>
      </c>
      <c r="C433" s="177" t="s">
        <v>773</v>
      </c>
      <c r="D433" s="177">
        <v>4</v>
      </c>
      <c r="E433" s="177" t="s">
        <v>523</v>
      </c>
      <c r="F433" s="177">
        <v>3</v>
      </c>
      <c r="G433" s="57" t="s">
        <v>2703</v>
      </c>
      <c r="H433" s="57" t="s">
        <v>2704</v>
      </c>
      <c r="I433" s="57" t="s">
        <v>2705</v>
      </c>
      <c r="J433" s="57" t="s">
        <v>2706</v>
      </c>
      <c r="K433" s="57" t="s">
        <v>2707</v>
      </c>
      <c r="L433" s="57" t="s">
        <v>2708</v>
      </c>
      <c r="M433" s="57" t="s">
        <v>2709</v>
      </c>
    </row>
    <row r="434" ht="28" spans="1:13">
      <c r="A434" s="178" t="str">
        <f t="shared" si="6"/>
        <v>Planning &amp; Organizing|Officer|1</v>
      </c>
      <c r="B434" s="57" t="s">
        <v>445</v>
      </c>
      <c r="C434" s="177" t="s">
        <v>6</v>
      </c>
      <c r="D434" s="177">
        <v>1</v>
      </c>
      <c r="E434" s="177" t="s">
        <v>473</v>
      </c>
      <c r="F434" s="177">
        <v>1</v>
      </c>
      <c r="G434" s="57" t="s">
        <v>2710</v>
      </c>
      <c r="H434" s="57" t="s">
        <v>2711</v>
      </c>
      <c r="I434" s="57" t="s">
        <v>2712</v>
      </c>
      <c r="J434" s="57" t="s">
        <v>2713</v>
      </c>
      <c r="K434" s="57" t="s">
        <v>2714</v>
      </c>
      <c r="L434" s="57" t="s">
        <v>2715</v>
      </c>
      <c r="M434" s="57" t="s">
        <v>2716</v>
      </c>
    </row>
    <row r="435" ht="28" spans="1:13">
      <c r="A435" s="178" t="str">
        <f t="shared" si="6"/>
        <v>Planning &amp; Organizing|Officer|1</v>
      </c>
      <c r="B435" s="57" t="s">
        <v>445</v>
      </c>
      <c r="C435" s="177" t="s">
        <v>6</v>
      </c>
      <c r="D435" s="177">
        <v>1</v>
      </c>
      <c r="E435" s="177" t="s">
        <v>473</v>
      </c>
      <c r="F435" s="177">
        <v>2</v>
      </c>
      <c r="G435" s="57" t="s">
        <v>2717</v>
      </c>
      <c r="H435" s="57" t="s">
        <v>2718</v>
      </c>
      <c r="I435" s="57" t="s">
        <v>2719</v>
      </c>
      <c r="J435" s="57" t="s">
        <v>2720</v>
      </c>
      <c r="K435" s="57" t="s">
        <v>2721</v>
      </c>
      <c r="L435" s="57" t="s">
        <v>2722</v>
      </c>
      <c r="M435" s="57" t="s">
        <v>2723</v>
      </c>
    </row>
    <row r="436" ht="28" spans="1:13">
      <c r="A436" s="178" t="str">
        <f t="shared" si="6"/>
        <v>Planning &amp; Organizing|Officer|1</v>
      </c>
      <c r="B436" s="57" t="s">
        <v>445</v>
      </c>
      <c r="C436" s="177" t="s">
        <v>6</v>
      </c>
      <c r="D436" s="177">
        <v>1</v>
      </c>
      <c r="E436" s="177" t="s">
        <v>473</v>
      </c>
      <c r="F436" s="177">
        <v>3</v>
      </c>
      <c r="G436" s="57" t="s">
        <v>2724</v>
      </c>
      <c r="H436" s="57" t="s">
        <v>2725</v>
      </c>
      <c r="I436" s="57" t="s">
        <v>2726</v>
      </c>
      <c r="J436" s="57" t="s">
        <v>2727</v>
      </c>
      <c r="K436" s="57" t="s">
        <v>2728</v>
      </c>
      <c r="L436" s="57" t="s">
        <v>2729</v>
      </c>
      <c r="M436" s="57" t="s">
        <v>2730</v>
      </c>
    </row>
    <row r="437" ht="28" spans="1:13">
      <c r="A437" s="178" t="str">
        <f t="shared" si="6"/>
        <v>Planning &amp; Organizing|Officer|2</v>
      </c>
      <c r="B437" s="57" t="s">
        <v>445</v>
      </c>
      <c r="C437" s="177" t="s">
        <v>6</v>
      </c>
      <c r="D437" s="177">
        <v>2</v>
      </c>
      <c r="E437" s="177" t="s">
        <v>491</v>
      </c>
      <c r="F437" s="177">
        <v>1</v>
      </c>
      <c r="G437" s="57" t="s">
        <v>2731</v>
      </c>
      <c r="H437" s="57" t="s">
        <v>2732</v>
      </c>
      <c r="I437" s="57" t="s">
        <v>2733</v>
      </c>
      <c r="J437" s="57" t="s">
        <v>2734</v>
      </c>
      <c r="K437" s="57" t="s">
        <v>2735</v>
      </c>
      <c r="L437" s="57" t="s">
        <v>2736</v>
      </c>
      <c r="M437" s="57" t="s">
        <v>2737</v>
      </c>
    </row>
    <row r="438" ht="28" spans="1:13">
      <c r="A438" s="178" t="str">
        <f t="shared" si="6"/>
        <v>Planning &amp; Organizing|Officer|2</v>
      </c>
      <c r="B438" s="57" t="s">
        <v>445</v>
      </c>
      <c r="C438" s="177" t="s">
        <v>6</v>
      </c>
      <c r="D438" s="177">
        <v>2</v>
      </c>
      <c r="E438" s="177" t="s">
        <v>491</v>
      </c>
      <c r="F438" s="177">
        <v>2</v>
      </c>
      <c r="G438" s="57" t="s">
        <v>2738</v>
      </c>
      <c r="H438" s="57" t="s">
        <v>2739</v>
      </c>
      <c r="I438" s="57" t="s">
        <v>2740</v>
      </c>
      <c r="J438" s="57" t="s">
        <v>2741</v>
      </c>
      <c r="K438" s="57" t="s">
        <v>2742</v>
      </c>
      <c r="L438" s="57" t="s">
        <v>2743</v>
      </c>
      <c r="M438" s="57" t="s">
        <v>2744</v>
      </c>
    </row>
    <row r="439" ht="28" spans="1:13">
      <c r="A439" s="178" t="str">
        <f t="shared" si="6"/>
        <v>Planning &amp; Organizing|Officer|2</v>
      </c>
      <c r="B439" s="57" t="s">
        <v>445</v>
      </c>
      <c r="C439" s="177" t="s">
        <v>6</v>
      </c>
      <c r="D439" s="177">
        <v>2</v>
      </c>
      <c r="E439" s="177" t="s">
        <v>491</v>
      </c>
      <c r="F439" s="177">
        <v>3</v>
      </c>
      <c r="G439" s="57" t="s">
        <v>2745</v>
      </c>
      <c r="H439" s="57" t="s">
        <v>2746</v>
      </c>
      <c r="I439" s="57" t="s">
        <v>2747</v>
      </c>
      <c r="J439" s="57" t="s">
        <v>2748</v>
      </c>
      <c r="K439" s="57" t="s">
        <v>2749</v>
      </c>
      <c r="L439" s="57" t="s">
        <v>2750</v>
      </c>
      <c r="M439" s="57" t="s">
        <v>2751</v>
      </c>
    </row>
    <row r="440" ht="28" spans="1:13">
      <c r="A440" s="178" t="str">
        <f t="shared" si="6"/>
        <v>Planning &amp; Organizing|Officer|3</v>
      </c>
      <c r="B440" s="57" t="s">
        <v>445</v>
      </c>
      <c r="C440" s="177" t="s">
        <v>6</v>
      </c>
      <c r="D440" s="177">
        <v>3</v>
      </c>
      <c r="E440" s="177" t="s">
        <v>507</v>
      </c>
      <c r="F440" s="177">
        <v>1</v>
      </c>
      <c r="G440" s="57" t="s">
        <v>2752</v>
      </c>
      <c r="H440" s="57" t="s">
        <v>2753</v>
      </c>
      <c r="I440" s="57" t="s">
        <v>2754</v>
      </c>
      <c r="J440" s="57" t="s">
        <v>2755</v>
      </c>
      <c r="K440" s="57" t="s">
        <v>2756</v>
      </c>
      <c r="L440" s="57" t="s">
        <v>2757</v>
      </c>
      <c r="M440" s="57" t="s">
        <v>2758</v>
      </c>
    </row>
    <row r="441" ht="28" spans="1:13">
      <c r="A441" s="178" t="str">
        <f t="shared" si="6"/>
        <v>Planning &amp; Organizing|Officer|3</v>
      </c>
      <c r="B441" s="57" t="s">
        <v>445</v>
      </c>
      <c r="C441" s="177" t="s">
        <v>6</v>
      </c>
      <c r="D441" s="177">
        <v>3</v>
      </c>
      <c r="E441" s="177" t="s">
        <v>507</v>
      </c>
      <c r="F441" s="177">
        <v>2</v>
      </c>
      <c r="G441" s="57" t="s">
        <v>2759</v>
      </c>
      <c r="H441" s="57" t="s">
        <v>2760</v>
      </c>
      <c r="I441" s="57" t="s">
        <v>2761</v>
      </c>
      <c r="J441" s="57" t="s">
        <v>2762</v>
      </c>
      <c r="K441" s="57" t="s">
        <v>2763</v>
      </c>
      <c r="L441" s="57" t="s">
        <v>2764</v>
      </c>
      <c r="M441" s="57" t="s">
        <v>2765</v>
      </c>
    </row>
    <row r="442" ht="28" spans="1:13">
      <c r="A442" s="178" t="str">
        <f t="shared" si="6"/>
        <v>Planning &amp; Organizing|Officer|3</v>
      </c>
      <c r="B442" s="57" t="s">
        <v>445</v>
      </c>
      <c r="C442" s="177" t="s">
        <v>6</v>
      </c>
      <c r="D442" s="177">
        <v>3</v>
      </c>
      <c r="E442" s="177" t="s">
        <v>507</v>
      </c>
      <c r="F442" s="177">
        <v>3</v>
      </c>
      <c r="G442" s="57" t="s">
        <v>2766</v>
      </c>
      <c r="H442" s="57" t="s">
        <v>2767</v>
      </c>
      <c r="I442" s="57" t="s">
        <v>2768</v>
      </c>
      <c r="J442" s="57" t="s">
        <v>2769</v>
      </c>
      <c r="K442" s="57" t="s">
        <v>2770</v>
      </c>
      <c r="L442" s="57" t="s">
        <v>2771</v>
      </c>
      <c r="M442" s="57" t="s">
        <v>2772</v>
      </c>
    </row>
    <row r="443" ht="28" spans="1:13">
      <c r="A443" s="178" t="str">
        <f t="shared" si="6"/>
        <v>Planning &amp; Organizing|Officer|4</v>
      </c>
      <c r="B443" s="57" t="s">
        <v>445</v>
      </c>
      <c r="C443" s="177" t="s">
        <v>6</v>
      </c>
      <c r="D443" s="177">
        <v>4</v>
      </c>
      <c r="E443" s="177" t="s">
        <v>523</v>
      </c>
      <c r="F443" s="177">
        <v>1</v>
      </c>
      <c r="G443" s="57" t="s">
        <v>2773</v>
      </c>
      <c r="H443" s="57" t="s">
        <v>2774</v>
      </c>
      <c r="I443" s="57" t="s">
        <v>2775</v>
      </c>
      <c r="J443" s="57" t="s">
        <v>2776</v>
      </c>
      <c r="K443" s="57" t="s">
        <v>2777</v>
      </c>
      <c r="L443" s="57" t="s">
        <v>2778</v>
      </c>
      <c r="M443" s="57" t="s">
        <v>2779</v>
      </c>
    </row>
    <row r="444" ht="28" spans="1:13">
      <c r="A444" s="178" t="str">
        <f t="shared" si="6"/>
        <v>Planning &amp; Organizing|Officer|4</v>
      </c>
      <c r="B444" s="57" t="s">
        <v>445</v>
      </c>
      <c r="C444" s="177" t="s">
        <v>6</v>
      </c>
      <c r="D444" s="177">
        <v>4</v>
      </c>
      <c r="E444" s="177" t="s">
        <v>523</v>
      </c>
      <c r="F444" s="177">
        <v>2</v>
      </c>
      <c r="G444" s="57" t="s">
        <v>2780</v>
      </c>
      <c r="H444" s="57" t="s">
        <v>2781</v>
      </c>
      <c r="I444" s="57" t="s">
        <v>2782</v>
      </c>
      <c r="J444" s="57" t="s">
        <v>2783</v>
      </c>
      <c r="K444" s="57" t="s">
        <v>2784</v>
      </c>
      <c r="L444" s="57" t="s">
        <v>2785</v>
      </c>
      <c r="M444" s="57" t="s">
        <v>2786</v>
      </c>
    </row>
    <row r="445" ht="28" spans="1:13">
      <c r="A445" s="178" t="str">
        <f t="shared" si="6"/>
        <v>Planning &amp; Organizing|Officer|4</v>
      </c>
      <c r="B445" s="57" t="s">
        <v>445</v>
      </c>
      <c r="C445" s="177" t="s">
        <v>6</v>
      </c>
      <c r="D445" s="177">
        <v>4</v>
      </c>
      <c r="E445" s="177" t="s">
        <v>523</v>
      </c>
      <c r="F445" s="177">
        <v>3</v>
      </c>
      <c r="G445" s="57" t="s">
        <v>2787</v>
      </c>
      <c r="H445" s="57" t="s">
        <v>2788</v>
      </c>
      <c r="I445" s="57" t="s">
        <v>2789</v>
      </c>
      <c r="J445" s="57" t="s">
        <v>2790</v>
      </c>
      <c r="K445" s="57" t="s">
        <v>2791</v>
      </c>
      <c r="L445" s="57" t="s">
        <v>2792</v>
      </c>
      <c r="M445" s="57" t="s">
        <v>2793</v>
      </c>
    </row>
    <row r="446" ht="28" spans="1:13">
      <c r="A446" s="178" t="str">
        <f t="shared" si="6"/>
        <v>Planning &amp; Organizing|Analyst|1</v>
      </c>
      <c r="B446" s="57" t="s">
        <v>445</v>
      </c>
      <c r="C446" s="177" t="s">
        <v>8</v>
      </c>
      <c r="D446" s="177">
        <v>1</v>
      </c>
      <c r="E446" s="177" t="s">
        <v>473</v>
      </c>
      <c r="F446" s="177">
        <v>1</v>
      </c>
      <c r="G446" s="57" t="s">
        <v>2794</v>
      </c>
      <c r="H446" s="57" t="s">
        <v>2795</v>
      </c>
      <c r="I446" s="57" t="s">
        <v>2796</v>
      </c>
      <c r="J446" s="57" t="s">
        <v>2797</v>
      </c>
      <c r="K446" s="57" t="s">
        <v>2798</v>
      </c>
      <c r="L446" s="57" t="s">
        <v>2799</v>
      </c>
      <c r="M446" s="57" t="s">
        <v>2800</v>
      </c>
    </row>
    <row r="447" ht="28" spans="1:13">
      <c r="A447" s="178" t="str">
        <f t="shared" si="6"/>
        <v>Planning &amp; Organizing|Analyst|1</v>
      </c>
      <c r="B447" s="57" t="s">
        <v>445</v>
      </c>
      <c r="C447" s="177" t="s">
        <v>8</v>
      </c>
      <c r="D447" s="177">
        <v>1</v>
      </c>
      <c r="E447" s="177" t="s">
        <v>473</v>
      </c>
      <c r="F447" s="177">
        <v>2</v>
      </c>
      <c r="G447" s="57" t="s">
        <v>2801</v>
      </c>
      <c r="H447" s="57" t="s">
        <v>2802</v>
      </c>
      <c r="I447" s="57" t="s">
        <v>2803</v>
      </c>
      <c r="J447" s="57" t="s">
        <v>2804</v>
      </c>
      <c r="K447" s="57" t="s">
        <v>2805</v>
      </c>
      <c r="L447" s="57" t="s">
        <v>2806</v>
      </c>
      <c r="M447" s="57" t="s">
        <v>2807</v>
      </c>
    </row>
    <row r="448" ht="28" spans="1:13">
      <c r="A448" s="178" t="str">
        <f t="shared" si="6"/>
        <v>Planning &amp; Organizing|Analyst|1</v>
      </c>
      <c r="B448" s="57" t="s">
        <v>445</v>
      </c>
      <c r="C448" s="177" t="s">
        <v>8</v>
      </c>
      <c r="D448" s="177">
        <v>1</v>
      </c>
      <c r="E448" s="177" t="s">
        <v>473</v>
      </c>
      <c r="F448" s="177">
        <v>3</v>
      </c>
      <c r="G448" s="57" t="s">
        <v>2808</v>
      </c>
      <c r="H448" s="57" t="s">
        <v>2809</v>
      </c>
      <c r="I448" s="57" t="s">
        <v>2810</v>
      </c>
      <c r="J448" s="57" t="s">
        <v>2811</v>
      </c>
      <c r="K448" s="57" t="s">
        <v>2812</v>
      </c>
      <c r="L448" s="57" t="s">
        <v>2813</v>
      </c>
      <c r="M448" s="57" t="s">
        <v>2814</v>
      </c>
    </row>
    <row r="449" ht="28" spans="1:13">
      <c r="A449" s="178" t="str">
        <f t="shared" si="6"/>
        <v>Planning &amp; Organizing|Analyst|2</v>
      </c>
      <c r="B449" s="57" t="s">
        <v>445</v>
      </c>
      <c r="C449" s="177" t="s">
        <v>8</v>
      </c>
      <c r="D449" s="177">
        <v>2</v>
      </c>
      <c r="E449" s="177" t="s">
        <v>491</v>
      </c>
      <c r="F449" s="177">
        <v>1</v>
      </c>
      <c r="G449" s="57" t="s">
        <v>2815</v>
      </c>
      <c r="H449" s="57" t="s">
        <v>2816</v>
      </c>
      <c r="I449" s="57" t="s">
        <v>2817</v>
      </c>
      <c r="J449" s="57" t="s">
        <v>2818</v>
      </c>
      <c r="K449" s="57" t="s">
        <v>2819</v>
      </c>
      <c r="L449" s="57" t="s">
        <v>2820</v>
      </c>
      <c r="M449" s="57" t="s">
        <v>2821</v>
      </c>
    </row>
    <row r="450" ht="28" spans="1:13">
      <c r="A450" s="178" t="str">
        <f t="shared" si="6"/>
        <v>Planning &amp; Organizing|Analyst|2</v>
      </c>
      <c r="B450" s="57" t="s">
        <v>445</v>
      </c>
      <c r="C450" s="177" t="s">
        <v>8</v>
      </c>
      <c r="D450" s="177">
        <v>2</v>
      </c>
      <c r="E450" s="177" t="s">
        <v>491</v>
      </c>
      <c r="F450" s="177">
        <v>2</v>
      </c>
      <c r="G450" s="57" t="s">
        <v>2822</v>
      </c>
      <c r="H450" s="57" t="s">
        <v>2823</v>
      </c>
      <c r="I450" s="57" t="s">
        <v>2824</v>
      </c>
      <c r="J450" s="57" t="s">
        <v>2825</v>
      </c>
      <c r="K450" s="57" t="s">
        <v>2826</v>
      </c>
      <c r="L450" s="57" t="s">
        <v>2827</v>
      </c>
      <c r="M450" s="57" t="s">
        <v>2828</v>
      </c>
    </row>
    <row r="451" ht="28" spans="1:13">
      <c r="A451" s="178" t="str">
        <f t="shared" ref="A451:A514" si="7">B451&amp;"|"&amp;C451&amp;"|"&amp;D451</f>
        <v>Planning &amp; Organizing|Analyst|2</v>
      </c>
      <c r="B451" s="57" t="s">
        <v>445</v>
      </c>
      <c r="C451" s="177" t="s">
        <v>8</v>
      </c>
      <c r="D451" s="177">
        <v>2</v>
      </c>
      <c r="E451" s="177" t="s">
        <v>491</v>
      </c>
      <c r="F451" s="177">
        <v>3</v>
      </c>
      <c r="G451" s="57" t="s">
        <v>2829</v>
      </c>
      <c r="H451" s="57" t="s">
        <v>2830</v>
      </c>
      <c r="I451" s="57" t="s">
        <v>2831</v>
      </c>
      <c r="J451" s="57" t="s">
        <v>2832</v>
      </c>
      <c r="K451" s="57" t="s">
        <v>2833</v>
      </c>
      <c r="L451" s="57" t="s">
        <v>2834</v>
      </c>
      <c r="M451" s="57" t="s">
        <v>2835</v>
      </c>
    </row>
    <row r="452" ht="28" spans="1:13">
      <c r="A452" s="178" t="str">
        <f t="shared" si="7"/>
        <v>Planning &amp; Organizing|Analyst|3</v>
      </c>
      <c r="B452" s="57" t="s">
        <v>445</v>
      </c>
      <c r="C452" s="177" t="s">
        <v>8</v>
      </c>
      <c r="D452" s="177">
        <v>3</v>
      </c>
      <c r="E452" s="177" t="s">
        <v>507</v>
      </c>
      <c r="F452" s="177">
        <v>1</v>
      </c>
      <c r="G452" s="57" t="s">
        <v>2836</v>
      </c>
      <c r="H452" s="57" t="s">
        <v>2837</v>
      </c>
      <c r="I452" s="57" t="s">
        <v>2838</v>
      </c>
      <c r="J452" s="57" t="s">
        <v>2839</v>
      </c>
      <c r="K452" s="57" t="s">
        <v>2840</v>
      </c>
      <c r="L452" s="57" t="s">
        <v>2841</v>
      </c>
      <c r="M452" s="57" t="s">
        <v>2842</v>
      </c>
    </row>
    <row r="453" ht="28" spans="1:13">
      <c r="A453" s="178" t="str">
        <f t="shared" si="7"/>
        <v>Planning &amp; Organizing|Analyst|3</v>
      </c>
      <c r="B453" s="57" t="s">
        <v>445</v>
      </c>
      <c r="C453" s="177" t="s">
        <v>8</v>
      </c>
      <c r="D453" s="177">
        <v>3</v>
      </c>
      <c r="E453" s="177" t="s">
        <v>507</v>
      </c>
      <c r="F453" s="177">
        <v>2</v>
      </c>
      <c r="G453" s="57" t="s">
        <v>2843</v>
      </c>
      <c r="H453" s="57" t="s">
        <v>2844</v>
      </c>
      <c r="I453" s="57" t="s">
        <v>2845</v>
      </c>
      <c r="J453" s="57" t="s">
        <v>2846</v>
      </c>
      <c r="K453" s="57" t="s">
        <v>2847</v>
      </c>
      <c r="L453" s="57" t="s">
        <v>2848</v>
      </c>
      <c r="M453" s="57" t="s">
        <v>2849</v>
      </c>
    </row>
    <row r="454" ht="28" spans="1:13">
      <c r="A454" s="178" t="str">
        <f t="shared" si="7"/>
        <v>Planning &amp; Organizing|Analyst|3</v>
      </c>
      <c r="B454" s="57" t="s">
        <v>445</v>
      </c>
      <c r="C454" s="177" t="s">
        <v>8</v>
      </c>
      <c r="D454" s="177">
        <v>3</v>
      </c>
      <c r="E454" s="177" t="s">
        <v>507</v>
      </c>
      <c r="F454" s="177">
        <v>3</v>
      </c>
      <c r="G454" s="57" t="s">
        <v>2850</v>
      </c>
      <c r="H454" s="57" t="s">
        <v>2851</v>
      </c>
      <c r="I454" s="57" t="s">
        <v>2852</v>
      </c>
      <c r="J454" s="57" t="s">
        <v>2853</v>
      </c>
      <c r="K454" s="57" t="s">
        <v>2854</v>
      </c>
      <c r="L454" s="57" t="s">
        <v>2855</v>
      </c>
      <c r="M454" s="57" t="s">
        <v>2856</v>
      </c>
    </row>
    <row r="455" ht="28" spans="1:13">
      <c r="A455" s="178" t="str">
        <f t="shared" si="7"/>
        <v>Planning &amp; Organizing|Analyst|4</v>
      </c>
      <c r="B455" s="57" t="s">
        <v>445</v>
      </c>
      <c r="C455" s="177" t="s">
        <v>8</v>
      </c>
      <c r="D455" s="177">
        <v>4</v>
      </c>
      <c r="E455" s="177" t="s">
        <v>523</v>
      </c>
      <c r="F455" s="177">
        <v>1</v>
      </c>
      <c r="G455" s="57" t="s">
        <v>2857</v>
      </c>
      <c r="H455" s="57" t="s">
        <v>2858</v>
      </c>
      <c r="I455" s="57" t="s">
        <v>2859</v>
      </c>
      <c r="J455" s="57" t="s">
        <v>2860</v>
      </c>
      <c r="K455" s="57" t="s">
        <v>2861</v>
      </c>
      <c r="L455" s="57" t="s">
        <v>2862</v>
      </c>
      <c r="M455" s="57" t="s">
        <v>2863</v>
      </c>
    </row>
    <row r="456" ht="28" spans="1:13">
      <c r="A456" s="178" t="str">
        <f t="shared" si="7"/>
        <v>Planning &amp; Organizing|Analyst|4</v>
      </c>
      <c r="B456" s="57" t="s">
        <v>445</v>
      </c>
      <c r="C456" s="177" t="s">
        <v>8</v>
      </c>
      <c r="D456" s="177">
        <v>4</v>
      </c>
      <c r="E456" s="177" t="s">
        <v>523</v>
      </c>
      <c r="F456" s="177">
        <v>2</v>
      </c>
      <c r="G456" s="57" t="s">
        <v>2864</v>
      </c>
      <c r="H456" s="57" t="s">
        <v>2865</v>
      </c>
      <c r="I456" s="57" t="s">
        <v>2866</v>
      </c>
      <c r="J456" s="57" t="s">
        <v>2867</v>
      </c>
      <c r="K456" s="57" t="s">
        <v>2868</v>
      </c>
      <c r="L456" s="57" t="s">
        <v>2869</v>
      </c>
      <c r="M456" s="57" t="s">
        <v>2870</v>
      </c>
    </row>
    <row r="457" ht="28" spans="1:13">
      <c r="A457" s="178" t="str">
        <f t="shared" si="7"/>
        <v>Planning &amp; Organizing|Analyst|4</v>
      </c>
      <c r="B457" s="57" t="s">
        <v>445</v>
      </c>
      <c r="C457" s="177" t="s">
        <v>8</v>
      </c>
      <c r="D457" s="177">
        <v>4</v>
      </c>
      <c r="E457" s="177" t="s">
        <v>523</v>
      </c>
      <c r="F457" s="177">
        <v>3</v>
      </c>
      <c r="G457" s="57" t="s">
        <v>2871</v>
      </c>
      <c r="H457" s="57" t="s">
        <v>2872</v>
      </c>
      <c r="I457" s="57" t="s">
        <v>2873</v>
      </c>
      <c r="J457" s="57" t="s">
        <v>2874</v>
      </c>
      <c r="K457" s="57" t="s">
        <v>2875</v>
      </c>
      <c r="L457" s="57" t="s">
        <v>2876</v>
      </c>
      <c r="M457" s="57" t="s">
        <v>2877</v>
      </c>
    </row>
    <row r="458" ht="42" spans="1:13">
      <c r="A458" s="178" t="str">
        <f t="shared" si="7"/>
        <v>Planning &amp; Organizing|Unit Head/Specialist|1</v>
      </c>
      <c r="B458" s="57" t="s">
        <v>445</v>
      </c>
      <c r="C458" s="177" t="s">
        <v>18</v>
      </c>
      <c r="D458" s="177">
        <v>1</v>
      </c>
      <c r="E458" s="177" t="s">
        <v>473</v>
      </c>
      <c r="F458" s="177">
        <v>1</v>
      </c>
      <c r="G458" s="57" t="s">
        <v>2878</v>
      </c>
      <c r="H458" s="57" t="s">
        <v>2879</v>
      </c>
      <c r="I458" s="57" t="s">
        <v>2880</v>
      </c>
      <c r="J458" s="57" t="s">
        <v>2881</v>
      </c>
      <c r="K458" s="57" t="s">
        <v>2882</v>
      </c>
      <c r="L458" s="57" t="s">
        <v>2883</v>
      </c>
      <c r="M458" s="57" t="s">
        <v>2884</v>
      </c>
    </row>
    <row r="459" ht="42" spans="1:13">
      <c r="A459" s="178" t="str">
        <f t="shared" si="7"/>
        <v>Planning &amp; Organizing|Unit Head/Specialist|1</v>
      </c>
      <c r="B459" s="57" t="s">
        <v>445</v>
      </c>
      <c r="C459" s="177" t="s">
        <v>18</v>
      </c>
      <c r="D459" s="177">
        <v>1</v>
      </c>
      <c r="E459" s="177" t="s">
        <v>473</v>
      </c>
      <c r="F459" s="177">
        <v>2</v>
      </c>
      <c r="G459" s="57" t="s">
        <v>2885</v>
      </c>
      <c r="H459" s="57" t="s">
        <v>2886</v>
      </c>
      <c r="I459" s="57" t="s">
        <v>2887</v>
      </c>
      <c r="J459" s="57" t="s">
        <v>2888</v>
      </c>
      <c r="K459" s="57" t="s">
        <v>2889</v>
      </c>
      <c r="L459" s="57" t="s">
        <v>2890</v>
      </c>
      <c r="M459" s="57" t="s">
        <v>2891</v>
      </c>
    </row>
    <row r="460" ht="42" spans="1:13">
      <c r="A460" s="178" t="str">
        <f t="shared" si="7"/>
        <v>Planning &amp; Organizing|Unit Head/Specialist|1</v>
      </c>
      <c r="B460" s="57" t="s">
        <v>445</v>
      </c>
      <c r="C460" s="177" t="s">
        <v>18</v>
      </c>
      <c r="D460" s="177">
        <v>1</v>
      </c>
      <c r="E460" s="177" t="s">
        <v>473</v>
      </c>
      <c r="F460" s="177">
        <v>3</v>
      </c>
      <c r="G460" s="57" t="s">
        <v>2892</v>
      </c>
      <c r="H460" s="57" t="s">
        <v>2893</v>
      </c>
      <c r="I460" s="57" t="s">
        <v>2894</v>
      </c>
      <c r="J460" s="57" t="s">
        <v>2895</v>
      </c>
      <c r="K460" s="57" t="s">
        <v>2896</v>
      </c>
      <c r="L460" s="57" t="s">
        <v>2897</v>
      </c>
      <c r="M460" s="57" t="s">
        <v>2898</v>
      </c>
    </row>
    <row r="461" ht="42" spans="1:13">
      <c r="A461" s="178" t="str">
        <f t="shared" si="7"/>
        <v>Planning &amp; Organizing|Unit Head/Specialist|2</v>
      </c>
      <c r="B461" s="57" t="s">
        <v>445</v>
      </c>
      <c r="C461" s="177" t="s">
        <v>18</v>
      </c>
      <c r="D461" s="177">
        <v>2</v>
      </c>
      <c r="E461" s="177" t="s">
        <v>491</v>
      </c>
      <c r="F461" s="177">
        <v>1</v>
      </c>
      <c r="G461" s="57" t="s">
        <v>2899</v>
      </c>
      <c r="H461" s="57" t="s">
        <v>2900</v>
      </c>
      <c r="I461" s="57" t="s">
        <v>2901</v>
      </c>
      <c r="J461" s="57" t="s">
        <v>2902</v>
      </c>
      <c r="K461" s="57" t="s">
        <v>2903</v>
      </c>
      <c r="L461" s="57" t="s">
        <v>2904</v>
      </c>
      <c r="M461" s="57" t="s">
        <v>2905</v>
      </c>
    </row>
    <row r="462" ht="42" spans="1:13">
      <c r="A462" s="178" t="str">
        <f t="shared" si="7"/>
        <v>Planning &amp; Organizing|Unit Head/Specialist|2</v>
      </c>
      <c r="B462" s="57" t="s">
        <v>445</v>
      </c>
      <c r="C462" s="177" t="s">
        <v>18</v>
      </c>
      <c r="D462" s="177">
        <v>2</v>
      </c>
      <c r="E462" s="177" t="s">
        <v>491</v>
      </c>
      <c r="F462" s="177">
        <v>2</v>
      </c>
      <c r="G462" s="57" t="s">
        <v>2906</v>
      </c>
      <c r="H462" s="57" t="s">
        <v>2907</v>
      </c>
      <c r="I462" s="57" t="s">
        <v>2908</v>
      </c>
      <c r="J462" s="57" t="s">
        <v>2909</v>
      </c>
      <c r="K462" s="57" t="s">
        <v>2910</v>
      </c>
      <c r="L462" s="57" t="s">
        <v>2911</v>
      </c>
      <c r="M462" s="57" t="s">
        <v>2912</v>
      </c>
    </row>
    <row r="463" ht="42" spans="1:13">
      <c r="A463" s="178" t="str">
        <f t="shared" si="7"/>
        <v>Planning &amp; Organizing|Unit Head/Specialist|2</v>
      </c>
      <c r="B463" s="57" t="s">
        <v>445</v>
      </c>
      <c r="C463" s="177" t="s">
        <v>18</v>
      </c>
      <c r="D463" s="177">
        <v>2</v>
      </c>
      <c r="E463" s="177" t="s">
        <v>491</v>
      </c>
      <c r="F463" s="177">
        <v>3</v>
      </c>
      <c r="G463" s="57" t="s">
        <v>2913</v>
      </c>
      <c r="H463" s="57" t="s">
        <v>2914</v>
      </c>
      <c r="I463" s="57" t="s">
        <v>2915</v>
      </c>
      <c r="J463" s="57" t="s">
        <v>2916</v>
      </c>
      <c r="K463" s="57" t="s">
        <v>2917</v>
      </c>
      <c r="L463" s="57" t="s">
        <v>2918</v>
      </c>
      <c r="M463" s="57" t="s">
        <v>2919</v>
      </c>
    </row>
    <row r="464" ht="42" spans="1:13">
      <c r="A464" s="178" t="str">
        <f t="shared" si="7"/>
        <v>Planning &amp; Organizing|Unit Head/Specialist|3</v>
      </c>
      <c r="B464" s="57" t="s">
        <v>445</v>
      </c>
      <c r="C464" s="177" t="s">
        <v>18</v>
      </c>
      <c r="D464" s="177">
        <v>3</v>
      </c>
      <c r="E464" s="177" t="s">
        <v>507</v>
      </c>
      <c r="F464" s="177">
        <v>1</v>
      </c>
      <c r="G464" s="57" t="s">
        <v>2920</v>
      </c>
      <c r="H464" s="57" t="s">
        <v>2921</v>
      </c>
      <c r="I464" s="57" t="s">
        <v>2922</v>
      </c>
      <c r="J464" s="57" t="s">
        <v>2923</v>
      </c>
      <c r="K464" s="57" t="s">
        <v>2924</v>
      </c>
      <c r="L464" s="57" t="s">
        <v>2925</v>
      </c>
      <c r="M464" s="57" t="s">
        <v>2926</v>
      </c>
    </row>
    <row r="465" ht="42" spans="1:13">
      <c r="A465" s="178" t="str">
        <f t="shared" si="7"/>
        <v>Planning &amp; Organizing|Unit Head/Specialist|3</v>
      </c>
      <c r="B465" s="57" t="s">
        <v>445</v>
      </c>
      <c r="C465" s="177" t="s">
        <v>18</v>
      </c>
      <c r="D465" s="177">
        <v>3</v>
      </c>
      <c r="E465" s="177" t="s">
        <v>507</v>
      </c>
      <c r="F465" s="177">
        <v>2</v>
      </c>
      <c r="G465" s="57" t="s">
        <v>2927</v>
      </c>
      <c r="H465" s="57" t="s">
        <v>2928</v>
      </c>
      <c r="I465" s="57" t="s">
        <v>2929</v>
      </c>
      <c r="J465" s="57" t="s">
        <v>2930</v>
      </c>
      <c r="K465" s="57" t="s">
        <v>2931</v>
      </c>
      <c r="L465" s="57" t="s">
        <v>2932</v>
      </c>
      <c r="M465" s="57" t="s">
        <v>2933</v>
      </c>
    </row>
    <row r="466" ht="42" spans="1:13">
      <c r="A466" s="178" t="str">
        <f t="shared" si="7"/>
        <v>Planning &amp; Organizing|Unit Head/Specialist|3</v>
      </c>
      <c r="B466" s="57" t="s">
        <v>445</v>
      </c>
      <c r="C466" s="177" t="s">
        <v>18</v>
      </c>
      <c r="D466" s="177">
        <v>3</v>
      </c>
      <c r="E466" s="177" t="s">
        <v>507</v>
      </c>
      <c r="F466" s="177">
        <v>3</v>
      </c>
      <c r="G466" s="57" t="s">
        <v>2934</v>
      </c>
      <c r="H466" s="57" t="s">
        <v>2935</v>
      </c>
      <c r="I466" s="57" t="s">
        <v>2936</v>
      </c>
      <c r="J466" s="57" t="s">
        <v>2937</v>
      </c>
      <c r="K466" s="57" t="s">
        <v>2938</v>
      </c>
      <c r="L466" s="57" t="s">
        <v>2939</v>
      </c>
      <c r="M466" s="57" t="s">
        <v>2940</v>
      </c>
    </row>
    <row r="467" ht="42" spans="1:13">
      <c r="A467" s="178" t="str">
        <f t="shared" si="7"/>
        <v>Planning &amp; Organizing|Unit Head/Specialist|4</v>
      </c>
      <c r="B467" s="57" t="s">
        <v>445</v>
      </c>
      <c r="C467" s="177" t="s">
        <v>18</v>
      </c>
      <c r="D467" s="177">
        <v>4</v>
      </c>
      <c r="E467" s="177" t="s">
        <v>523</v>
      </c>
      <c r="F467" s="177">
        <v>1</v>
      </c>
      <c r="G467" s="57" t="s">
        <v>2941</v>
      </c>
      <c r="H467" s="57" t="s">
        <v>2942</v>
      </c>
      <c r="I467" s="57" t="s">
        <v>2943</v>
      </c>
      <c r="J467" s="57" t="s">
        <v>2944</v>
      </c>
      <c r="K467" s="57" t="s">
        <v>2945</v>
      </c>
      <c r="L467" s="57" t="s">
        <v>2946</v>
      </c>
      <c r="M467" s="57" t="s">
        <v>2947</v>
      </c>
    </row>
    <row r="468" ht="42" spans="1:13">
      <c r="A468" s="178" t="str">
        <f t="shared" si="7"/>
        <v>Planning &amp; Organizing|Unit Head/Specialist|4</v>
      </c>
      <c r="B468" s="57" t="s">
        <v>445</v>
      </c>
      <c r="C468" s="177" t="s">
        <v>18</v>
      </c>
      <c r="D468" s="177">
        <v>4</v>
      </c>
      <c r="E468" s="177" t="s">
        <v>523</v>
      </c>
      <c r="F468" s="177">
        <v>2</v>
      </c>
      <c r="G468" s="57" t="s">
        <v>2948</v>
      </c>
      <c r="H468" s="57" t="s">
        <v>2949</v>
      </c>
      <c r="I468" s="57" t="s">
        <v>2950</v>
      </c>
      <c r="J468" s="57" t="s">
        <v>2951</v>
      </c>
      <c r="K468" s="57" t="s">
        <v>2952</v>
      </c>
      <c r="L468" s="57" t="s">
        <v>2953</v>
      </c>
      <c r="M468" s="57" t="s">
        <v>2954</v>
      </c>
    </row>
    <row r="469" ht="42" spans="1:13">
      <c r="A469" s="178" t="str">
        <f t="shared" si="7"/>
        <v>Planning &amp; Organizing|Unit Head/Specialist|4</v>
      </c>
      <c r="B469" s="57" t="s">
        <v>445</v>
      </c>
      <c r="C469" s="177" t="s">
        <v>18</v>
      </c>
      <c r="D469" s="177">
        <v>4</v>
      </c>
      <c r="E469" s="177" t="s">
        <v>523</v>
      </c>
      <c r="F469" s="177">
        <v>3</v>
      </c>
      <c r="G469" s="57" t="s">
        <v>2955</v>
      </c>
      <c r="H469" s="57" t="s">
        <v>2956</v>
      </c>
      <c r="I469" s="57" t="s">
        <v>2957</v>
      </c>
      <c r="J469" s="57" t="s">
        <v>2958</v>
      </c>
      <c r="K469" s="57" t="s">
        <v>2959</v>
      </c>
      <c r="L469" s="57" t="s">
        <v>2960</v>
      </c>
      <c r="M469" s="57" t="s">
        <v>2961</v>
      </c>
    </row>
    <row r="470" ht="28" spans="1:13">
      <c r="A470" s="178" t="str">
        <f t="shared" si="7"/>
        <v>Planning &amp; Organizing|Department Head|1</v>
      </c>
      <c r="B470" s="57" t="s">
        <v>445</v>
      </c>
      <c r="C470" s="177" t="s">
        <v>655</v>
      </c>
      <c r="D470" s="177">
        <v>1</v>
      </c>
      <c r="E470" s="177" t="s">
        <v>473</v>
      </c>
      <c r="F470" s="177">
        <v>1</v>
      </c>
      <c r="G470" s="57" t="s">
        <v>2962</v>
      </c>
      <c r="H470" s="57" t="s">
        <v>2963</v>
      </c>
      <c r="I470" s="57" t="s">
        <v>2964</v>
      </c>
      <c r="J470" s="57" t="s">
        <v>2965</v>
      </c>
      <c r="K470" s="57" t="s">
        <v>2966</v>
      </c>
      <c r="L470" s="57" t="s">
        <v>2967</v>
      </c>
      <c r="M470" s="57" t="s">
        <v>2968</v>
      </c>
    </row>
    <row r="471" ht="28" spans="1:13">
      <c r="A471" s="178" t="str">
        <f t="shared" si="7"/>
        <v>Planning &amp; Organizing|Department Head|1</v>
      </c>
      <c r="B471" s="57" t="s">
        <v>445</v>
      </c>
      <c r="C471" s="177" t="s">
        <v>655</v>
      </c>
      <c r="D471" s="177">
        <v>1</v>
      </c>
      <c r="E471" s="177" t="s">
        <v>473</v>
      </c>
      <c r="F471" s="177">
        <v>2</v>
      </c>
      <c r="G471" s="57" t="s">
        <v>2969</v>
      </c>
      <c r="H471" s="57" t="s">
        <v>2970</v>
      </c>
      <c r="I471" s="57" t="s">
        <v>2971</v>
      </c>
      <c r="J471" s="57" t="s">
        <v>2972</v>
      </c>
      <c r="K471" s="57" t="s">
        <v>2973</v>
      </c>
      <c r="L471" s="57" t="s">
        <v>2974</v>
      </c>
      <c r="M471" s="57" t="s">
        <v>2975</v>
      </c>
    </row>
    <row r="472" ht="28" spans="1:13">
      <c r="A472" s="178" t="str">
        <f t="shared" si="7"/>
        <v>Planning &amp; Organizing|Department Head|1</v>
      </c>
      <c r="B472" s="57" t="s">
        <v>445</v>
      </c>
      <c r="C472" s="177" t="s">
        <v>655</v>
      </c>
      <c r="D472" s="177">
        <v>1</v>
      </c>
      <c r="E472" s="177" t="s">
        <v>473</v>
      </c>
      <c r="F472" s="177">
        <v>3</v>
      </c>
      <c r="G472" s="57" t="s">
        <v>2976</v>
      </c>
      <c r="H472" s="57" t="s">
        <v>2977</v>
      </c>
      <c r="I472" s="57" t="s">
        <v>2978</v>
      </c>
      <c r="J472" s="57" t="s">
        <v>2979</v>
      </c>
      <c r="K472" s="57" t="s">
        <v>2980</v>
      </c>
      <c r="L472" s="57" t="s">
        <v>2981</v>
      </c>
      <c r="M472" s="57" t="s">
        <v>2982</v>
      </c>
    </row>
    <row r="473" ht="28" spans="1:13">
      <c r="A473" s="178" t="str">
        <f t="shared" si="7"/>
        <v>Planning &amp; Organizing|Department Head|2</v>
      </c>
      <c r="B473" s="57" t="s">
        <v>445</v>
      </c>
      <c r="C473" s="177" t="s">
        <v>655</v>
      </c>
      <c r="D473" s="177">
        <v>2</v>
      </c>
      <c r="E473" s="177" t="s">
        <v>491</v>
      </c>
      <c r="F473" s="177">
        <v>1</v>
      </c>
      <c r="G473" s="57" t="s">
        <v>2983</v>
      </c>
      <c r="H473" s="57" t="s">
        <v>2984</v>
      </c>
      <c r="I473" s="57" t="s">
        <v>2985</v>
      </c>
      <c r="J473" s="57" t="s">
        <v>2986</v>
      </c>
      <c r="K473" s="57" t="s">
        <v>2987</v>
      </c>
      <c r="L473" s="57" t="s">
        <v>2988</v>
      </c>
      <c r="M473" s="57" t="s">
        <v>2989</v>
      </c>
    </row>
    <row r="474" ht="28" spans="1:13">
      <c r="A474" s="178" t="str">
        <f t="shared" si="7"/>
        <v>Planning &amp; Organizing|Department Head|2</v>
      </c>
      <c r="B474" s="57" t="s">
        <v>445</v>
      </c>
      <c r="C474" s="177" t="s">
        <v>655</v>
      </c>
      <c r="D474" s="177">
        <v>2</v>
      </c>
      <c r="E474" s="177" t="s">
        <v>491</v>
      </c>
      <c r="F474" s="177">
        <v>2</v>
      </c>
      <c r="G474" s="57" t="s">
        <v>2990</v>
      </c>
      <c r="H474" s="57" t="s">
        <v>2991</v>
      </c>
      <c r="I474" s="57" t="s">
        <v>2992</v>
      </c>
      <c r="J474" s="57" t="s">
        <v>2993</v>
      </c>
      <c r="K474" s="57" t="s">
        <v>2994</v>
      </c>
      <c r="L474" s="57" t="s">
        <v>2995</v>
      </c>
      <c r="M474" s="57" t="s">
        <v>2996</v>
      </c>
    </row>
    <row r="475" ht="28" spans="1:13">
      <c r="A475" s="178" t="str">
        <f t="shared" si="7"/>
        <v>Planning &amp; Organizing|Department Head|2</v>
      </c>
      <c r="B475" s="57" t="s">
        <v>445</v>
      </c>
      <c r="C475" s="177" t="s">
        <v>655</v>
      </c>
      <c r="D475" s="177">
        <v>2</v>
      </c>
      <c r="E475" s="177" t="s">
        <v>491</v>
      </c>
      <c r="F475" s="177">
        <v>3</v>
      </c>
      <c r="G475" s="57" t="s">
        <v>2997</v>
      </c>
      <c r="H475" s="57" t="s">
        <v>2998</v>
      </c>
      <c r="I475" s="57" t="s">
        <v>2999</v>
      </c>
      <c r="J475" s="57" t="s">
        <v>3000</v>
      </c>
      <c r="K475" s="57" t="s">
        <v>3001</v>
      </c>
      <c r="L475" s="57" t="s">
        <v>3002</v>
      </c>
      <c r="M475" s="57" t="s">
        <v>3003</v>
      </c>
    </row>
    <row r="476" ht="28" spans="1:13">
      <c r="A476" s="178" t="str">
        <f t="shared" si="7"/>
        <v>Planning &amp; Organizing|Department Head|3</v>
      </c>
      <c r="B476" s="57" t="s">
        <v>445</v>
      </c>
      <c r="C476" s="177" t="s">
        <v>655</v>
      </c>
      <c r="D476" s="177">
        <v>3</v>
      </c>
      <c r="E476" s="177" t="s">
        <v>507</v>
      </c>
      <c r="F476" s="177">
        <v>1</v>
      </c>
      <c r="G476" s="57" t="s">
        <v>3004</v>
      </c>
      <c r="H476" s="57" t="s">
        <v>3005</v>
      </c>
      <c r="I476" s="57" t="s">
        <v>3006</v>
      </c>
      <c r="J476" s="57" t="s">
        <v>3007</v>
      </c>
      <c r="K476" s="57" t="s">
        <v>3008</v>
      </c>
      <c r="L476" s="57" t="s">
        <v>3009</v>
      </c>
      <c r="M476" s="57" t="s">
        <v>3010</v>
      </c>
    </row>
    <row r="477" ht="28" spans="1:13">
      <c r="A477" s="178" t="str">
        <f t="shared" si="7"/>
        <v>Planning &amp; Organizing|Department Head|3</v>
      </c>
      <c r="B477" s="57" t="s">
        <v>445</v>
      </c>
      <c r="C477" s="177" t="s">
        <v>655</v>
      </c>
      <c r="D477" s="177">
        <v>3</v>
      </c>
      <c r="E477" s="177" t="s">
        <v>507</v>
      </c>
      <c r="F477" s="177">
        <v>2</v>
      </c>
      <c r="G477" s="57" t="s">
        <v>3011</v>
      </c>
      <c r="H477" s="57" t="s">
        <v>3012</v>
      </c>
      <c r="I477" s="57" t="s">
        <v>3013</v>
      </c>
      <c r="J477" s="57" t="s">
        <v>3014</v>
      </c>
      <c r="K477" s="57" t="s">
        <v>3015</v>
      </c>
      <c r="L477" s="57" t="s">
        <v>3016</v>
      </c>
      <c r="M477" s="57" t="s">
        <v>3017</v>
      </c>
    </row>
    <row r="478" ht="28" spans="1:13">
      <c r="A478" s="178" t="str">
        <f t="shared" si="7"/>
        <v>Planning &amp; Organizing|Department Head|3</v>
      </c>
      <c r="B478" s="57" t="s">
        <v>445</v>
      </c>
      <c r="C478" s="177" t="s">
        <v>655</v>
      </c>
      <c r="D478" s="177">
        <v>3</v>
      </c>
      <c r="E478" s="177" t="s">
        <v>507</v>
      </c>
      <c r="F478" s="177">
        <v>3</v>
      </c>
      <c r="G478" s="57" t="s">
        <v>3018</v>
      </c>
      <c r="H478" s="57" t="s">
        <v>3019</v>
      </c>
      <c r="I478" s="57" t="s">
        <v>3020</v>
      </c>
      <c r="J478" s="57" t="s">
        <v>3021</v>
      </c>
      <c r="K478" s="57" t="s">
        <v>3022</v>
      </c>
      <c r="L478" s="57" t="s">
        <v>3023</v>
      </c>
      <c r="M478" s="57" t="s">
        <v>3024</v>
      </c>
    </row>
    <row r="479" ht="28" spans="1:13">
      <c r="A479" s="178" t="str">
        <f t="shared" si="7"/>
        <v>Planning &amp; Organizing|Department Head|4</v>
      </c>
      <c r="B479" s="57" t="s">
        <v>445</v>
      </c>
      <c r="C479" s="177" t="s">
        <v>655</v>
      </c>
      <c r="D479" s="177">
        <v>4</v>
      </c>
      <c r="E479" s="177" t="s">
        <v>523</v>
      </c>
      <c r="F479" s="177">
        <v>1</v>
      </c>
      <c r="G479" s="57" t="s">
        <v>3025</v>
      </c>
      <c r="H479" s="57" t="s">
        <v>3026</v>
      </c>
      <c r="I479" s="57" t="s">
        <v>3027</v>
      </c>
      <c r="J479" s="57" t="s">
        <v>3028</v>
      </c>
      <c r="K479" s="57" t="s">
        <v>3029</v>
      </c>
      <c r="L479" s="57" t="s">
        <v>3030</v>
      </c>
      <c r="M479" s="57" t="s">
        <v>3031</v>
      </c>
    </row>
    <row r="480" ht="28" spans="1:13">
      <c r="A480" s="178" t="str">
        <f t="shared" si="7"/>
        <v>Planning &amp; Organizing|Department Head|4</v>
      </c>
      <c r="B480" s="57" t="s">
        <v>445</v>
      </c>
      <c r="C480" s="177" t="s">
        <v>655</v>
      </c>
      <c r="D480" s="177">
        <v>4</v>
      </c>
      <c r="E480" s="177" t="s">
        <v>523</v>
      </c>
      <c r="F480" s="177">
        <v>2</v>
      </c>
      <c r="G480" s="57" t="s">
        <v>3032</v>
      </c>
      <c r="H480" s="57" t="s">
        <v>3033</v>
      </c>
      <c r="I480" s="57" t="s">
        <v>3034</v>
      </c>
      <c r="J480" s="57" t="s">
        <v>3035</v>
      </c>
      <c r="K480" s="57" t="s">
        <v>3036</v>
      </c>
      <c r="L480" s="57" t="s">
        <v>3037</v>
      </c>
      <c r="M480" s="57" t="s">
        <v>3038</v>
      </c>
    </row>
    <row r="481" ht="28" spans="1:13">
      <c r="A481" s="178" t="str">
        <f t="shared" si="7"/>
        <v>Planning &amp; Organizing|Department Head|4</v>
      </c>
      <c r="B481" s="57" t="s">
        <v>445</v>
      </c>
      <c r="C481" s="177" t="s">
        <v>655</v>
      </c>
      <c r="D481" s="177">
        <v>4</v>
      </c>
      <c r="E481" s="177" t="s">
        <v>523</v>
      </c>
      <c r="F481" s="177">
        <v>3</v>
      </c>
      <c r="G481" s="57" t="s">
        <v>3039</v>
      </c>
      <c r="H481" s="57" t="s">
        <v>3040</v>
      </c>
      <c r="I481" s="57" t="s">
        <v>3041</v>
      </c>
      <c r="J481" s="57" t="s">
        <v>3042</v>
      </c>
      <c r="K481" s="57" t="s">
        <v>3043</v>
      </c>
      <c r="L481" s="57" t="s">
        <v>3044</v>
      </c>
      <c r="M481" s="57" t="s">
        <v>3045</v>
      </c>
    </row>
    <row r="482" ht="28" spans="1:13">
      <c r="A482" s="178" t="str">
        <f t="shared" si="7"/>
        <v>Planning &amp; Organizing|Division Head|1</v>
      </c>
      <c r="B482" s="57" t="s">
        <v>445</v>
      </c>
      <c r="C482" s="177" t="s">
        <v>712</v>
      </c>
      <c r="D482" s="177">
        <v>1</v>
      </c>
      <c r="E482" s="177" t="s">
        <v>473</v>
      </c>
      <c r="F482" s="177">
        <v>1</v>
      </c>
      <c r="G482" s="57" t="s">
        <v>3046</v>
      </c>
      <c r="H482" s="57" t="s">
        <v>3047</v>
      </c>
      <c r="I482" s="57" t="s">
        <v>3048</v>
      </c>
      <c r="J482" s="57" t="s">
        <v>3049</v>
      </c>
      <c r="K482" s="57" t="s">
        <v>3050</v>
      </c>
      <c r="L482" s="57" t="s">
        <v>3051</v>
      </c>
      <c r="M482" s="57" t="s">
        <v>3052</v>
      </c>
    </row>
    <row r="483" ht="28" spans="1:13">
      <c r="A483" s="178" t="str">
        <f t="shared" si="7"/>
        <v>Planning &amp; Organizing|Division Head|1</v>
      </c>
      <c r="B483" s="57" t="s">
        <v>445</v>
      </c>
      <c r="C483" s="177" t="s">
        <v>712</v>
      </c>
      <c r="D483" s="177">
        <v>1</v>
      </c>
      <c r="E483" s="177" t="s">
        <v>473</v>
      </c>
      <c r="F483" s="177">
        <v>2</v>
      </c>
      <c r="G483" s="57" t="s">
        <v>3053</v>
      </c>
      <c r="H483" s="57" t="s">
        <v>3054</v>
      </c>
      <c r="I483" s="57" t="s">
        <v>3055</v>
      </c>
      <c r="J483" s="57" t="s">
        <v>3056</v>
      </c>
      <c r="K483" s="57" t="s">
        <v>3057</v>
      </c>
      <c r="L483" s="57" t="s">
        <v>3058</v>
      </c>
      <c r="M483" s="57" t="s">
        <v>3059</v>
      </c>
    </row>
    <row r="484" ht="28" spans="1:13">
      <c r="A484" s="178" t="str">
        <f t="shared" si="7"/>
        <v>Planning &amp; Organizing|Division Head|1</v>
      </c>
      <c r="B484" s="57" t="s">
        <v>445</v>
      </c>
      <c r="C484" s="177" t="s">
        <v>712</v>
      </c>
      <c r="D484" s="177">
        <v>1</v>
      </c>
      <c r="E484" s="177" t="s">
        <v>473</v>
      </c>
      <c r="F484" s="177">
        <v>3</v>
      </c>
      <c r="G484" s="57" t="s">
        <v>3060</v>
      </c>
      <c r="H484" s="57" t="s">
        <v>3061</v>
      </c>
      <c r="I484" s="57" t="s">
        <v>3062</v>
      </c>
      <c r="J484" s="57" t="s">
        <v>3063</v>
      </c>
      <c r="K484" s="57" t="s">
        <v>3064</v>
      </c>
      <c r="L484" s="57" t="s">
        <v>3065</v>
      </c>
      <c r="M484" s="57" t="s">
        <v>3066</v>
      </c>
    </row>
    <row r="485" ht="28" spans="1:13">
      <c r="A485" s="178" t="str">
        <f t="shared" si="7"/>
        <v>Planning &amp; Organizing|Division Head|2</v>
      </c>
      <c r="B485" s="57" t="s">
        <v>445</v>
      </c>
      <c r="C485" s="177" t="s">
        <v>712</v>
      </c>
      <c r="D485" s="177">
        <v>2</v>
      </c>
      <c r="E485" s="177" t="s">
        <v>491</v>
      </c>
      <c r="F485" s="177">
        <v>1</v>
      </c>
      <c r="G485" s="57" t="s">
        <v>3067</v>
      </c>
      <c r="H485" s="57" t="s">
        <v>3068</v>
      </c>
      <c r="I485" s="57" t="s">
        <v>3069</v>
      </c>
      <c r="J485" s="57" t="s">
        <v>3070</v>
      </c>
      <c r="K485" s="57" t="s">
        <v>3071</v>
      </c>
      <c r="L485" s="57" t="s">
        <v>3072</v>
      </c>
      <c r="M485" s="57" t="s">
        <v>3073</v>
      </c>
    </row>
    <row r="486" ht="28" spans="1:13">
      <c r="A486" s="178" t="str">
        <f t="shared" si="7"/>
        <v>Planning &amp; Organizing|Division Head|2</v>
      </c>
      <c r="B486" s="57" t="s">
        <v>445</v>
      </c>
      <c r="C486" s="177" t="s">
        <v>712</v>
      </c>
      <c r="D486" s="177">
        <v>2</v>
      </c>
      <c r="E486" s="177" t="s">
        <v>491</v>
      </c>
      <c r="F486" s="177">
        <v>2</v>
      </c>
      <c r="G486" s="57" t="s">
        <v>3074</v>
      </c>
      <c r="H486" s="57" t="s">
        <v>3075</v>
      </c>
      <c r="I486" s="57" t="s">
        <v>3076</v>
      </c>
      <c r="J486" s="57" t="s">
        <v>3077</v>
      </c>
      <c r="K486" s="57" t="s">
        <v>3078</v>
      </c>
      <c r="L486" s="57" t="s">
        <v>3079</v>
      </c>
      <c r="M486" s="57" t="s">
        <v>3080</v>
      </c>
    </row>
    <row r="487" ht="28" spans="1:13">
      <c r="A487" s="178" t="str">
        <f t="shared" si="7"/>
        <v>Planning &amp; Organizing|Division Head|2</v>
      </c>
      <c r="B487" s="57" t="s">
        <v>445</v>
      </c>
      <c r="C487" s="177" t="s">
        <v>712</v>
      </c>
      <c r="D487" s="177">
        <v>2</v>
      </c>
      <c r="E487" s="177" t="s">
        <v>491</v>
      </c>
      <c r="F487" s="177">
        <v>3</v>
      </c>
      <c r="G487" s="57" t="s">
        <v>3081</v>
      </c>
      <c r="H487" s="57" t="s">
        <v>3082</v>
      </c>
      <c r="I487" s="57" t="s">
        <v>3083</v>
      </c>
      <c r="J487" s="57" t="s">
        <v>3084</v>
      </c>
      <c r="K487" s="57" t="s">
        <v>3085</v>
      </c>
      <c r="L487" s="57" t="s">
        <v>3086</v>
      </c>
      <c r="M487" s="57" t="s">
        <v>3087</v>
      </c>
    </row>
    <row r="488" ht="28" spans="1:13">
      <c r="A488" s="178" t="str">
        <f t="shared" si="7"/>
        <v>Planning &amp; Organizing|Division Head|3</v>
      </c>
      <c r="B488" s="57" t="s">
        <v>445</v>
      </c>
      <c r="C488" s="177" t="s">
        <v>712</v>
      </c>
      <c r="D488" s="177">
        <v>3</v>
      </c>
      <c r="E488" s="177" t="s">
        <v>507</v>
      </c>
      <c r="F488" s="177">
        <v>1</v>
      </c>
      <c r="G488" s="57" t="s">
        <v>3088</v>
      </c>
      <c r="H488" s="57" t="s">
        <v>3089</v>
      </c>
      <c r="I488" s="57" t="s">
        <v>3090</v>
      </c>
      <c r="J488" s="57" t="s">
        <v>3091</v>
      </c>
      <c r="K488" s="57" t="s">
        <v>3092</v>
      </c>
      <c r="L488" s="57" t="s">
        <v>3093</v>
      </c>
      <c r="M488" s="57" t="s">
        <v>3094</v>
      </c>
    </row>
    <row r="489" ht="28" spans="1:13">
      <c r="A489" s="178" t="str">
        <f t="shared" si="7"/>
        <v>Planning &amp; Organizing|Division Head|3</v>
      </c>
      <c r="B489" s="57" t="s">
        <v>445</v>
      </c>
      <c r="C489" s="177" t="s">
        <v>712</v>
      </c>
      <c r="D489" s="177">
        <v>3</v>
      </c>
      <c r="E489" s="177" t="s">
        <v>507</v>
      </c>
      <c r="F489" s="177">
        <v>2</v>
      </c>
      <c r="G489" s="57" t="s">
        <v>3095</v>
      </c>
      <c r="H489" s="57" t="s">
        <v>3096</v>
      </c>
      <c r="I489" s="57" t="s">
        <v>3097</v>
      </c>
      <c r="J489" s="57" t="s">
        <v>3098</v>
      </c>
      <c r="K489" s="57" t="s">
        <v>3099</v>
      </c>
      <c r="L489" s="57" t="s">
        <v>3100</v>
      </c>
      <c r="M489" s="57" t="s">
        <v>3101</v>
      </c>
    </row>
    <row r="490" ht="28" spans="1:13">
      <c r="A490" s="178" t="str">
        <f t="shared" si="7"/>
        <v>Planning &amp; Organizing|Division Head|3</v>
      </c>
      <c r="B490" s="57" t="s">
        <v>445</v>
      </c>
      <c r="C490" s="177" t="s">
        <v>712</v>
      </c>
      <c r="D490" s="177">
        <v>3</v>
      </c>
      <c r="E490" s="177" t="s">
        <v>507</v>
      </c>
      <c r="F490" s="177">
        <v>3</v>
      </c>
      <c r="G490" s="57" t="s">
        <v>3102</v>
      </c>
      <c r="H490" s="57" t="s">
        <v>3103</v>
      </c>
      <c r="I490" s="57" t="s">
        <v>3104</v>
      </c>
      <c r="J490" s="57" t="s">
        <v>3105</v>
      </c>
      <c r="K490" s="57" t="s">
        <v>3106</v>
      </c>
      <c r="L490" s="57" t="s">
        <v>3107</v>
      </c>
      <c r="M490" s="57" t="s">
        <v>3108</v>
      </c>
    </row>
    <row r="491" ht="28" spans="1:13">
      <c r="A491" s="178" t="str">
        <f t="shared" si="7"/>
        <v>Planning &amp; Organizing|Division Head|4</v>
      </c>
      <c r="B491" s="57" t="s">
        <v>445</v>
      </c>
      <c r="C491" s="177" t="s">
        <v>712</v>
      </c>
      <c r="D491" s="177">
        <v>4</v>
      </c>
      <c r="E491" s="177" t="s">
        <v>523</v>
      </c>
      <c r="F491" s="177">
        <v>1</v>
      </c>
      <c r="G491" s="57" t="s">
        <v>3109</v>
      </c>
      <c r="H491" s="57" t="s">
        <v>3110</v>
      </c>
      <c r="I491" s="57" t="s">
        <v>3111</v>
      </c>
      <c r="J491" s="57" t="s">
        <v>3112</v>
      </c>
      <c r="K491" s="57" t="s">
        <v>3113</v>
      </c>
      <c r="L491" s="57" t="s">
        <v>3114</v>
      </c>
      <c r="M491" s="57" t="s">
        <v>3115</v>
      </c>
    </row>
    <row r="492" ht="28" spans="1:13">
      <c r="A492" s="178" t="str">
        <f t="shared" si="7"/>
        <v>Planning &amp; Organizing|Division Head|4</v>
      </c>
      <c r="B492" s="57" t="s">
        <v>445</v>
      </c>
      <c r="C492" s="177" t="s">
        <v>712</v>
      </c>
      <c r="D492" s="177">
        <v>4</v>
      </c>
      <c r="E492" s="177" t="s">
        <v>523</v>
      </c>
      <c r="F492" s="177">
        <v>2</v>
      </c>
      <c r="G492" s="57" t="s">
        <v>3116</v>
      </c>
      <c r="H492" s="57" t="s">
        <v>3117</v>
      </c>
      <c r="I492" s="57" t="s">
        <v>3118</v>
      </c>
      <c r="J492" s="57" t="s">
        <v>3119</v>
      </c>
      <c r="K492" s="57" t="s">
        <v>3120</v>
      </c>
      <c r="L492" s="57" t="s">
        <v>3121</v>
      </c>
      <c r="M492" s="57" t="s">
        <v>3122</v>
      </c>
    </row>
    <row r="493" ht="28" spans="1:13">
      <c r="A493" s="178" t="str">
        <f t="shared" si="7"/>
        <v>Planning &amp; Organizing|Division Head|4</v>
      </c>
      <c r="B493" s="57" t="s">
        <v>445</v>
      </c>
      <c r="C493" s="177" t="s">
        <v>712</v>
      </c>
      <c r="D493" s="177">
        <v>4</v>
      </c>
      <c r="E493" s="177" t="s">
        <v>523</v>
      </c>
      <c r="F493" s="177">
        <v>3</v>
      </c>
      <c r="G493" s="57" t="s">
        <v>3123</v>
      </c>
      <c r="H493" s="57" t="s">
        <v>3124</v>
      </c>
      <c r="I493" s="57" t="s">
        <v>3125</v>
      </c>
      <c r="J493" s="57" t="s">
        <v>3126</v>
      </c>
      <c r="K493" s="57" t="s">
        <v>3127</v>
      </c>
      <c r="L493" s="57" t="s">
        <v>3128</v>
      </c>
      <c r="M493" s="57" t="s">
        <v>3129</v>
      </c>
    </row>
    <row r="494" ht="28" spans="1:13">
      <c r="A494" s="178" t="str">
        <f t="shared" si="7"/>
        <v>Planning &amp; Organizing|Director|1</v>
      </c>
      <c r="B494" s="57" t="s">
        <v>445</v>
      </c>
      <c r="C494" s="177" t="s">
        <v>773</v>
      </c>
      <c r="D494" s="177">
        <v>1</v>
      </c>
      <c r="E494" s="177" t="s">
        <v>473</v>
      </c>
      <c r="F494" s="177">
        <v>1</v>
      </c>
      <c r="G494" s="57" t="s">
        <v>3130</v>
      </c>
      <c r="H494" s="57" t="s">
        <v>3131</v>
      </c>
      <c r="I494" s="57" t="s">
        <v>3132</v>
      </c>
      <c r="J494" s="57" t="s">
        <v>3133</v>
      </c>
      <c r="K494" s="57" t="s">
        <v>3134</v>
      </c>
      <c r="L494" s="57" t="s">
        <v>3135</v>
      </c>
      <c r="M494" s="57" t="s">
        <v>3136</v>
      </c>
    </row>
    <row r="495" ht="28" spans="1:13">
      <c r="A495" s="178" t="str">
        <f t="shared" si="7"/>
        <v>Planning &amp; Organizing|Director|1</v>
      </c>
      <c r="B495" s="57" t="s">
        <v>445</v>
      </c>
      <c r="C495" s="177" t="s">
        <v>773</v>
      </c>
      <c r="D495" s="177">
        <v>1</v>
      </c>
      <c r="E495" s="177" t="s">
        <v>473</v>
      </c>
      <c r="F495" s="177">
        <v>2</v>
      </c>
      <c r="G495" s="57" t="s">
        <v>3137</v>
      </c>
      <c r="H495" s="57" t="s">
        <v>3138</v>
      </c>
      <c r="I495" s="57" t="s">
        <v>3139</v>
      </c>
      <c r="J495" s="57" t="s">
        <v>3140</v>
      </c>
      <c r="K495" s="57" t="s">
        <v>3141</v>
      </c>
      <c r="L495" s="57" t="s">
        <v>3142</v>
      </c>
      <c r="M495" s="57" t="s">
        <v>3143</v>
      </c>
    </row>
    <row r="496" ht="28" spans="1:13">
      <c r="A496" s="178" t="str">
        <f t="shared" si="7"/>
        <v>Planning &amp; Organizing|Director|1</v>
      </c>
      <c r="B496" s="57" t="s">
        <v>445</v>
      </c>
      <c r="C496" s="177" t="s">
        <v>773</v>
      </c>
      <c r="D496" s="177">
        <v>1</v>
      </c>
      <c r="E496" s="177" t="s">
        <v>473</v>
      </c>
      <c r="F496" s="177">
        <v>3</v>
      </c>
      <c r="G496" s="57" t="s">
        <v>3144</v>
      </c>
      <c r="H496" s="57" t="s">
        <v>3145</v>
      </c>
      <c r="I496" s="57" t="s">
        <v>3146</v>
      </c>
      <c r="J496" s="57" t="s">
        <v>3147</v>
      </c>
      <c r="K496" s="57" t="s">
        <v>3148</v>
      </c>
      <c r="L496" s="57" t="s">
        <v>3149</v>
      </c>
      <c r="M496" s="57" t="s">
        <v>3150</v>
      </c>
    </row>
    <row r="497" ht="28" spans="1:13">
      <c r="A497" s="178" t="str">
        <f t="shared" si="7"/>
        <v>Planning &amp; Organizing|Director|2</v>
      </c>
      <c r="B497" s="57" t="s">
        <v>445</v>
      </c>
      <c r="C497" s="177" t="s">
        <v>773</v>
      </c>
      <c r="D497" s="177">
        <v>2</v>
      </c>
      <c r="E497" s="177" t="s">
        <v>491</v>
      </c>
      <c r="F497" s="177">
        <v>1</v>
      </c>
      <c r="G497" s="57" t="s">
        <v>3151</v>
      </c>
      <c r="H497" s="57" t="s">
        <v>3152</v>
      </c>
      <c r="I497" s="57" t="s">
        <v>3153</v>
      </c>
      <c r="J497" s="57" t="s">
        <v>3154</v>
      </c>
      <c r="K497" s="57" t="s">
        <v>3155</v>
      </c>
      <c r="L497" s="57" t="s">
        <v>3156</v>
      </c>
      <c r="M497" s="57" t="s">
        <v>3157</v>
      </c>
    </row>
    <row r="498" ht="28" spans="1:13">
      <c r="A498" s="178" t="str">
        <f t="shared" si="7"/>
        <v>Planning &amp; Organizing|Director|2</v>
      </c>
      <c r="B498" s="57" t="s">
        <v>445</v>
      </c>
      <c r="C498" s="177" t="s">
        <v>773</v>
      </c>
      <c r="D498" s="177">
        <v>2</v>
      </c>
      <c r="E498" s="177" t="s">
        <v>491</v>
      </c>
      <c r="F498" s="177">
        <v>2</v>
      </c>
      <c r="G498" s="57" t="s">
        <v>3158</v>
      </c>
      <c r="H498" s="57" t="s">
        <v>3159</v>
      </c>
      <c r="I498" s="57" t="s">
        <v>3160</v>
      </c>
      <c r="J498" s="57" t="s">
        <v>3161</v>
      </c>
      <c r="K498" s="57" t="s">
        <v>3162</v>
      </c>
      <c r="L498" s="57" t="s">
        <v>3163</v>
      </c>
      <c r="M498" s="57" t="s">
        <v>3164</v>
      </c>
    </row>
    <row r="499" ht="28" spans="1:13">
      <c r="A499" s="178" t="str">
        <f t="shared" si="7"/>
        <v>Planning &amp; Organizing|Director|2</v>
      </c>
      <c r="B499" s="57" t="s">
        <v>445</v>
      </c>
      <c r="C499" s="177" t="s">
        <v>773</v>
      </c>
      <c r="D499" s="177">
        <v>2</v>
      </c>
      <c r="E499" s="177" t="s">
        <v>491</v>
      </c>
      <c r="F499" s="177">
        <v>3</v>
      </c>
      <c r="G499" s="57" t="s">
        <v>3165</v>
      </c>
      <c r="H499" s="57" t="s">
        <v>3166</v>
      </c>
      <c r="I499" s="57" t="s">
        <v>3167</v>
      </c>
      <c r="J499" s="57" t="s">
        <v>3168</v>
      </c>
      <c r="K499" s="57" t="s">
        <v>3169</v>
      </c>
      <c r="L499" s="57" t="s">
        <v>3170</v>
      </c>
      <c r="M499" s="57" t="s">
        <v>3171</v>
      </c>
    </row>
    <row r="500" ht="28" spans="1:13">
      <c r="A500" s="178" t="str">
        <f t="shared" si="7"/>
        <v>Planning &amp; Organizing|Director|3</v>
      </c>
      <c r="B500" s="57" t="s">
        <v>445</v>
      </c>
      <c r="C500" s="177" t="s">
        <v>773</v>
      </c>
      <c r="D500" s="177">
        <v>3</v>
      </c>
      <c r="E500" s="177" t="s">
        <v>507</v>
      </c>
      <c r="F500" s="177">
        <v>1</v>
      </c>
      <c r="G500" s="57" t="s">
        <v>3172</v>
      </c>
      <c r="H500" s="57" t="s">
        <v>3173</v>
      </c>
      <c r="I500" s="57" t="s">
        <v>3174</v>
      </c>
      <c r="J500" s="57" t="s">
        <v>3175</v>
      </c>
      <c r="K500" s="57" t="s">
        <v>3176</v>
      </c>
      <c r="L500" s="57" t="s">
        <v>3177</v>
      </c>
      <c r="M500" s="57" t="s">
        <v>3178</v>
      </c>
    </row>
    <row r="501" ht="28" spans="1:13">
      <c r="A501" s="178" t="str">
        <f t="shared" si="7"/>
        <v>Planning &amp; Organizing|Director|3</v>
      </c>
      <c r="B501" s="57" t="s">
        <v>445</v>
      </c>
      <c r="C501" s="177" t="s">
        <v>773</v>
      </c>
      <c r="D501" s="177">
        <v>3</v>
      </c>
      <c r="E501" s="177" t="s">
        <v>507</v>
      </c>
      <c r="F501" s="177">
        <v>2</v>
      </c>
      <c r="G501" s="57" t="s">
        <v>3179</v>
      </c>
      <c r="H501" s="57" t="s">
        <v>3180</v>
      </c>
      <c r="I501" s="57" t="s">
        <v>3181</v>
      </c>
      <c r="J501" s="57" t="s">
        <v>3182</v>
      </c>
      <c r="K501" s="57" t="s">
        <v>3183</v>
      </c>
      <c r="L501" s="57" t="s">
        <v>3184</v>
      </c>
      <c r="M501" s="57" t="s">
        <v>3185</v>
      </c>
    </row>
    <row r="502" ht="28" spans="1:13">
      <c r="A502" s="178" t="str">
        <f t="shared" si="7"/>
        <v>Planning &amp; Organizing|Director|3</v>
      </c>
      <c r="B502" s="57" t="s">
        <v>445</v>
      </c>
      <c r="C502" s="177" t="s">
        <v>773</v>
      </c>
      <c r="D502" s="177">
        <v>3</v>
      </c>
      <c r="E502" s="177" t="s">
        <v>507</v>
      </c>
      <c r="F502" s="177">
        <v>3</v>
      </c>
      <c r="G502" s="57" t="s">
        <v>3186</v>
      </c>
      <c r="H502" s="57" t="s">
        <v>3187</v>
      </c>
      <c r="I502" s="57" t="s">
        <v>3188</v>
      </c>
      <c r="J502" s="57" t="s">
        <v>3189</v>
      </c>
      <c r="K502" s="57" t="s">
        <v>3190</v>
      </c>
      <c r="L502" s="57" t="s">
        <v>3191</v>
      </c>
      <c r="M502" s="57" t="s">
        <v>3192</v>
      </c>
    </row>
    <row r="503" ht="28" spans="1:13">
      <c r="A503" s="178" t="str">
        <f t="shared" si="7"/>
        <v>Planning &amp; Organizing|Director|4</v>
      </c>
      <c r="B503" s="57" t="s">
        <v>445</v>
      </c>
      <c r="C503" s="177" t="s">
        <v>773</v>
      </c>
      <c r="D503" s="177">
        <v>4</v>
      </c>
      <c r="E503" s="177" t="s">
        <v>523</v>
      </c>
      <c r="F503" s="177">
        <v>1</v>
      </c>
      <c r="G503" s="57" t="s">
        <v>3193</v>
      </c>
      <c r="H503" s="57" t="s">
        <v>3194</v>
      </c>
      <c r="I503" s="57" t="s">
        <v>3195</v>
      </c>
      <c r="J503" s="57" t="s">
        <v>3196</v>
      </c>
      <c r="K503" s="57" t="s">
        <v>3197</v>
      </c>
      <c r="L503" s="57" t="s">
        <v>3198</v>
      </c>
      <c r="M503" s="57" t="s">
        <v>3199</v>
      </c>
    </row>
    <row r="504" ht="28" spans="1:13">
      <c r="A504" s="178" t="str">
        <f t="shared" si="7"/>
        <v>Planning &amp; Organizing|Director|4</v>
      </c>
      <c r="B504" s="57" t="s">
        <v>445</v>
      </c>
      <c r="C504" s="177" t="s">
        <v>773</v>
      </c>
      <c r="D504" s="177">
        <v>4</v>
      </c>
      <c r="E504" s="177" t="s">
        <v>523</v>
      </c>
      <c r="F504" s="177">
        <v>2</v>
      </c>
      <c r="G504" s="57" t="s">
        <v>3200</v>
      </c>
      <c r="H504" s="57" t="s">
        <v>3201</v>
      </c>
      <c r="I504" s="57" t="s">
        <v>3202</v>
      </c>
      <c r="J504" s="57" t="s">
        <v>3203</v>
      </c>
      <c r="K504" s="57" t="s">
        <v>3204</v>
      </c>
      <c r="L504" s="57" t="s">
        <v>3205</v>
      </c>
      <c r="M504" s="57" t="s">
        <v>3206</v>
      </c>
    </row>
    <row r="505" ht="28" spans="1:13">
      <c r="A505" s="178" t="str">
        <f t="shared" si="7"/>
        <v>Planning &amp; Organizing|Director|4</v>
      </c>
      <c r="B505" s="57" t="s">
        <v>445</v>
      </c>
      <c r="C505" s="177" t="s">
        <v>773</v>
      </c>
      <c r="D505" s="177">
        <v>4</v>
      </c>
      <c r="E505" s="177" t="s">
        <v>523</v>
      </c>
      <c r="F505" s="177">
        <v>3</v>
      </c>
      <c r="G505" s="57" t="s">
        <v>3207</v>
      </c>
      <c r="H505" s="57" t="s">
        <v>3208</v>
      </c>
      <c r="I505" s="57" t="s">
        <v>3209</v>
      </c>
      <c r="J505" s="57" t="s">
        <v>3210</v>
      </c>
      <c r="K505" s="57" t="s">
        <v>3211</v>
      </c>
      <c r="L505" s="57" t="s">
        <v>3212</v>
      </c>
      <c r="M505" s="57" t="s">
        <v>3213</v>
      </c>
    </row>
    <row r="506" ht="28" spans="1:13">
      <c r="A506" s="178" t="str">
        <f t="shared" si="7"/>
        <v>Problem Solving &amp; Decision Making|Officer|1</v>
      </c>
      <c r="B506" s="57" t="s">
        <v>446</v>
      </c>
      <c r="C506" s="177" t="s">
        <v>6</v>
      </c>
      <c r="D506" s="177">
        <v>1</v>
      </c>
      <c r="E506" s="177" t="s">
        <v>473</v>
      </c>
      <c r="F506" s="177">
        <v>1</v>
      </c>
      <c r="G506" s="57" t="s">
        <v>3214</v>
      </c>
      <c r="H506" s="57" t="s">
        <v>3215</v>
      </c>
      <c r="I506" s="57" t="s">
        <v>3216</v>
      </c>
      <c r="J506" s="57" t="s">
        <v>3217</v>
      </c>
      <c r="K506" s="57" t="s">
        <v>3218</v>
      </c>
      <c r="L506" s="57" t="s">
        <v>3219</v>
      </c>
      <c r="M506" s="57" t="s">
        <v>3220</v>
      </c>
    </row>
    <row r="507" ht="28" spans="1:13">
      <c r="A507" s="178" t="str">
        <f t="shared" si="7"/>
        <v>Problem Solving &amp; Decision Making|Officer|1</v>
      </c>
      <c r="B507" s="57" t="s">
        <v>446</v>
      </c>
      <c r="C507" s="177" t="s">
        <v>6</v>
      </c>
      <c r="D507" s="177">
        <v>1</v>
      </c>
      <c r="E507" s="177" t="s">
        <v>473</v>
      </c>
      <c r="F507" s="177">
        <v>2</v>
      </c>
      <c r="G507" s="57" t="s">
        <v>3221</v>
      </c>
      <c r="H507" s="57" t="s">
        <v>3222</v>
      </c>
      <c r="I507" s="57" t="s">
        <v>3223</v>
      </c>
      <c r="J507" s="57" t="s">
        <v>3224</v>
      </c>
      <c r="K507" s="57" t="s">
        <v>3225</v>
      </c>
      <c r="L507" s="57" t="s">
        <v>3226</v>
      </c>
      <c r="M507" s="57" t="s">
        <v>3227</v>
      </c>
    </row>
    <row r="508" ht="28" spans="1:13">
      <c r="A508" s="178" t="str">
        <f t="shared" si="7"/>
        <v>Problem Solving &amp; Decision Making|Officer|1</v>
      </c>
      <c r="B508" s="57" t="s">
        <v>446</v>
      </c>
      <c r="C508" s="177" t="s">
        <v>6</v>
      </c>
      <c r="D508" s="177">
        <v>1</v>
      </c>
      <c r="E508" s="177" t="s">
        <v>473</v>
      </c>
      <c r="F508" s="177">
        <v>3</v>
      </c>
      <c r="G508" s="57" t="s">
        <v>3228</v>
      </c>
      <c r="H508" s="57" t="s">
        <v>3229</v>
      </c>
      <c r="I508" s="57" t="s">
        <v>3230</v>
      </c>
      <c r="J508" s="57" t="s">
        <v>3231</v>
      </c>
      <c r="K508" s="57" t="s">
        <v>3232</v>
      </c>
      <c r="L508" s="57" t="s">
        <v>3233</v>
      </c>
      <c r="M508" s="57" t="s">
        <v>3234</v>
      </c>
    </row>
    <row r="509" ht="28" spans="1:13">
      <c r="A509" s="178" t="str">
        <f t="shared" si="7"/>
        <v>Problem Solving &amp; Decision Making|Officer|2</v>
      </c>
      <c r="B509" s="57" t="s">
        <v>446</v>
      </c>
      <c r="C509" s="177" t="s">
        <v>6</v>
      </c>
      <c r="D509" s="177">
        <v>2</v>
      </c>
      <c r="E509" s="177" t="s">
        <v>491</v>
      </c>
      <c r="F509" s="177">
        <v>1</v>
      </c>
      <c r="G509" s="57" t="s">
        <v>3235</v>
      </c>
      <c r="H509" s="57" t="s">
        <v>3236</v>
      </c>
      <c r="I509" s="57" t="s">
        <v>3237</v>
      </c>
      <c r="J509" s="57" t="s">
        <v>3238</v>
      </c>
      <c r="K509" s="57" t="s">
        <v>3239</v>
      </c>
      <c r="L509" s="57" t="s">
        <v>3240</v>
      </c>
      <c r="M509" s="57" t="s">
        <v>3241</v>
      </c>
    </row>
    <row r="510" ht="28" spans="1:13">
      <c r="A510" s="178" t="str">
        <f t="shared" si="7"/>
        <v>Problem Solving &amp; Decision Making|Officer|2</v>
      </c>
      <c r="B510" s="57" t="s">
        <v>446</v>
      </c>
      <c r="C510" s="177" t="s">
        <v>6</v>
      </c>
      <c r="D510" s="177">
        <v>2</v>
      </c>
      <c r="E510" s="177" t="s">
        <v>491</v>
      </c>
      <c r="F510" s="177">
        <v>2</v>
      </c>
      <c r="G510" s="57" t="s">
        <v>3242</v>
      </c>
      <c r="H510" s="57" t="s">
        <v>3243</v>
      </c>
      <c r="I510" s="57" t="s">
        <v>3244</v>
      </c>
      <c r="J510" s="57" t="s">
        <v>3245</v>
      </c>
      <c r="K510" s="57" t="s">
        <v>3246</v>
      </c>
      <c r="L510" s="57" t="s">
        <v>3247</v>
      </c>
      <c r="M510" s="57" t="s">
        <v>3248</v>
      </c>
    </row>
    <row r="511" ht="28" spans="1:13">
      <c r="A511" s="178" t="str">
        <f t="shared" si="7"/>
        <v>Problem Solving &amp; Decision Making|Officer|2</v>
      </c>
      <c r="B511" s="57" t="s">
        <v>446</v>
      </c>
      <c r="C511" s="177" t="s">
        <v>6</v>
      </c>
      <c r="D511" s="177">
        <v>2</v>
      </c>
      <c r="E511" s="177" t="s">
        <v>491</v>
      </c>
      <c r="F511" s="177">
        <v>3</v>
      </c>
      <c r="G511" s="57" t="s">
        <v>3249</v>
      </c>
      <c r="H511" s="57" t="s">
        <v>3250</v>
      </c>
      <c r="I511" s="57" t="s">
        <v>3251</v>
      </c>
      <c r="J511" s="57" t="s">
        <v>3252</v>
      </c>
      <c r="K511" s="57" t="s">
        <v>3253</v>
      </c>
      <c r="L511" s="57" t="s">
        <v>3254</v>
      </c>
      <c r="M511" s="57" t="s">
        <v>3255</v>
      </c>
    </row>
    <row r="512" ht="28" spans="1:13">
      <c r="A512" s="178" t="str">
        <f t="shared" si="7"/>
        <v>Problem Solving &amp; Decision Making|Officer|3</v>
      </c>
      <c r="B512" s="57" t="s">
        <v>446</v>
      </c>
      <c r="C512" s="177" t="s">
        <v>6</v>
      </c>
      <c r="D512" s="177">
        <v>3</v>
      </c>
      <c r="E512" s="177" t="s">
        <v>507</v>
      </c>
      <c r="F512" s="177">
        <v>1</v>
      </c>
      <c r="G512" s="57" t="s">
        <v>3256</v>
      </c>
      <c r="H512" s="57" t="s">
        <v>3257</v>
      </c>
      <c r="I512" s="57" t="s">
        <v>3258</v>
      </c>
      <c r="J512" s="57" t="s">
        <v>3259</v>
      </c>
      <c r="K512" s="57" t="s">
        <v>3260</v>
      </c>
      <c r="L512" s="57" t="s">
        <v>3261</v>
      </c>
      <c r="M512" s="57" t="s">
        <v>3262</v>
      </c>
    </row>
    <row r="513" ht="28" spans="1:13">
      <c r="A513" s="178" t="str">
        <f t="shared" si="7"/>
        <v>Problem Solving &amp; Decision Making|Officer|3</v>
      </c>
      <c r="B513" s="57" t="s">
        <v>446</v>
      </c>
      <c r="C513" s="177" t="s">
        <v>6</v>
      </c>
      <c r="D513" s="177">
        <v>3</v>
      </c>
      <c r="E513" s="177" t="s">
        <v>507</v>
      </c>
      <c r="F513" s="177">
        <v>2</v>
      </c>
      <c r="G513" s="57" t="s">
        <v>3263</v>
      </c>
      <c r="H513" s="57" t="s">
        <v>3264</v>
      </c>
      <c r="I513" s="57" t="s">
        <v>3265</v>
      </c>
      <c r="J513" s="57" t="s">
        <v>3266</v>
      </c>
      <c r="K513" s="57" t="s">
        <v>3267</v>
      </c>
      <c r="L513" s="57" t="s">
        <v>3268</v>
      </c>
      <c r="M513" s="57" t="s">
        <v>3269</v>
      </c>
    </row>
    <row r="514" ht="28" spans="1:13">
      <c r="A514" s="178" t="str">
        <f t="shared" si="7"/>
        <v>Problem Solving &amp; Decision Making|Officer|3</v>
      </c>
      <c r="B514" s="57" t="s">
        <v>446</v>
      </c>
      <c r="C514" s="177" t="s">
        <v>6</v>
      </c>
      <c r="D514" s="177">
        <v>3</v>
      </c>
      <c r="E514" s="177" t="s">
        <v>507</v>
      </c>
      <c r="F514" s="177">
        <v>3</v>
      </c>
      <c r="G514" s="57" t="s">
        <v>3270</v>
      </c>
      <c r="H514" s="57" t="s">
        <v>3271</v>
      </c>
      <c r="I514" s="57" t="s">
        <v>3272</v>
      </c>
      <c r="J514" s="57" t="s">
        <v>3273</v>
      </c>
      <c r="K514" s="57" t="s">
        <v>3274</v>
      </c>
      <c r="L514" s="57" t="s">
        <v>3275</v>
      </c>
      <c r="M514" s="57" t="s">
        <v>3276</v>
      </c>
    </row>
    <row r="515" ht="28" spans="1:13">
      <c r="A515" s="178" t="str">
        <f t="shared" ref="A515:A578" si="8">B515&amp;"|"&amp;C515&amp;"|"&amp;D515</f>
        <v>Problem Solving &amp; Decision Making|Officer|4</v>
      </c>
      <c r="B515" s="57" t="s">
        <v>446</v>
      </c>
      <c r="C515" s="177" t="s">
        <v>6</v>
      </c>
      <c r="D515" s="177">
        <v>4</v>
      </c>
      <c r="E515" s="177" t="s">
        <v>523</v>
      </c>
      <c r="F515" s="177">
        <v>1</v>
      </c>
      <c r="G515" s="57" t="s">
        <v>3277</v>
      </c>
      <c r="H515" s="57" t="s">
        <v>3278</v>
      </c>
      <c r="I515" s="57" t="s">
        <v>3279</v>
      </c>
      <c r="J515" s="57" t="s">
        <v>3280</v>
      </c>
      <c r="K515" s="57" t="s">
        <v>3281</v>
      </c>
      <c r="L515" s="57" t="s">
        <v>3282</v>
      </c>
      <c r="M515" s="57" t="s">
        <v>3283</v>
      </c>
    </row>
    <row r="516" ht="28" spans="1:13">
      <c r="A516" s="178" t="str">
        <f t="shared" si="8"/>
        <v>Problem Solving &amp; Decision Making|Officer|4</v>
      </c>
      <c r="B516" s="57" t="s">
        <v>446</v>
      </c>
      <c r="C516" s="177" t="s">
        <v>6</v>
      </c>
      <c r="D516" s="177">
        <v>4</v>
      </c>
      <c r="E516" s="177" t="s">
        <v>523</v>
      </c>
      <c r="F516" s="177">
        <v>2</v>
      </c>
      <c r="G516" s="57" t="s">
        <v>3284</v>
      </c>
      <c r="H516" s="57" t="s">
        <v>3285</v>
      </c>
      <c r="I516" s="57" t="s">
        <v>3286</v>
      </c>
      <c r="J516" s="57" t="s">
        <v>3287</v>
      </c>
      <c r="K516" s="57" t="s">
        <v>3288</v>
      </c>
      <c r="L516" s="57" t="s">
        <v>3289</v>
      </c>
      <c r="M516" s="57" t="s">
        <v>3290</v>
      </c>
    </row>
    <row r="517" ht="28" spans="1:13">
      <c r="A517" s="178" t="str">
        <f t="shared" si="8"/>
        <v>Problem Solving &amp; Decision Making|Officer|4</v>
      </c>
      <c r="B517" s="57" t="s">
        <v>446</v>
      </c>
      <c r="C517" s="177" t="s">
        <v>6</v>
      </c>
      <c r="D517" s="177">
        <v>4</v>
      </c>
      <c r="E517" s="177" t="s">
        <v>523</v>
      </c>
      <c r="F517" s="177">
        <v>3</v>
      </c>
      <c r="G517" s="57" t="s">
        <v>3291</v>
      </c>
      <c r="H517" s="57" t="s">
        <v>3292</v>
      </c>
      <c r="I517" s="57" t="s">
        <v>3293</v>
      </c>
      <c r="J517" s="57" t="s">
        <v>3294</v>
      </c>
      <c r="K517" s="57" t="s">
        <v>3295</v>
      </c>
      <c r="L517" s="57" t="s">
        <v>3296</v>
      </c>
      <c r="M517" s="57" t="s">
        <v>3297</v>
      </c>
    </row>
    <row r="518" ht="28" spans="1:13">
      <c r="A518" s="178" t="str">
        <f t="shared" si="8"/>
        <v>Problem Solving &amp; Decision Making|Analyst|1</v>
      </c>
      <c r="B518" s="57" t="s">
        <v>446</v>
      </c>
      <c r="C518" s="177" t="s">
        <v>8</v>
      </c>
      <c r="D518" s="177">
        <v>1</v>
      </c>
      <c r="E518" s="177" t="s">
        <v>473</v>
      </c>
      <c r="F518" s="177">
        <v>1</v>
      </c>
      <c r="G518" s="57" t="s">
        <v>3298</v>
      </c>
      <c r="H518" s="57" t="s">
        <v>3299</v>
      </c>
      <c r="I518" s="57" t="s">
        <v>3300</v>
      </c>
      <c r="J518" s="57" t="s">
        <v>3301</v>
      </c>
      <c r="K518" s="57" t="s">
        <v>3302</v>
      </c>
      <c r="L518" s="57" t="s">
        <v>3303</v>
      </c>
      <c r="M518" s="57" t="s">
        <v>3304</v>
      </c>
    </row>
    <row r="519" ht="28" spans="1:13">
      <c r="A519" s="178" t="str">
        <f t="shared" si="8"/>
        <v>Problem Solving &amp; Decision Making|Analyst|1</v>
      </c>
      <c r="B519" s="57" t="s">
        <v>446</v>
      </c>
      <c r="C519" s="177" t="s">
        <v>8</v>
      </c>
      <c r="D519" s="177">
        <v>1</v>
      </c>
      <c r="E519" s="177" t="s">
        <v>473</v>
      </c>
      <c r="F519" s="177">
        <v>2</v>
      </c>
      <c r="G519" s="57" t="s">
        <v>3305</v>
      </c>
      <c r="H519" s="57" t="s">
        <v>3306</v>
      </c>
      <c r="I519" s="57" t="s">
        <v>3307</v>
      </c>
      <c r="J519" s="57" t="s">
        <v>3308</v>
      </c>
      <c r="K519" s="57" t="s">
        <v>3309</v>
      </c>
      <c r="L519" s="57" t="s">
        <v>3310</v>
      </c>
      <c r="M519" s="57" t="s">
        <v>3311</v>
      </c>
    </row>
    <row r="520" ht="28" spans="1:13">
      <c r="A520" s="178" t="str">
        <f t="shared" si="8"/>
        <v>Problem Solving &amp; Decision Making|Analyst|1</v>
      </c>
      <c r="B520" s="57" t="s">
        <v>446</v>
      </c>
      <c r="C520" s="177" t="s">
        <v>8</v>
      </c>
      <c r="D520" s="177">
        <v>1</v>
      </c>
      <c r="E520" s="177" t="s">
        <v>473</v>
      </c>
      <c r="F520" s="177">
        <v>3</v>
      </c>
      <c r="G520" s="57" t="s">
        <v>3312</v>
      </c>
      <c r="H520" s="57" t="s">
        <v>3313</v>
      </c>
      <c r="I520" s="57" t="s">
        <v>3314</v>
      </c>
      <c r="J520" s="57" t="s">
        <v>3315</v>
      </c>
      <c r="K520" s="57" t="s">
        <v>3316</v>
      </c>
      <c r="L520" s="57" t="s">
        <v>3317</v>
      </c>
      <c r="M520" s="57" t="s">
        <v>3318</v>
      </c>
    </row>
    <row r="521" ht="28" spans="1:13">
      <c r="A521" s="178" t="str">
        <f t="shared" si="8"/>
        <v>Problem Solving &amp; Decision Making|Analyst|2</v>
      </c>
      <c r="B521" s="57" t="s">
        <v>446</v>
      </c>
      <c r="C521" s="177" t="s">
        <v>8</v>
      </c>
      <c r="D521" s="177">
        <v>2</v>
      </c>
      <c r="E521" s="177" t="s">
        <v>491</v>
      </c>
      <c r="F521" s="177">
        <v>1</v>
      </c>
      <c r="G521" s="57" t="s">
        <v>3319</v>
      </c>
      <c r="H521" s="57" t="s">
        <v>3320</v>
      </c>
      <c r="I521" s="57" t="s">
        <v>3321</v>
      </c>
      <c r="J521" s="57" t="s">
        <v>3322</v>
      </c>
      <c r="K521" s="57" t="s">
        <v>3323</v>
      </c>
      <c r="L521" s="57" t="s">
        <v>3324</v>
      </c>
      <c r="M521" s="57" t="s">
        <v>3325</v>
      </c>
    </row>
    <row r="522" ht="28" spans="1:13">
      <c r="A522" s="178" t="str">
        <f t="shared" si="8"/>
        <v>Problem Solving &amp; Decision Making|Analyst|2</v>
      </c>
      <c r="B522" s="57" t="s">
        <v>446</v>
      </c>
      <c r="C522" s="177" t="s">
        <v>8</v>
      </c>
      <c r="D522" s="177">
        <v>2</v>
      </c>
      <c r="E522" s="177" t="s">
        <v>491</v>
      </c>
      <c r="F522" s="177">
        <v>2</v>
      </c>
      <c r="G522" s="57" t="s">
        <v>3326</v>
      </c>
      <c r="H522" s="57" t="s">
        <v>3327</v>
      </c>
      <c r="I522" s="57" t="s">
        <v>3328</v>
      </c>
      <c r="J522" s="57" t="s">
        <v>3329</v>
      </c>
      <c r="K522" s="57" t="s">
        <v>3330</v>
      </c>
      <c r="L522" s="57" t="s">
        <v>3331</v>
      </c>
      <c r="M522" s="57" t="s">
        <v>3332</v>
      </c>
    </row>
    <row r="523" ht="28" spans="1:13">
      <c r="A523" s="178" t="str">
        <f t="shared" si="8"/>
        <v>Problem Solving &amp; Decision Making|Analyst|2</v>
      </c>
      <c r="B523" s="57" t="s">
        <v>446</v>
      </c>
      <c r="C523" s="177" t="s">
        <v>8</v>
      </c>
      <c r="D523" s="177">
        <v>2</v>
      </c>
      <c r="E523" s="177" t="s">
        <v>491</v>
      </c>
      <c r="F523" s="177">
        <v>3</v>
      </c>
      <c r="G523" s="57" t="s">
        <v>3333</v>
      </c>
      <c r="H523" s="57" t="s">
        <v>3334</v>
      </c>
      <c r="I523" s="57" t="s">
        <v>3335</v>
      </c>
      <c r="J523" s="57" t="s">
        <v>3336</v>
      </c>
      <c r="K523" s="57" t="s">
        <v>3337</v>
      </c>
      <c r="L523" s="57" t="s">
        <v>3338</v>
      </c>
      <c r="M523" s="57" t="s">
        <v>3339</v>
      </c>
    </row>
    <row r="524" ht="28" spans="1:13">
      <c r="A524" s="178" t="str">
        <f t="shared" si="8"/>
        <v>Problem Solving &amp; Decision Making|Analyst|3</v>
      </c>
      <c r="B524" s="57" t="s">
        <v>446</v>
      </c>
      <c r="C524" s="177" t="s">
        <v>8</v>
      </c>
      <c r="D524" s="177">
        <v>3</v>
      </c>
      <c r="E524" s="177" t="s">
        <v>507</v>
      </c>
      <c r="F524" s="177">
        <v>1</v>
      </c>
      <c r="G524" s="57" t="s">
        <v>3340</v>
      </c>
      <c r="H524" s="57" t="s">
        <v>3341</v>
      </c>
      <c r="I524" s="57" t="s">
        <v>3342</v>
      </c>
      <c r="J524" s="57" t="s">
        <v>3343</v>
      </c>
      <c r="K524" s="57" t="s">
        <v>3344</v>
      </c>
      <c r="L524" s="57" t="s">
        <v>3345</v>
      </c>
      <c r="M524" s="57" t="s">
        <v>3346</v>
      </c>
    </row>
    <row r="525" ht="28" spans="1:13">
      <c r="A525" s="178" t="str">
        <f t="shared" si="8"/>
        <v>Problem Solving &amp; Decision Making|Analyst|3</v>
      </c>
      <c r="B525" s="57" t="s">
        <v>446</v>
      </c>
      <c r="C525" s="177" t="s">
        <v>8</v>
      </c>
      <c r="D525" s="177">
        <v>3</v>
      </c>
      <c r="E525" s="177" t="s">
        <v>507</v>
      </c>
      <c r="F525" s="177">
        <v>2</v>
      </c>
      <c r="G525" s="57" t="s">
        <v>3347</v>
      </c>
      <c r="H525" s="57" t="s">
        <v>3348</v>
      </c>
      <c r="I525" s="57" t="s">
        <v>3349</v>
      </c>
      <c r="J525" s="57" t="s">
        <v>3350</v>
      </c>
      <c r="K525" s="57" t="s">
        <v>3351</v>
      </c>
      <c r="L525" s="57" t="s">
        <v>3352</v>
      </c>
      <c r="M525" s="57" t="s">
        <v>3353</v>
      </c>
    </row>
    <row r="526" ht="28" spans="1:13">
      <c r="A526" s="178" t="str">
        <f t="shared" si="8"/>
        <v>Problem Solving &amp; Decision Making|Analyst|3</v>
      </c>
      <c r="B526" s="57" t="s">
        <v>446</v>
      </c>
      <c r="C526" s="177" t="s">
        <v>8</v>
      </c>
      <c r="D526" s="177">
        <v>3</v>
      </c>
      <c r="E526" s="177" t="s">
        <v>507</v>
      </c>
      <c r="F526" s="177">
        <v>3</v>
      </c>
      <c r="G526" s="57" t="s">
        <v>3354</v>
      </c>
      <c r="H526" s="57" t="s">
        <v>3355</v>
      </c>
      <c r="I526" s="57" t="s">
        <v>3356</v>
      </c>
      <c r="J526" s="57" t="s">
        <v>3357</v>
      </c>
      <c r="K526" s="57" t="s">
        <v>3358</v>
      </c>
      <c r="L526" s="57" t="s">
        <v>3359</v>
      </c>
      <c r="M526" s="57" t="s">
        <v>3360</v>
      </c>
    </row>
    <row r="527" ht="28" spans="1:13">
      <c r="A527" s="178" t="str">
        <f t="shared" si="8"/>
        <v>Problem Solving &amp; Decision Making|Analyst|4</v>
      </c>
      <c r="B527" s="57" t="s">
        <v>446</v>
      </c>
      <c r="C527" s="177" t="s">
        <v>8</v>
      </c>
      <c r="D527" s="177">
        <v>4</v>
      </c>
      <c r="E527" s="177" t="s">
        <v>523</v>
      </c>
      <c r="F527" s="177">
        <v>1</v>
      </c>
      <c r="G527" s="57" t="s">
        <v>3361</v>
      </c>
      <c r="H527" s="57" t="s">
        <v>3362</v>
      </c>
      <c r="I527" s="57" t="s">
        <v>3363</v>
      </c>
      <c r="J527" s="57" t="s">
        <v>3364</v>
      </c>
      <c r="K527" s="57" t="s">
        <v>3365</v>
      </c>
      <c r="L527" s="57" t="s">
        <v>3366</v>
      </c>
      <c r="M527" s="57" t="s">
        <v>3367</v>
      </c>
    </row>
    <row r="528" ht="28" spans="1:13">
      <c r="A528" s="178" t="str">
        <f t="shared" si="8"/>
        <v>Problem Solving &amp; Decision Making|Analyst|4</v>
      </c>
      <c r="B528" s="57" t="s">
        <v>446</v>
      </c>
      <c r="C528" s="177" t="s">
        <v>8</v>
      </c>
      <c r="D528" s="177">
        <v>4</v>
      </c>
      <c r="E528" s="177" t="s">
        <v>523</v>
      </c>
      <c r="F528" s="177">
        <v>2</v>
      </c>
      <c r="G528" s="57" t="s">
        <v>3368</v>
      </c>
      <c r="H528" s="57" t="s">
        <v>3369</v>
      </c>
      <c r="I528" s="57" t="s">
        <v>3370</v>
      </c>
      <c r="J528" s="57" t="s">
        <v>3371</v>
      </c>
      <c r="K528" s="57" t="s">
        <v>3372</v>
      </c>
      <c r="L528" s="57" t="s">
        <v>3373</v>
      </c>
      <c r="M528" s="57" t="s">
        <v>3374</v>
      </c>
    </row>
    <row r="529" ht="28" spans="1:13">
      <c r="A529" s="178" t="str">
        <f t="shared" si="8"/>
        <v>Problem Solving &amp; Decision Making|Analyst|4</v>
      </c>
      <c r="B529" s="57" t="s">
        <v>446</v>
      </c>
      <c r="C529" s="177" t="s">
        <v>8</v>
      </c>
      <c r="D529" s="177">
        <v>4</v>
      </c>
      <c r="E529" s="177" t="s">
        <v>523</v>
      </c>
      <c r="F529" s="177">
        <v>3</v>
      </c>
      <c r="G529" s="57" t="s">
        <v>3375</v>
      </c>
      <c r="H529" s="57" t="s">
        <v>3376</v>
      </c>
      <c r="I529" s="57" t="s">
        <v>3377</v>
      </c>
      <c r="J529" s="57" t="s">
        <v>3378</v>
      </c>
      <c r="K529" s="57" t="s">
        <v>3379</v>
      </c>
      <c r="L529" s="57" t="s">
        <v>3380</v>
      </c>
      <c r="M529" s="57" t="s">
        <v>3381</v>
      </c>
    </row>
    <row r="530" ht="42" spans="1:13">
      <c r="A530" s="178" t="str">
        <f t="shared" si="8"/>
        <v>Problem Solving &amp; Decision Making|Unit Head/Specialist|1</v>
      </c>
      <c r="B530" s="57" t="s">
        <v>446</v>
      </c>
      <c r="C530" s="177" t="s">
        <v>18</v>
      </c>
      <c r="D530" s="177">
        <v>1</v>
      </c>
      <c r="E530" s="177" t="s">
        <v>473</v>
      </c>
      <c r="F530" s="177">
        <v>1</v>
      </c>
      <c r="G530" s="57" t="s">
        <v>3382</v>
      </c>
      <c r="H530" s="57" t="s">
        <v>3383</v>
      </c>
      <c r="I530" s="57" t="s">
        <v>3384</v>
      </c>
      <c r="J530" s="57" t="s">
        <v>3385</v>
      </c>
      <c r="K530" s="57" t="s">
        <v>3386</v>
      </c>
      <c r="L530" s="57" t="s">
        <v>3387</v>
      </c>
      <c r="M530" s="57" t="s">
        <v>3388</v>
      </c>
    </row>
    <row r="531" ht="42" spans="1:13">
      <c r="A531" s="178" t="str">
        <f t="shared" si="8"/>
        <v>Problem Solving &amp; Decision Making|Unit Head/Specialist|1</v>
      </c>
      <c r="B531" s="57" t="s">
        <v>446</v>
      </c>
      <c r="C531" s="177" t="s">
        <v>18</v>
      </c>
      <c r="D531" s="177">
        <v>1</v>
      </c>
      <c r="E531" s="177" t="s">
        <v>473</v>
      </c>
      <c r="F531" s="177">
        <v>2</v>
      </c>
      <c r="G531" s="57" t="s">
        <v>3389</v>
      </c>
      <c r="H531" s="57" t="s">
        <v>3390</v>
      </c>
      <c r="I531" s="57" t="s">
        <v>3391</v>
      </c>
      <c r="J531" s="57" t="s">
        <v>3392</v>
      </c>
      <c r="K531" s="57" t="s">
        <v>3393</v>
      </c>
      <c r="L531" s="57" t="s">
        <v>3394</v>
      </c>
      <c r="M531" s="57" t="s">
        <v>3395</v>
      </c>
    </row>
    <row r="532" ht="42" spans="1:13">
      <c r="A532" s="178" t="str">
        <f t="shared" si="8"/>
        <v>Problem Solving &amp; Decision Making|Unit Head/Specialist|1</v>
      </c>
      <c r="B532" s="57" t="s">
        <v>446</v>
      </c>
      <c r="C532" s="177" t="s">
        <v>18</v>
      </c>
      <c r="D532" s="177">
        <v>1</v>
      </c>
      <c r="E532" s="177" t="s">
        <v>473</v>
      </c>
      <c r="F532" s="177">
        <v>3</v>
      </c>
      <c r="G532" s="57" t="s">
        <v>3396</v>
      </c>
      <c r="H532" s="57" t="s">
        <v>3397</v>
      </c>
      <c r="I532" s="57" t="s">
        <v>3398</v>
      </c>
      <c r="J532" s="57" t="s">
        <v>3399</v>
      </c>
      <c r="K532" s="57" t="s">
        <v>3400</v>
      </c>
      <c r="L532" s="57" t="s">
        <v>3401</v>
      </c>
      <c r="M532" s="57" t="s">
        <v>3402</v>
      </c>
    </row>
    <row r="533" ht="42" spans="1:13">
      <c r="A533" s="178" t="str">
        <f t="shared" si="8"/>
        <v>Problem Solving &amp; Decision Making|Unit Head/Specialist|2</v>
      </c>
      <c r="B533" s="57" t="s">
        <v>446</v>
      </c>
      <c r="C533" s="177" t="s">
        <v>18</v>
      </c>
      <c r="D533" s="177">
        <v>2</v>
      </c>
      <c r="E533" s="177" t="s">
        <v>491</v>
      </c>
      <c r="F533" s="177">
        <v>1</v>
      </c>
      <c r="G533" s="57" t="s">
        <v>3403</v>
      </c>
      <c r="H533" s="57" t="s">
        <v>3404</v>
      </c>
      <c r="I533" s="57" t="s">
        <v>3405</v>
      </c>
      <c r="J533" s="57" t="s">
        <v>3406</v>
      </c>
      <c r="K533" s="57" t="s">
        <v>3407</v>
      </c>
      <c r="L533" s="57" t="s">
        <v>3408</v>
      </c>
      <c r="M533" s="57" t="s">
        <v>3409</v>
      </c>
    </row>
    <row r="534" ht="42" spans="1:13">
      <c r="A534" s="178" t="str">
        <f t="shared" si="8"/>
        <v>Problem Solving &amp; Decision Making|Unit Head/Specialist|2</v>
      </c>
      <c r="B534" s="57" t="s">
        <v>446</v>
      </c>
      <c r="C534" s="177" t="s">
        <v>18</v>
      </c>
      <c r="D534" s="177">
        <v>2</v>
      </c>
      <c r="E534" s="177" t="s">
        <v>491</v>
      </c>
      <c r="F534" s="177">
        <v>2</v>
      </c>
      <c r="G534" s="57" t="s">
        <v>3410</v>
      </c>
      <c r="H534" s="57" t="s">
        <v>3411</v>
      </c>
      <c r="I534" s="57" t="s">
        <v>3412</v>
      </c>
      <c r="J534" s="57" t="s">
        <v>3413</v>
      </c>
      <c r="K534" s="57" t="s">
        <v>3414</v>
      </c>
      <c r="L534" s="57" t="s">
        <v>3415</v>
      </c>
      <c r="M534" s="57" t="s">
        <v>3416</v>
      </c>
    </row>
    <row r="535" ht="42" spans="1:13">
      <c r="A535" s="178" t="str">
        <f t="shared" si="8"/>
        <v>Problem Solving &amp; Decision Making|Unit Head/Specialist|2</v>
      </c>
      <c r="B535" s="57" t="s">
        <v>446</v>
      </c>
      <c r="C535" s="177" t="s">
        <v>18</v>
      </c>
      <c r="D535" s="177">
        <v>2</v>
      </c>
      <c r="E535" s="177" t="s">
        <v>491</v>
      </c>
      <c r="F535" s="177">
        <v>3</v>
      </c>
      <c r="G535" s="57" t="s">
        <v>3417</v>
      </c>
      <c r="H535" s="57" t="s">
        <v>3418</v>
      </c>
      <c r="I535" s="57" t="s">
        <v>3419</v>
      </c>
      <c r="J535" s="57" t="s">
        <v>3420</v>
      </c>
      <c r="K535" s="57" t="s">
        <v>3421</v>
      </c>
      <c r="L535" s="57" t="s">
        <v>3422</v>
      </c>
      <c r="M535" s="57" t="s">
        <v>3423</v>
      </c>
    </row>
    <row r="536" ht="42" spans="1:13">
      <c r="A536" s="178" t="str">
        <f t="shared" si="8"/>
        <v>Problem Solving &amp; Decision Making|Unit Head/Specialist|3</v>
      </c>
      <c r="B536" s="57" t="s">
        <v>446</v>
      </c>
      <c r="C536" s="177" t="s">
        <v>18</v>
      </c>
      <c r="D536" s="177">
        <v>3</v>
      </c>
      <c r="E536" s="177" t="s">
        <v>507</v>
      </c>
      <c r="F536" s="177">
        <v>1</v>
      </c>
      <c r="G536" s="57" t="s">
        <v>3424</v>
      </c>
      <c r="H536" s="57" t="s">
        <v>3425</v>
      </c>
      <c r="I536" s="57" t="s">
        <v>3426</v>
      </c>
      <c r="J536" s="57" t="s">
        <v>3427</v>
      </c>
      <c r="K536" s="57" t="s">
        <v>3428</v>
      </c>
      <c r="L536" s="57" t="s">
        <v>3429</v>
      </c>
      <c r="M536" s="57" t="s">
        <v>3430</v>
      </c>
    </row>
    <row r="537" ht="42" spans="1:13">
      <c r="A537" s="178" t="str">
        <f t="shared" si="8"/>
        <v>Problem Solving &amp; Decision Making|Unit Head/Specialist|3</v>
      </c>
      <c r="B537" s="57" t="s">
        <v>446</v>
      </c>
      <c r="C537" s="177" t="s">
        <v>18</v>
      </c>
      <c r="D537" s="177">
        <v>3</v>
      </c>
      <c r="E537" s="177" t="s">
        <v>507</v>
      </c>
      <c r="F537" s="177">
        <v>2</v>
      </c>
      <c r="G537" s="57" t="s">
        <v>3431</v>
      </c>
      <c r="H537" s="57" t="s">
        <v>3432</v>
      </c>
      <c r="I537" s="57" t="s">
        <v>3433</v>
      </c>
      <c r="J537" s="57" t="s">
        <v>3434</v>
      </c>
      <c r="K537" s="57" t="s">
        <v>3435</v>
      </c>
      <c r="L537" s="57" t="s">
        <v>3436</v>
      </c>
      <c r="M537" s="57" t="s">
        <v>3437</v>
      </c>
    </row>
    <row r="538" ht="42" spans="1:13">
      <c r="A538" s="178" t="str">
        <f t="shared" si="8"/>
        <v>Problem Solving &amp; Decision Making|Unit Head/Specialist|3</v>
      </c>
      <c r="B538" s="57" t="s">
        <v>446</v>
      </c>
      <c r="C538" s="177" t="s">
        <v>18</v>
      </c>
      <c r="D538" s="177">
        <v>3</v>
      </c>
      <c r="E538" s="177" t="s">
        <v>507</v>
      </c>
      <c r="F538" s="177">
        <v>3</v>
      </c>
      <c r="G538" s="57" t="s">
        <v>3438</v>
      </c>
      <c r="H538" s="57" t="s">
        <v>3439</v>
      </c>
      <c r="I538" s="57" t="s">
        <v>3440</v>
      </c>
      <c r="J538" s="57" t="s">
        <v>3441</v>
      </c>
      <c r="K538" s="57" t="s">
        <v>3442</v>
      </c>
      <c r="L538" s="57" t="s">
        <v>3443</v>
      </c>
      <c r="M538" s="57" t="s">
        <v>3444</v>
      </c>
    </row>
    <row r="539" ht="42" spans="1:13">
      <c r="A539" s="178" t="str">
        <f t="shared" si="8"/>
        <v>Problem Solving &amp; Decision Making|Unit Head/Specialist|4</v>
      </c>
      <c r="B539" s="57" t="s">
        <v>446</v>
      </c>
      <c r="C539" s="177" t="s">
        <v>18</v>
      </c>
      <c r="D539" s="177">
        <v>4</v>
      </c>
      <c r="E539" s="177" t="s">
        <v>523</v>
      </c>
      <c r="F539" s="177">
        <v>1</v>
      </c>
      <c r="G539" s="57" t="s">
        <v>3445</v>
      </c>
      <c r="H539" s="57" t="s">
        <v>3446</v>
      </c>
      <c r="I539" s="57" t="s">
        <v>3447</v>
      </c>
      <c r="J539" s="57" t="s">
        <v>3448</v>
      </c>
      <c r="K539" s="57" t="s">
        <v>3449</v>
      </c>
      <c r="L539" s="57" t="s">
        <v>3450</v>
      </c>
      <c r="M539" s="57" t="s">
        <v>3451</v>
      </c>
    </row>
    <row r="540" ht="42" spans="1:13">
      <c r="A540" s="178" t="str">
        <f t="shared" si="8"/>
        <v>Problem Solving &amp; Decision Making|Unit Head/Specialist|4</v>
      </c>
      <c r="B540" s="57" t="s">
        <v>446</v>
      </c>
      <c r="C540" s="177" t="s">
        <v>18</v>
      </c>
      <c r="D540" s="177">
        <v>4</v>
      </c>
      <c r="E540" s="177" t="s">
        <v>523</v>
      </c>
      <c r="F540" s="177">
        <v>2</v>
      </c>
      <c r="G540" s="57" t="s">
        <v>3452</v>
      </c>
      <c r="H540" s="57" t="s">
        <v>3453</v>
      </c>
      <c r="I540" s="57" t="s">
        <v>3454</v>
      </c>
      <c r="J540" s="57" t="s">
        <v>3455</v>
      </c>
      <c r="K540" s="57" t="s">
        <v>3456</v>
      </c>
      <c r="L540" s="57" t="s">
        <v>3457</v>
      </c>
      <c r="M540" s="57" t="s">
        <v>3458</v>
      </c>
    </row>
    <row r="541" ht="42" spans="1:13">
      <c r="A541" s="178" t="str">
        <f t="shared" si="8"/>
        <v>Problem Solving &amp; Decision Making|Unit Head/Specialist|4</v>
      </c>
      <c r="B541" s="57" t="s">
        <v>446</v>
      </c>
      <c r="C541" s="177" t="s">
        <v>18</v>
      </c>
      <c r="D541" s="177">
        <v>4</v>
      </c>
      <c r="E541" s="177" t="s">
        <v>523</v>
      </c>
      <c r="F541" s="177">
        <v>3</v>
      </c>
      <c r="G541" s="57" t="s">
        <v>3459</v>
      </c>
      <c r="H541" s="57" t="s">
        <v>3460</v>
      </c>
      <c r="I541" s="57" t="s">
        <v>3461</v>
      </c>
      <c r="J541" s="57" t="s">
        <v>3462</v>
      </c>
      <c r="K541" s="57" t="s">
        <v>3463</v>
      </c>
      <c r="L541" s="57" t="s">
        <v>3464</v>
      </c>
      <c r="M541" s="57" t="s">
        <v>3465</v>
      </c>
    </row>
    <row r="542" ht="28" spans="1:13">
      <c r="A542" s="178" t="str">
        <f t="shared" si="8"/>
        <v>Problem Solving &amp; Decision Making|Department Head|1</v>
      </c>
      <c r="B542" s="57" t="s">
        <v>446</v>
      </c>
      <c r="C542" s="177" t="s">
        <v>655</v>
      </c>
      <c r="D542" s="177">
        <v>1</v>
      </c>
      <c r="E542" s="177" t="s">
        <v>473</v>
      </c>
      <c r="F542" s="177">
        <v>1</v>
      </c>
      <c r="G542" s="57" t="s">
        <v>3466</v>
      </c>
      <c r="H542" s="57" t="s">
        <v>3467</v>
      </c>
      <c r="I542" s="57" t="s">
        <v>3468</v>
      </c>
      <c r="J542" s="57" t="s">
        <v>3469</v>
      </c>
      <c r="K542" s="57" t="s">
        <v>3470</v>
      </c>
      <c r="L542" s="57" t="s">
        <v>3471</v>
      </c>
      <c r="M542" s="57" t="s">
        <v>3472</v>
      </c>
    </row>
    <row r="543" ht="28" spans="1:13">
      <c r="A543" s="178" t="str">
        <f t="shared" si="8"/>
        <v>Problem Solving &amp; Decision Making|Department Head|1</v>
      </c>
      <c r="B543" s="57" t="s">
        <v>446</v>
      </c>
      <c r="C543" s="177" t="s">
        <v>655</v>
      </c>
      <c r="D543" s="177">
        <v>1</v>
      </c>
      <c r="E543" s="177" t="s">
        <v>473</v>
      </c>
      <c r="F543" s="177">
        <v>2</v>
      </c>
      <c r="G543" s="57" t="s">
        <v>3473</v>
      </c>
      <c r="H543" s="57" t="s">
        <v>3474</v>
      </c>
      <c r="I543" s="57" t="s">
        <v>3475</v>
      </c>
      <c r="J543" s="57" t="s">
        <v>3476</v>
      </c>
      <c r="K543" s="57" t="s">
        <v>3477</v>
      </c>
      <c r="L543" s="57" t="s">
        <v>3478</v>
      </c>
      <c r="M543" s="57" t="s">
        <v>3479</v>
      </c>
    </row>
    <row r="544" ht="28" spans="1:13">
      <c r="A544" s="178" t="str">
        <f t="shared" si="8"/>
        <v>Problem Solving &amp; Decision Making|Department Head|1</v>
      </c>
      <c r="B544" s="57" t="s">
        <v>446</v>
      </c>
      <c r="C544" s="177" t="s">
        <v>655</v>
      </c>
      <c r="D544" s="177">
        <v>1</v>
      </c>
      <c r="E544" s="177" t="s">
        <v>473</v>
      </c>
      <c r="F544" s="177">
        <v>3</v>
      </c>
      <c r="G544" s="57" t="s">
        <v>3480</v>
      </c>
      <c r="H544" s="57" t="s">
        <v>3481</v>
      </c>
      <c r="I544" s="57" t="s">
        <v>3482</v>
      </c>
      <c r="J544" s="57" t="s">
        <v>3483</v>
      </c>
      <c r="K544" s="57" t="s">
        <v>3484</v>
      </c>
      <c r="L544" s="57" t="s">
        <v>3485</v>
      </c>
      <c r="M544" s="57" t="s">
        <v>3486</v>
      </c>
    </row>
    <row r="545" ht="28" spans="1:13">
      <c r="A545" s="178" t="str">
        <f t="shared" si="8"/>
        <v>Problem Solving &amp; Decision Making|Department Head|2</v>
      </c>
      <c r="B545" s="57" t="s">
        <v>446</v>
      </c>
      <c r="C545" s="177" t="s">
        <v>655</v>
      </c>
      <c r="D545" s="177">
        <v>2</v>
      </c>
      <c r="E545" s="177" t="s">
        <v>491</v>
      </c>
      <c r="F545" s="177">
        <v>1</v>
      </c>
      <c r="G545" s="57" t="s">
        <v>3487</v>
      </c>
      <c r="H545" s="57" t="s">
        <v>3488</v>
      </c>
      <c r="I545" s="57" t="s">
        <v>3489</v>
      </c>
      <c r="J545" s="57" t="s">
        <v>3490</v>
      </c>
      <c r="K545" s="57" t="s">
        <v>3491</v>
      </c>
      <c r="L545" s="57" t="s">
        <v>3492</v>
      </c>
      <c r="M545" s="57" t="s">
        <v>3493</v>
      </c>
    </row>
    <row r="546" ht="28" spans="1:13">
      <c r="A546" s="178" t="str">
        <f t="shared" si="8"/>
        <v>Problem Solving &amp; Decision Making|Department Head|2</v>
      </c>
      <c r="B546" s="57" t="s">
        <v>446</v>
      </c>
      <c r="C546" s="177" t="s">
        <v>655</v>
      </c>
      <c r="D546" s="177">
        <v>2</v>
      </c>
      <c r="E546" s="177" t="s">
        <v>491</v>
      </c>
      <c r="F546" s="177">
        <v>2</v>
      </c>
      <c r="G546" s="57" t="s">
        <v>3494</v>
      </c>
      <c r="H546" s="57" t="s">
        <v>3495</v>
      </c>
      <c r="I546" s="57" t="s">
        <v>3496</v>
      </c>
      <c r="J546" s="57" t="s">
        <v>3497</v>
      </c>
      <c r="K546" s="57" t="s">
        <v>3498</v>
      </c>
      <c r="L546" s="57" t="s">
        <v>3499</v>
      </c>
      <c r="M546" s="57" t="s">
        <v>3500</v>
      </c>
    </row>
    <row r="547" ht="28" spans="1:13">
      <c r="A547" s="178" t="str">
        <f t="shared" si="8"/>
        <v>Problem Solving &amp; Decision Making|Department Head|2</v>
      </c>
      <c r="B547" s="57" t="s">
        <v>446</v>
      </c>
      <c r="C547" s="177" t="s">
        <v>655</v>
      </c>
      <c r="D547" s="177">
        <v>2</v>
      </c>
      <c r="E547" s="177" t="s">
        <v>491</v>
      </c>
      <c r="F547" s="177">
        <v>3</v>
      </c>
      <c r="G547" s="57" t="s">
        <v>3501</v>
      </c>
      <c r="H547" s="57" t="s">
        <v>3502</v>
      </c>
      <c r="I547" s="57" t="s">
        <v>3503</v>
      </c>
      <c r="J547" s="57" t="s">
        <v>3504</v>
      </c>
      <c r="K547" s="57" t="s">
        <v>3505</v>
      </c>
      <c r="L547" s="57" t="s">
        <v>3506</v>
      </c>
      <c r="M547" s="57" t="s">
        <v>3507</v>
      </c>
    </row>
    <row r="548" ht="28" spans="1:13">
      <c r="A548" s="178" t="str">
        <f t="shared" si="8"/>
        <v>Problem Solving &amp; Decision Making|Department Head|3</v>
      </c>
      <c r="B548" s="57" t="s">
        <v>446</v>
      </c>
      <c r="C548" s="177" t="s">
        <v>655</v>
      </c>
      <c r="D548" s="177">
        <v>3</v>
      </c>
      <c r="E548" s="177" t="s">
        <v>507</v>
      </c>
      <c r="F548" s="177">
        <v>1</v>
      </c>
      <c r="G548" s="57" t="s">
        <v>3508</v>
      </c>
      <c r="H548" s="57" t="s">
        <v>3509</v>
      </c>
      <c r="I548" s="57" t="s">
        <v>3510</v>
      </c>
      <c r="J548" s="57" t="s">
        <v>3511</v>
      </c>
      <c r="K548" s="57" t="s">
        <v>3512</v>
      </c>
      <c r="L548" s="57" t="s">
        <v>3513</v>
      </c>
      <c r="M548" s="57" t="s">
        <v>3514</v>
      </c>
    </row>
    <row r="549" ht="28" spans="1:13">
      <c r="A549" s="178" t="str">
        <f t="shared" si="8"/>
        <v>Problem Solving &amp; Decision Making|Department Head|3</v>
      </c>
      <c r="B549" s="57" t="s">
        <v>446</v>
      </c>
      <c r="C549" s="177" t="s">
        <v>655</v>
      </c>
      <c r="D549" s="177">
        <v>3</v>
      </c>
      <c r="E549" s="177" t="s">
        <v>507</v>
      </c>
      <c r="F549" s="177">
        <v>2</v>
      </c>
      <c r="G549" s="57" t="s">
        <v>3515</v>
      </c>
      <c r="H549" s="57" t="s">
        <v>3516</v>
      </c>
      <c r="I549" s="57" t="s">
        <v>3517</v>
      </c>
      <c r="J549" s="57" t="s">
        <v>3518</v>
      </c>
      <c r="K549" s="57" t="s">
        <v>3519</v>
      </c>
      <c r="L549" s="57" t="s">
        <v>3520</v>
      </c>
      <c r="M549" s="57" t="s">
        <v>3521</v>
      </c>
    </row>
    <row r="550" ht="28" spans="1:13">
      <c r="A550" s="178" t="str">
        <f t="shared" si="8"/>
        <v>Problem Solving &amp; Decision Making|Department Head|3</v>
      </c>
      <c r="B550" s="57" t="s">
        <v>446</v>
      </c>
      <c r="C550" s="177" t="s">
        <v>655</v>
      </c>
      <c r="D550" s="177">
        <v>3</v>
      </c>
      <c r="E550" s="177" t="s">
        <v>507</v>
      </c>
      <c r="F550" s="177">
        <v>3</v>
      </c>
      <c r="G550" s="57" t="s">
        <v>3522</v>
      </c>
      <c r="H550" s="57" t="s">
        <v>3523</v>
      </c>
      <c r="I550" s="57" t="s">
        <v>3524</v>
      </c>
      <c r="J550" s="57" t="s">
        <v>3525</v>
      </c>
      <c r="K550" s="57" t="s">
        <v>3526</v>
      </c>
      <c r="L550" s="57" t="s">
        <v>3527</v>
      </c>
      <c r="M550" s="57" t="s">
        <v>3528</v>
      </c>
    </row>
    <row r="551" ht="28" spans="1:13">
      <c r="A551" s="178" t="str">
        <f t="shared" si="8"/>
        <v>Problem Solving &amp; Decision Making|Department Head|4</v>
      </c>
      <c r="B551" s="57" t="s">
        <v>446</v>
      </c>
      <c r="C551" s="177" t="s">
        <v>655</v>
      </c>
      <c r="D551" s="177">
        <v>4</v>
      </c>
      <c r="E551" s="177" t="s">
        <v>523</v>
      </c>
      <c r="F551" s="177">
        <v>1</v>
      </c>
      <c r="G551" s="57" t="s">
        <v>3529</v>
      </c>
      <c r="H551" s="57" t="s">
        <v>3530</v>
      </c>
      <c r="I551" s="57" t="s">
        <v>3531</v>
      </c>
      <c r="J551" s="57" t="s">
        <v>3532</v>
      </c>
      <c r="K551" s="57" t="s">
        <v>3533</v>
      </c>
      <c r="L551" s="57" t="s">
        <v>3534</v>
      </c>
      <c r="M551" s="57" t="s">
        <v>3535</v>
      </c>
    </row>
    <row r="552" ht="28" spans="1:13">
      <c r="A552" s="178" t="str">
        <f t="shared" si="8"/>
        <v>Problem Solving &amp; Decision Making|Department Head|4</v>
      </c>
      <c r="B552" s="57" t="s">
        <v>446</v>
      </c>
      <c r="C552" s="177" t="s">
        <v>655</v>
      </c>
      <c r="D552" s="177">
        <v>4</v>
      </c>
      <c r="E552" s="177" t="s">
        <v>523</v>
      </c>
      <c r="F552" s="177">
        <v>2</v>
      </c>
      <c r="G552" s="57" t="s">
        <v>3536</v>
      </c>
      <c r="H552" s="57" t="s">
        <v>3537</v>
      </c>
      <c r="I552" s="57" t="s">
        <v>3538</v>
      </c>
      <c r="J552" s="57" t="s">
        <v>3539</v>
      </c>
      <c r="K552" s="57" t="s">
        <v>3540</v>
      </c>
      <c r="L552" s="57" t="s">
        <v>3541</v>
      </c>
      <c r="M552" s="57" t="s">
        <v>3542</v>
      </c>
    </row>
    <row r="553" ht="28" spans="1:13">
      <c r="A553" s="178" t="str">
        <f t="shared" si="8"/>
        <v>Problem Solving &amp; Decision Making|Department Head|4</v>
      </c>
      <c r="B553" s="57" t="s">
        <v>446</v>
      </c>
      <c r="C553" s="177" t="s">
        <v>655</v>
      </c>
      <c r="D553" s="177">
        <v>4</v>
      </c>
      <c r="E553" s="177" t="s">
        <v>523</v>
      </c>
      <c r="F553" s="177">
        <v>3</v>
      </c>
      <c r="G553" s="57" t="s">
        <v>3543</v>
      </c>
      <c r="H553" s="57" t="s">
        <v>3544</v>
      </c>
      <c r="I553" s="57" t="s">
        <v>3545</v>
      </c>
      <c r="J553" s="57" t="s">
        <v>3546</v>
      </c>
      <c r="K553" s="57" t="s">
        <v>3547</v>
      </c>
      <c r="L553" s="57" t="s">
        <v>3548</v>
      </c>
      <c r="M553" s="57" t="s">
        <v>3549</v>
      </c>
    </row>
    <row r="554" ht="28" spans="1:13">
      <c r="A554" s="178" t="str">
        <f t="shared" si="8"/>
        <v>Problem Solving &amp; Decision Making|Division Head|1</v>
      </c>
      <c r="B554" s="57" t="s">
        <v>446</v>
      </c>
      <c r="C554" s="177" t="s">
        <v>712</v>
      </c>
      <c r="D554" s="177">
        <v>1</v>
      </c>
      <c r="E554" s="177" t="s">
        <v>473</v>
      </c>
      <c r="F554" s="177">
        <v>1</v>
      </c>
      <c r="G554" s="57" t="s">
        <v>3550</v>
      </c>
      <c r="H554" s="57" t="s">
        <v>3551</v>
      </c>
      <c r="I554" s="57" t="s">
        <v>3552</v>
      </c>
      <c r="J554" s="57" t="s">
        <v>3553</v>
      </c>
      <c r="K554" s="57" t="s">
        <v>3554</v>
      </c>
      <c r="L554" s="57" t="s">
        <v>3555</v>
      </c>
      <c r="M554" s="57" t="s">
        <v>3556</v>
      </c>
    </row>
    <row r="555" ht="28" spans="1:13">
      <c r="A555" s="178" t="str">
        <f t="shared" si="8"/>
        <v>Problem Solving &amp; Decision Making|Division Head|1</v>
      </c>
      <c r="B555" s="57" t="s">
        <v>446</v>
      </c>
      <c r="C555" s="177" t="s">
        <v>712</v>
      </c>
      <c r="D555" s="177">
        <v>1</v>
      </c>
      <c r="E555" s="177" t="s">
        <v>473</v>
      </c>
      <c r="F555" s="177">
        <v>2</v>
      </c>
      <c r="G555" s="57" t="s">
        <v>3557</v>
      </c>
      <c r="H555" s="57" t="s">
        <v>3558</v>
      </c>
      <c r="I555" s="57" t="s">
        <v>3559</v>
      </c>
      <c r="J555" s="57" t="s">
        <v>3560</v>
      </c>
      <c r="K555" s="57" t="s">
        <v>3561</v>
      </c>
      <c r="L555" s="57" t="s">
        <v>3562</v>
      </c>
      <c r="M555" s="57" t="s">
        <v>3563</v>
      </c>
    </row>
    <row r="556" ht="28" spans="1:13">
      <c r="A556" s="178" t="str">
        <f t="shared" si="8"/>
        <v>Problem Solving &amp; Decision Making|Division Head|1</v>
      </c>
      <c r="B556" s="57" t="s">
        <v>446</v>
      </c>
      <c r="C556" s="177" t="s">
        <v>712</v>
      </c>
      <c r="D556" s="177">
        <v>1</v>
      </c>
      <c r="E556" s="177" t="s">
        <v>473</v>
      </c>
      <c r="F556" s="177">
        <v>3</v>
      </c>
      <c r="G556" s="57" t="s">
        <v>3564</v>
      </c>
      <c r="H556" s="57" t="s">
        <v>3565</v>
      </c>
      <c r="I556" s="57" t="s">
        <v>3566</v>
      </c>
      <c r="J556" s="57" t="s">
        <v>3567</v>
      </c>
      <c r="K556" s="57" t="s">
        <v>3568</v>
      </c>
      <c r="L556" s="57" t="s">
        <v>3569</v>
      </c>
      <c r="M556" s="57" t="s">
        <v>3570</v>
      </c>
    </row>
    <row r="557" ht="28" spans="1:13">
      <c r="A557" s="178" t="str">
        <f t="shared" si="8"/>
        <v>Problem Solving &amp; Decision Making|Division Head|2</v>
      </c>
      <c r="B557" s="57" t="s">
        <v>446</v>
      </c>
      <c r="C557" s="177" t="s">
        <v>712</v>
      </c>
      <c r="D557" s="177">
        <v>2</v>
      </c>
      <c r="E557" s="177" t="s">
        <v>491</v>
      </c>
      <c r="F557" s="177">
        <v>1</v>
      </c>
      <c r="G557" s="57" t="s">
        <v>3571</v>
      </c>
      <c r="H557" s="57" t="s">
        <v>3572</v>
      </c>
      <c r="I557" s="57" t="s">
        <v>3573</v>
      </c>
      <c r="J557" s="57" t="s">
        <v>3574</v>
      </c>
      <c r="K557" s="57" t="s">
        <v>3575</v>
      </c>
      <c r="L557" s="57" t="s">
        <v>3576</v>
      </c>
      <c r="M557" s="57" t="s">
        <v>3577</v>
      </c>
    </row>
    <row r="558" ht="28" spans="1:13">
      <c r="A558" s="178" t="str">
        <f t="shared" si="8"/>
        <v>Problem Solving &amp; Decision Making|Division Head|2</v>
      </c>
      <c r="B558" s="57" t="s">
        <v>446</v>
      </c>
      <c r="C558" s="177" t="s">
        <v>712</v>
      </c>
      <c r="D558" s="177">
        <v>2</v>
      </c>
      <c r="E558" s="177" t="s">
        <v>491</v>
      </c>
      <c r="F558" s="177">
        <v>2</v>
      </c>
      <c r="G558" s="57" t="s">
        <v>3578</v>
      </c>
      <c r="H558" s="57" t="s">
        <v>3579</v>
      </c>
      <c r="I558" s="57" t="s">
        <v>3580</v>
      </c>
      <c r="J558" s="57" t="s">
        <v>3581</v>
      </c>
      <c r="K558" s="57" t="s">
        <v>3582</v>
      </c>
      <c r="L558" s="57" t="s">
        <v>3583</v>
      </c>
      <c r="M558" s="57" t="s">
        <v>3584</v>
      </c>
    </row>
    <row r="559" ht="28" spans="1:13">
      <c r="A559" s="178" t="str">
        <f t="shared" si="8"/>
        <v>Problem Solving &amp; Decision Making|Division Head|2</v>
      </c>
      <c r="B559" s="57" t="s">
        <v>446</v>
      </c>
      <c r="C559" s="177" t="s">
        <v>712</v>
      </c>
      <c r="D559" s="177">
        <v>2</v>
      </c>
      <c r="E559" s="177" t="s">
        <v>491</v>
      </c>
      <c r="F559" s="177">
        <v>3</v>
      </c>
      <c r="G559" s="57" t="s">
        <v>3585</v>
      </c>
      <c r="H559" s="57" t="s">
        <v>3586</v>
      </c>
      <c r="I559" s="57" t="s">
        <v>3587</v>
      </c>
      <c r="J559" s="57" t="s">
        <v>3588</v>
      </c>
      <c r="K559" s="57" t="s">
        <v>3589</v>
      </c>
      <c r="L559" s="57" t="s">
        <v>3590</v>
      </c>
      <c r="M559" s="57" t="s">
        <v>3591</v>
      </c>
    </row>
    <row r="560" ht="28" spans="1:13">
      <c r="A560" s="178" t="str">
        <f t="shared" si="8"/>
        <v>Problem Solving &amp; Decision Making|Division Head|3</v>
      </c>
      <c r="B560" s="57" t="s">
        <v>446</v>
      </c>
      <c r="C560" s="177" t="s">
        <v>712</v>
      </c>
      <c r="D560" s="177">
        <v>3</v>
      </c>
      <c r="E560" s="177" t="s">
        <v>507</v>
      </c>
      <c r="F560" s="177">
        <v>1</v>
      </c>
      <c r="G560" s="57" t="s">
        <v>3592</v>
      </c>
      <c r="H560" s="57" t="s">
        <v>3593</v>
      </c>
      <c r="I560" s="57" t="s">
        <v>3594</v>
      </c>
      <c r="J560" s="57" t="s">
        <v>3595</v>
      </c>
      <c r="K560" s="57" t="s">
        <v>3596</v>
      </c>
      <c r="L560" s="57" t="s">
        <v>3597</v>
      </c>
      <c r="M560" s="57" t="s">
        <v>3598</v>
      </c>
    </row>
    <row r="561" ht="28" spans="1:13">
      <c r="A561" s="178" t="str">
        <f t="shared" si="8"/>
        <v>Problem Solving &amp; Decision Making|Division Head|3</v>
      </c>
      <c r="B561" s="57" t="s">
        <v>446</v>
      </c>
      <c r="C561" s="177" t="s">
        <v>712</v>
      </c>
      <c r="D561" s="177">
        <v>3</v>
      </c>
      <c r="E561" s="177" t="s">
        <v>507</v>
      </c>
      <c r="F561" s="177">
        <v>2</v>
      </c>
      <c r="G561" s="57" t="s">
        <v>3599</v>
      </c>
      <c r="H561" s="57" t="s">
        <v>3600</v>
      </c>
      <c r="I561" s="57" t="s">
        <v>3601</v>
      </c>
      <c r="J561" s="57" t="s">
        <v>3602</v>
      </c>
      <c r="K561" s="57" t="s">
        <v>3603</v>
      </c>
      <c r="L561" s="57" t="s">
        <v>3604</v>
      </c>
      <c r="M561" s="57" t="s">
        <v>3605</v>
      </c>
    </row>
    <row r="562" ht="28" spans="1:13">
      <c r="A562" s="178" t="str">
        <f t="shared" si="8"/>
        <v>Problem Solving &amp; Decision Making|Division Head|3</v>
      </c>
      <c r="B562" s="57" t="s">
        <v>446</v>
      </c>
      <c r="C562" s="177" t="s">
        <v>712</v>
      </c>
      <c r="D562" s="177">
        <v>3</v>
      </c>
      <c r="E562" s="177" t="s">
        <v>507</v>
      </c>
      <c r="F562" s="177">
        <v>3</v>
      </c>
      <c r="G562" s="57" t="s">
        <v>3606</v>
      </c>
      <c r="H562" s="57" t="s">
        <v>3607</v>
      </c>
      <c r="I562" s="57" t="s">
        <v>3608</v>
      </c>
      <c r="J562" s="57" t="s">
        <v>3609</v>
      </c>
      <c r="K562" s="57" t="s">
        <v>3610</v>
      </c>
      <c r="L562" s="57" t="s">
        <v>3611</v>
      </c>
      <c r="M562" s="57" t="s">
        <v>3612</v>
      </c>
    </row>
    <row r="563" ht="28" spans="1:13">
      <c r="A563" s="178" t="str">
        <f t="shared" si="8"/>
        <v>Problem Solving &amp; Decision Making|Division Head|4</v>
      </c>
      <c r="B563" s="57" t="s">
        <v>446</v>
      </c>
      <c r="C563" s="177" t="s">
        <v>712</v>
      </c>
      <c r="D563" s="177">
        <v>4</v>
      </c>
      <c r="E563" s="177" t="s">
        <v>523</v>
      </c>
      <c r="F563" s="177">
        <v>1</v>
      </c>
      <c r="G563" s="57" t="s">
        <v>3613</v>
      </c>
      <c r="H563" s="57" t="s">
        <v>3614</v>
      </c>
      <c r="I563" s="57" t="s">
        <v>3615</v>
      </c>
      <c r="J563" s="57" t="s">
        <v>3616</v>
      </c>
      <c r="K563" s="57" t="s">
        <v>3617</v>
      </c>
      <c r="L563" s="57" t="s">
        <v>3618</v>
      </c>
      <c r="M563" s="57" t="s">
        <v>3619</v>
      </c>
    </row>
    <row r="564" ht="28" spans="1:13">
      <c r="A564" s="178" t="str">
        <f t="shared" si="8"/>
        <v>Problem Solving &amp; Decision Making|Division Head|4</v>
      </c>
      <c r="B564" s="57" t="s">
        <v>446</v>
      </c>
      <c r="C564" s="177" t="s">
        <v>712</v>
      </c>
      <c r="D564" s="177">
        <v>4</v>
      </c>
      <c r="E564" s="177" t="s">
        <v>523</v>
      </c>
      <c r="F564" s="177">
        <v>2</v>
      </c>
      <c r="G564" s="57" t="s">
        <v>3620</v>
      </c>
      <c r="H564" s="57" t="s">
        <v>3621</v>
      </c>
      <c r="I564" s="57" t="s">
        <v>3622</v>
      </c>
      <c r="J564" s="57" t="s">
        <v>3623</v>
      </c>
      <c r="K564" s="57" t="s">
        <v>3624</v>
      </c>
      <c r="L564" s="57" t="s">
        <v>3625</v>
      </c>
      <c r="M564" s="57" t="s">
        <v>3626</v>
      </c>
    </row>
    <row r="565" ht="28" spans="1:13">
      <c r="A565" s="178" t="str">
        <f t="shared" si="8"/>
        <v>Problem Solving &amp; Decision Making|Division Head|4</v>
      </c>
      <c r="B565" s="57" t="s">
        <v>446</v>
      </c>
      <c r="C565" s="177" t="s">
        <v>712</v>
      </c>
      <c r="D565" s="177">
        <v>4</v>
      </c>
      <c r="E565" s="177" t="s">
        <v>523</v>
      </c>
      <c r="F565" s="177">
        <v>3</v>
      </c>
      <c r="G565" s="57" t="s">
        <v>3627</v>
      </c>
      <c r="H565" s="57" t="s">
        <v>3628</v>
      </c>
      <c r="I565" s="57" t="s">
        <v>3629</v>
      </c>
      <c r="J565" s="57" t="s">
        <v>3630</v>
      </c>
      <c r="K565" s="57" t="s">
        <v>3631</v>
      </c>
      <c r="L565" s="57" t="s">
        <v>3632</v>
      </c>
      <c r="M565" s="57" t="s">
        <v>3633</v>
      </c>
    </row>
    <row r="566" ht="28" spans="1:13">
      <c r="A566" s="178" t="str">
        <f t="shared" si="8"/>
        <v>Problem Solving &amp; Decision Making|Director|1</v>
      </c>
      <c r="B566" s="57" t="s">
        <v>446</v>
      </c>
      <c r="C566" s="177" t="s">
        <v>773</v>
      </c>
      <c r="D566" s="177">
        <v>1</v>
      </c>
      <c r="E566" s="177" t="s">
        <v>473</v>
      </c>
      <c r="F566" s="177">
        <v>1</v>
      </c>
      <c r="G566" s="57" t="s">
        <v>3634</v>
      </c>
      <c r="H566" s="57" t="s">
        <v>3635</v>
      </c>
      <c r="I566" s="57" t="s">
        <v>3636</v>
      </c>
      <c r="J566" s="57" t="s">
        <v>3637</v>
      </c>
      <c r="K566" s="57" t="s">
        <v>3638</v>
      </c>
      <c r="L566" s="57" t="s">
        <v>3639</v>
      </c>
      <c r="M566" s="57" t="s">
        <v>3640</v>
      </c>
    </row>
    <row r="567" ht="28" spans="1:13">
      <c r="A567" s="178" t="str">
        <f t="shared" si="8"/>
        <v>Problem Solving &amp; Decision Making|Director|1</v>
      </c>
      <c r="B567" s="57" t="s">
        <v>446</v>
      </c>
      <c r="C567" s="177" t="s">
        <v>773</v>
      </c>
      <c r="D567" s="177">
        <v>1</v>
      </c>
      <c r="E567" s="177" t="s">
        <v>473</v>
      </c>
      <c r="F567" s="177">
        <v>2</v>
      </c>
      <c r="G567" s="57" t="s">
        <v>3641</v>
      </c>
      <c r="H567" s="57" t="s">
        <v>3642</v>
      </c>
      <c r="I567" s="57" t="s">
        <v>3643</v>
      </c>
      <c r="J567" s="57" t="s">
        <v>3644</v>
      </c>
      <c r="K567" s="57" t="s">
        <v>3645</v>
      </c>
      <c r="L567" s="57" t="s">
        <v>3646</v>
      </c>
      <c r="M567" s="57" t="s">
        <v>3647</v>
      </c>
    </row>
    <row r="568" ht="28" spans="1:13">
      <c r="A568" s="178" t="str">
        <f t="shared" si="8"/>
        <v>Problem Solving &amp; Decision Making|Director|1</v>
      </c>
      <c r="B568" s="57" t="s">
        <v>446</v>
      </c>
      <c r="C568" s="177" t="s">
        <v>773</v>
      </c>
      <c r="D568" s="177">
        <v>1</v>
      </c>
      <c r="E568" s="177" t="s">
        <v>473</v>
      </c>
      <c r="F568" s="177">
        <v>3</v>
      </c>
      <c r="G568" s="57" t="s">
        <v>3648</v>
      </c>
      <c r="H568" s="57" t="s">
        <v>3649</v>
      </c>
      <c r="I568" s="57" t="s">
        <v>3650</v>
      </c>
      <c r="J568" s="57" t="s">
        <v>3651</v>
      </c>
      <c r="K568" s="57" t="s">
        <v>3652</v>
      </c>
      <c r="L568" s="57" t="s">
        <v>3653</v>
      </c>
      <c r="M568" s="57" t="s">
        <v>3654</v>
      </c>
    </row>
    <row r="569" ht="28" spans="1:13">
      <c r="A569" s="178" t="str">
        <f t="shared" si="8"/>
        <v>Problem Solving &amp; Decision Making|Director|2</v>
      </c>
      <c r="B569" s="57" t="s">
        <v>446</v>
      </c>
      <c r="C569" s="177" t="s">
        <v>773</v>
      </c>
      <c r="D569" s="177">
        <v>2</v>
      </c>
      <c r="E569" s="177" t="s">
        <v>491</v>
      </c>
      <c r="F569" s="177">
        <v>1</v>
      </c>
      <c r="G569" s="57" t="s">
        <v>3655</v>
      </c>
      <c r="H569" s="57" t="s">
        <v>3656</v>
      </c>
      <c r="I569" s="57" t="s">
        <v>3657</v>
      </c>
      <c r="J569" s="57" t="s">
        <v>3658</v>
      </c>
      <c r="K569" s="57" t="s">
        <v>3659</v>
      </c>
      <c r="L569" s="57" t="s">
        <v>3660</v>
      </c>
      <c r="M569" s="57" t="s">
        <v>3661</v>
      </c>
    </row>
    <row r="570" ht="28" spans="1:13">
      <c r="A570" s="178" t="str">
        <f t="shared" si="8"/>
        <v>Problem Solving &amp; Decision Making|Director|2</v>
      </c>
      <c r="B570" s="57" t="s">
        <v>446</v>
      </c>
      <c r="C570" s="177" t="s">
        <v>773</v>
      </c>
      <c r="D570" s="177">
        <v>2</v>
      </c>
      <c r="E570" s="177" t="s">
        <v>491</v>
      </c>
      <c r="F570" s="177">
        <v>2</v>
      </c>
      <c r="G570" s="57" t="s">
        <v>3662</v>
      </c>
      <c r="H570" s="57" t="s">
        <v>3663</v>
      </c>
      <c r="I570" s="57" t="s">
        <v>3664</v>
      </c>
      <c r="J570" s="57" t="s">
        <v>3665</v>
      </c>
      <c r="K570" s="57" t="s">
        <v>3666</v>
      </c>
      <c r="L570" s="57" t="s">
        <v>3667</v>
      </c>
      <c r="M570" s="57" t="s">
        <v>3668</v>
      </c>
    </row>
    <row r="571" ht="28" spans="1:13">
      <c r="A571" s="178" t="str">
        <f t="shared" si="8"/>
        <v>Problem Solving &amp; Decision Making|Director|2</v>
      </c>
      <c r="B571" s="57" t="s">
        <v>446</v>
      </c>
      <c r="C571" s="177" t="s">
        <v>773</v>
      </c>
      <c r="D571" s="177">
        <v>2</v>
      </c>
      <c r="E571" s="177" t="s">
        <v>491</v>
      </c>
      <c r="F571" s="177">
        <v>3</v>
      </c>
      <c r="G571" s="57" t="s">
        <v>3669</v>
      </c>
      <c r="H571" s="57" t="s">
        <v>3670</v>
      </c>
      <c r="I571" s="57" t="s">
        <v>3671</v>
      </c>
      <c r="J571" s="57" t="s">
        <v>3672</v>
      </c>
      <c r="K571" s="57" t="s">
        <v>3673</v>
      </c>
      <c r="L571" s="57" t="s">
        <v>3674</v>
      </c>
      <c r="M571" s="57" t="s">
        <v>3675</v>
      </c>
    </row>
    <row r="572" ht="28" spans="1:13">
      <c r="A572" s="178" t="str">
        <f t="shared" si="8"/>
        <v>Problem Solving &amp; Decision Making|Director|3</v>
      </c>
      <c r="B572" s="57" t="s">
        <v>446</v>
      </c>
      <c r="C572" s="177" t="s">
        <v>773</v>
      </c>
      <c r="D572" s="177">
        <v>3</v>
      </c>
      <c r="E572" s="177" t="s">
        <v>507</v>
      </c>
      <c r="F572" s="177">
        <v>1</v>
      </c>
      <c r="G572" s="57" t="s">
        <v>3676</v>
      </c>
      <c r="H572" s="57" t="s">
        <v>3677</v>
      </c>
      <c r="I572" s="57" t="s">
        <v>3678</v>
      </c>
      <c r="J572" s="57" t="s">
        <v>3679</v>
      </c>
      <c r="K572" s="57" t="s">
        <v>3680</v>
      </c>
      <c r="L572" s="57" t="s">
        <v>3681</v>
      </c>
      <c r="M572" s="57" t="s">
        <v>3682</v>
      </c>
    </row>
    <row r="573" ht="28" spans="1:13">
      <c r="A573" s="178" t="str">
        <f t="shared" si="8"/>
        <v>Problem Solving &amp; Decision Making|Director|3</v>
      </c>
      <c r="B573" s="57" t="s">
        <v>446</v>
      </c>
      <c r="C573" s="177" t="s">
        <v>773</v>
      </c>
      <c r="D573" s="177">
        <v>3</v>
      </c>
      <c r="E573" s="177" t="s">
        <v>507</v>
      </c>
      <c r="F573" s="177">
        <v>2</v>
      </c>
      <c r="G573" s="57" t="s">
        <v>3683</v>
      </c>
      <c r="H573" s="57" t="s">
        <v>3684</v>
      </c>
      <c r="I573" s="57" t="s">
        <v>3685</v>
      </c>
      <c r="J573" s="57" t="s">
        <v>3686</v>
      </c>
      <c r="K573" s="57" t="s">
        <v>3687</v>
      </c>
      <c r="L573" s="57" t="s">
        <v>3688</v>
      </c>
      <c r="M573" s="57" t="s">
        <v>3689</v>
      </c>
    </row>
    <row r="574" ht="28" spans="1:13">
      <c r="A574" s="178" t="str">
        <f t="shared" si="8"/>
        <v>Problem Solving &amp; Decision Making|Director|3</v>
      </c>
      <c r="B574" s="57" t="s">
        <v>446</v>
      </c>
      <c r="C574" s="177" t="s">
        <v>773</v>
      </c>
      <c r="D574" s="177">
        <v>3</v>
      </c>
      <c r="E574" s="177" t="s">
        <v>507</v>
      </c>
      <c r="F574" s="177">
        <v>3</v>
      </c>
      <c r="G574" s="57" t="s">
        <v>3690</v>
      </c>
      <c r="H574" s="57" t="s">
        <v>3691</v>
      </c>
      <c r="I574" s="57" t="s">
        <v>3692</v>
      </c>
      <c r="J574" s="57" t="s">
        <v>3693</v>
      </c>
      <c r="K574" s="57" t="s">
        <v>3694</v>
      </c>
      <c r="L574" s="57" t="s">
        <v>3695</v>
      </c>
      <c r="M574" s="57" t="s">
        <v>3696</v>
      </c>
    </row>
    <row r="575" ht="28" spans="1:13">
      <c r="A575" s="178" t="str">
        <f t="shared" si="8"/>
        <v>Problem Solving &amp; Decision Making|Director|4</v>
      </c>
      <c r="B575" s="57" t="s">
        <v>446</v>
      </c>
      <c r="C575" s="177" t="s">
        <v>773</v>
      </c>
      <c r="D575" s="177">
        <v>4</v>
      </c>
      <c r="E575" s="177" t="s">
        <v>523</v>
      </c>
      <c r="F575" s="177">
        <v>1</v>
      </c>
      <c r="G575" s="57" t="s">
        <v>3697</v>
      </c>
      <c r="H575" s="57" t="s">
        <v>3698</v>
      </c>
      <c r="I575" s="57" t="s">
        <v>3699</v>
      </c>
      <c r="J575" s="57" t="s">
        <v>3700</v>
      </c>
      <c r="K575" s="57" t="s">
        <v>3701</v>
      </c>
      <c r="L575" s="57" t="s">
        <v>3702</v>
      </c>
      <c r="M575" s="57" t="s">
        <v>3703</v>
      </c>
    </row>
    <row r="576" ht="28" spans="1:13">
      <c r="A576" s="178" t="str">
        <f t="shared" si="8"/>
        <v>Problem Solving &amp; Decision Making|Director|4</v>
      </c>
      <c r="B576" s="57" t="s">
        <v>446</v>
      </c>
      <c r="C576" s="177" t="s">
        <v>773</v>
      </c>
      <c r="D576" s="177">
        <v>4</v>
      </c>
      <c r="E576" s="177" t="s">
        <v>523</v>
      </c>
      <c r="F576" s="177">
        <v>2</v>
      </c>
      <c r="G576" s="57" t="s">
        <v>3704</v>
      </c>
      <c r="H576" s="57" t="s">
        <v>3705</v>
      </c>
      <c r="I576" s="57" t="s">
        <v>3706</v>
      </c>
      <c r="J576" s="57" t="s">
        <v>3707</v>
      </c>
      <c r="K576" s="57" t="s">
        <v>3708</v>
      </c>
      <c r="L576" s="57" t="s">
        <v>3709</v>
      </c>
      <c r="M576" s="57" t="s">
        <v>3710</v>
      </c>
    </row>
    <row r="577" ht="28" spans="1:13">
      <c r="A577" s="178" t="str">
        <f t="shared" si="8"/>
        <v>Problem Solving &amp; Decision Making|Director|4</v>
      </c>
      <c r="B577" s="57" t="s">
        <v>446</v>
      </c>
      <c r="C577" s="177" t="s">
        <v>773</v>
      </c>
      <c r="D577" s="177">
        <v>4</v>
      </c>
      <c r="E577" s="177" t="s">
        <v>523</v>
      </c>
      <c r="F577" s="177">
        <v>3</v>
      </c>
      <c r="G577" s="57" t="s">
        <v>3711</v>
      </c>
      <c r="H577" s="57" t="s">
        <v>3712</v>
      </c>
      <c r="I577" s="57" t="s">
        <v>3713</v>
      </c>
      <c r="J577" s="57" t="s">
        <v>3714</v>
      </c>
      <c r="K577" s="57" t="s">
        <v>3715</v>
      </c>
      <c r="L577" s="57" t="s">
        <v>3716</v>
      </c>
      <c r="M577" s="57" t="s">
        <v>3717</v>
      </c>
    </row>
    <row r="578" ht="28" spans="1:13">
      <c r="A578" s="178" t="str">
        <f t="shared" si="8"/>
        <v>Team Work|Officer|1</v>
      </c>
      <c r="B578" s="57" t="s">
        <v>454</v>
      </c>
      <c r="C578" s="177" t="s">
        <v>6</v>
      </c>
      <c r="D578" s="177">
        <v>1</v>
      </c>
      <c r="E578" s="177" t="s">
        <v>473</v>
      </c>
      <c r="F578" s="177">
        <v>1</v>
      </c>
      <c r="G578" s="57" t="s">
        <v>3718</v>
      </c>
      <c r="H578" s="57" t="s">
        <v>3719</v>
      </c>
      <c r="I578" s="57" t="s">
        <v>3720</v>
      </c>
      <c r="J578" s="57" t="s">
        <v>3721</v>
      </c>
      <c r="K578" s="57" t="s">
        <v>3722</v>
      </c>
      <c r="L578" s="57" t="s">
        <v>3723</v>
      </c>
      <c r="M578" s="57" t="s">
        <v>3724</v>
      </c>
    </row>
    <row r="579" ht="28" spans="1:13">
      <c r="A579" s="178" t="str">
        <f t="shared" ref="A579:A642" si="9">B579&amp;"|"&amp;C579&amp;"|"&amp;D579</f>
        <v>Team Work|Officer|1</v>
      </c>
      <c r="B579" s="57" t="s">
        <v>454</v>
      </c>
      <c r="C579" s="177" t="s">
        <v>6</v>
      </c>
      <c r="D579" s="177">
        <v>1</v>
      </c>
      <c r="E579" s="177" t="s">
        <v>473</v>
      </c>
      <c r="F579" s="177">
        <v>2</v>
      </c>
      <c r="G579" s="57" t="s">
        <v>3725</v>
      </c>
      <c r="H579" s="57" t="s">
        <v>3726</v>
      </c>
      <c r="I579" s="57" t="s">
        <v>3727</v>
      </c>
      <c r="J579" s="57" t="s">
        <v>3728</v>
      </c>
      <c r="K579" s="57" t="s">
        <v>3729</v>
      </c>
      <c r="L579" s="57" t="s">
        <v>3730</v>
      </c>
      <c r="M579" s="57" t="s">
        <v>3731</v>
      </c>
    </row>
    <row r="580" ht="28" spans="1:13">
      <c r="A580" s="178" t="str">
        <f t="shared" si="9"/>
        <v>Team Work|Officer|1</v>
      </c>
      <c r="B580" s="57" t="s">
        <v>454</v>
      </c>
      <c r="C580" s="177" t="s">
        <v>6</v>
      </c>
      <c r="D580" s="177">
        <v>1</v>
      </c>
      <c r="E580" s="177" t="s">
        <v>473</v>
      </c>
      <c r="F580" s="177">
        <v>3</v>
      </c>
      <c r="G580" s="57" t="s">
        <v>3732</v>
      </c>
      <c r="H580" s="57" t="s">
        <v>3733</v>
      </c>
      <c r="I580" s="57" t="s">
        <v>3734</v>
      </c>
      <c r="J580" s="57" t="s">
        <v>3735</v>
      </c>
      <c r="K580" s="57" t="s">
        <v>3736</v>
      </c>
      <c r="L580" s="57" t="s">
        <v>3737</v>
      </c>
      <c r="M580" s="57" t="s">
        <v>3738</v>
      </c>
    </row>
    <row r="581" ht="28" spans="1:13">
      <c r="A581" s="178" t="str">
        <f t="shared" si="9"/>
        <v>Team Work|Officer|2</v>
      </c>
      <c r="B581" s="57" t="s">
        <v>454</v>
      </c>
      <c r="C581" s="177" t="s">
        <v>6</v>
      </c>
      <c r="D581" s="177">
        <v>2</v>
      </c>
      <c r="E581" s="177" t="s">
        <v>491</v>
      </c>
      <c r="F581" s="177">
        <v>1</v>
      </c>
      <c r="G581" s="57" t="s">
        <v>3739</v>
      </c>
      <c r="H581" s="57" t="s">
        <v>3740</v>
      </c>
      <c r="I581" s="57" t="s">
        <v>3741</v>
      </c>
      <c r="J581" s="57" t="s">
        <v>3742</v>
      </c>
      <c r="K581" s="57" t="s">
        <v>3743</v>
      </c>
      <c r="L581" s="57" t="s">
        <v>3744</v>
      </c>
      <c r="M581" s="57" t="s">
        <v>3745</v>
      </c>
    </row>
    <row r="582" ht="28" spans="1:13">
      <c r="A582" s="178" t="str">
        <f t="shared" si="9"/>
        <v>Team Work|Officer|2</v>
      </c>
      <c r="B582" s="57" t="s">
        <v>454</v>
      </c>
      <c r="C582" s="177" t="s">
        <v>6</v>
      </c>
      <c r="D582" s="177">
        <v>2</v>
      </c>
      <c r="E582" s="177" t="s">
        <v>491</v>
      </c>
      <c r="F582" s="177">
        <v>2</v>
      </c>
      <c r="G582" s="57" t="s">
        <v>3746</v>
      </c>
      <c r="H582" s="57" t="s">
        <v>3747</v>
      </c>
      <c r="I582" s="57" t="s">
        <v>3748</v>
      </c>
      <c r="J582" s="57" t="s">
        <v>3749</v>
      </c>
      <c r="K582" s="57" t="s">
        <v>3750</v>
      </c>
      <c r="L582" s="57" t="s">
        <v>3751</v>
      </c>
      <c r="M582" s="57" t="s">
        <v>3752</v>
      </c>
    </row>
    <row r="583" ht="28" spans="1:13">
      <c r="A583" s="178" t="str">
        <f t="shared" si="9"/>
        <v>Team Work|Officer|2</v>
      </c>
      <c r="B583" s="57" t="s">
        <v>454</v>
      </c>
      <c r="C583" s="177" t="s">
        <v>6</v>
      </c>
      <c r="D583" s="177">
        <v>2</v>
      </c>
      <c r="E583" s="177" t="s">
        <v>491</v>
      </c>
      <c r="F583" s="177">
        <v>3</v>
      </c>
      <c r="G583" s="57" t="s">
        <v>3753</v>
      </c>
      <c r="H583" s="57" t="s">
        <v>3754</v>
      </c>
      <c r="I583" s="57" t="s">
        <v>3755</v>
      </c>
      <c r="J583" s="57" t="s">
        <v>3756</v>
      </c>
      <c r="K583" s="57" t="s">
        <v>3757</v>
      </c>
      <c r="L583" s="57" t="s">
        <v>3758</v>
      </c>
      <c r="M583" s="57" t="s">
        <v>3759</v>
      </c>
    </row>
    <row r="584" ht="28" spans="1:13">
      <c r="A584" s="178" t="str">
        <f t="shared" si="9"/>
        <v>Team Work|Officer|3</v>
      </c>
      <c r="B584" s="57" t="s">
        <v>454</v>
      </c>
      <c r="C584" s="177" t="s">
        <v>6</v>
      </c>
      <c r="D584" s="177">
        <v>3</v>
      </c>
      <c r="E584" s="177" t="s">
        <v>507</v>
      </c>
      <c r="F584" s="177">
        <v>1</v>
      </c>
      <c r="G584" s="57" t="s">
        <v>3760</v>
      </c>
      <c r="H584" s="57" t="s">
        <v>3761</v>
      </c>
      <c r="I584" s="57" t="s">
        <v>3762</v>
      </c>
      <c r="J584" s="57" t="s">
        <v>3763</v>
      </c>
      <c r="K584" s="57" t="s">
        <v>3764</v>
      </c>
      <c r="L584" s="57" t="s">
        <v>3765</v>
      </c>
      <c r="M584" s="57" t="s">
        <v>3766</v>
      </c>
    </row>
    <row r="585" ht="28" spans="1:13">
      <c r="A585" s="178" t="str">
        <f t="shared" si="9"/>
        <v>Team Work|Officer|3</v>
      </c>
      <c r="B585" s="57" t="s">
        <v>454</v>
      </c>
      <c r="C585" s="177" t="s">
        <v>6</v>
      </c>
      <c r="D585" s="177">
        <v>3</v>
      </c>
      <c r="E585" s="177" t="s">
        <v>507</v>
      </c>
      <c r="F585" s="177">
        <v>2</v>
      </c>
      <c r="G585" s="57" t="s">
        <v>3767</v>
      </c>
      <c r="H585" s="57" t="s">
        <v>3768</v>
      </c>
      <c r="I585" s="57" t="s">
        <v>3769</v>
      </c>
      <c r="J585" s="57" t="s">
        <v>3770</v>
      </c>
      <c r="K585" s="57" t="s">
        <v>3771</v>
      </c>
      <c r="L585" s="57" t="s">
        <v>3772</v>
      </c>
      <c r="M585" s="57" t="s">
        <v>3773</v>
      </c>
    </row>
    <row r="586" ht="28" spans="1:13">
      <c r="A586" s="178" t="str">
        <f t="shared" si="9"/>
        <v>Team Work|Officer|3</v>
      </c>
      <c r="B586" s="57" t="s">
        <v>454</v>
      </c>
      <c r="C586" s="177" t="s">
        <v>6</v>
      </c>
      <c r="D586" s="177">
        <v>3</v>
      </c>
      <c r="E586" s="177" t="s">
        <v>507</v>
      </c>
      <c r="F586" s="177">
        <v>3</v>
      </c>
      <c r="G586" s="57" t="s">
        <v>3774</v>
      </c>
      <c r="H586" s="57" t="s">
        <v>3775</v>
      </c>
      <c r="I586" s="57" t="s">
        <v>3776</v>
      </c>
      <c r="J586" s="57" t="s">
        <v>3777</v>
      </c>
      <c r="K586" s="57" t="s">
        <v>3778</v>
      </c>
      <c r="L586" s="57" t="s">
        <v>3779</v>
      </c>
      <c r="M586" s="57" t="s">
        <v>3780</v>
      </c>
    </row>
    <row r="587" ht="28" spans="1:13">
      <c r="A587" s="178" t="str">
        <f t="shared" si="9"/>
        <v>Team Work|Officer|4</v>
      </c>
      <c r="B587" s="57" t="s">
        <v>454</v>
      </c>
      <c r="C587" s="177" t="s">
        <v>6</v>
      </c>
      <c r="D587" s="177">
        <v>4</v>
      </c>
      <c r="E587" s="177" t="s">
        <v>523</v>
      </c>
      <c r="F587" s="177">
        <v>1</v>
      </c>
      <c r="G587" s="57" t="s">
        <v>3781</v>
      </c>
      <c r="H587" s="57" t="s">
        <v>3782</v>
      </c>
      <c r="I587" s="57" t="s">
        <v>3783</v>
      </c>
      <c r="J587" s="57" t="s">
        <v>3784</v>
      </c>
      <c r="K587" s="57" t="s">
        <v>3785</v>
      </c>
      <c r="L587" s="57" t="s">
        <v>3786</v>
      </c>
      <c r="M587" s="57" t="s">
        <v>3787</v>
      </c>
    </row>
    <row r="588" ht="28" spans="1:13">
      <c r="A588" s="178" t="str">
        <f t="shared" si="9"/>
        <v>Team Work|Officer|4</v>
      </c>
      <c r="B588" s="57" t="s">
        <v>454</v>
      </c>
      <c r="C588" s="177" t="s">
        <v>6</v>
      </c>
      <c r="D588" s="177">
        <v>4</v>
      </c>
      <c r="E588" s="177" t="s">
        <v>523</v>
      </c>
      <c r="F588" s="177">
        <v>2</v>
      </c>
      <c r="G588" s="57" t="s">
        <v>3788</v>
      </c>
      <c r="H588" s="57" t="s">
        <v>3789</v>
      </c>
      <c r="I588" s="57" t="s">
        <v>3790</v>
      </c>
      <c r="J588" s="57" t="s">
        <v>3791</v>
      </c>
      <c r="K588" s="57" t="s">
        <v>3792</v>
      </c>
      <c r="L588" s="57" t="s">
        <v>3793</v>
      </c>
      <c r="M588" s="57" t="s">
        <v>3794</v>
      </c>
    </row>
    <row r="589" ht="28" spans="1:13">
      <c r="A589" s="178" t="str">
        <f t="shared" si="9"/>
        <v>Team Work|Officer|4</v>
      </c>
      <c r="B589" s="57" t="s">
        <v>454</v>
      </c>
      <c r="C589" s="177" t="s">
        <v>6</v>
      </c>
      <c r="D589" s="177">
        <v>4</v>
      </c>
      <c r="E589" s="177" t="s">
        <v>523</v>
      </c>
      <c r="F589" s="177">
        <v>3</v>
      </c>
      <c r="G589" s="57" t="s">
        <v>3795</v>
      </c>
      <c r="H589" s="57" t="s">
        <v>3796</v>
      </c>
      <c r="I589" s="57" t="s">
        <v>3797</v>
      </c>
      <c r="J589" s="57" t="s">
        <v>3798</v>
      </c>
      <c r="K589" s="57" t="s">
        <v>3799</v>
      </c>
      <c r="L589" s="57" t="s">
        <v>3800</v>
      </c>
      <c r="M589" s="57" t="s">
        <v>3801</v>
      </c>
    </row>
    <row r="590" ht="28" spans="1:13">
      <c r="A590" s="178" t="str">
        <f t="shared" si="9"/>
        <v>Team Work|Analyst|1</v>
      </c>
      <c r="B590" s="57" t="s">
        <v>454</v>
      </c>
      <c r="C590" s="177" t="s">
        <v>8</v>
      </c>
      <c r="D590" s="177">
        <v>1</v>
      </c>
      <c r="E590" s="177" t="s">
        <v>473</v>
      </c>
      <c r="F590" s="177">
        <v>1</v>
      </c>
      <c r="G590" s="57" t="s">
        <v>3802</v>
      </c>
      <c r="H590" s="57" t="s">
        <v>3803</v>
      </c>
      <c r="I590" s="57" t="s">
        <v>3804</v>
      </c>
      <c r="J590" s="57" t="s">
        <v>3805</v>
      </c>
      <c r="K590" s="57" t="s">
        <v>3806</v>
      </c>
      <c r="L590" s="57" t="s">
        <v>3807</v>
      </c>
      <c r="M590" s="57" t="s">
        <v>3808</v>
      </c>
    </row>
    <row r="591" ht="28" spans="1:13">
      <c r="A591" s="178" t="str">
        <f t="shared" si="9"/>
        <v>Team Work|Analyst|1</v>
      </c>
      <c r="B591" s="57" t="s">
        <v>454</v>
      </c>
      <c r="C591" s="177" t="s">
        <v>8</v>
      </c>
      <c r="D591" s="177">
        <v>1</v>
      </c>
      <c r="E591" s="177" t="s">
        <v>473</v>
      </c>
      <c r="F591" s="177">
        <v>2</v>
      </c>
      <c r="G591" s="57" t="s">
        <v>3809</v>
      </c>
      <c r="H591" s="57" t="s">
        <v>3810</v>
      </c>
      <c r="I591" s="57" t="s">
        <v>3811</v>
      </c>
      <c r="J591" s="57" t="s">
        <v>3812</v>
      </c>
      <c r="K591" s="57" t="s">
        <v>3813</v>
      </c>
      <c r="L591" s="57" t="s">
        <v>3814</v>
      </c>
      <c r="M591" s="57" t="s">
        <v>3815</v>
      </c>
    </row>
    <row r="592" ht="28" spans="1:13">
      <c r="A592" s="178" t="str">
        <f t="shared" si="9"/>
        <v>Team Work|Analyst|1</v>
      </c>
      <c r="B592" s="57" t="s">
        <v>454</v>
      </c>
      <c r="C592" s="177" t="s">
        <v>8</v>
      </c>
      <c r="D592" s="177">
        <v>1</v>
      </c>
      <c r="E592" s="177" t="s">
        <v>473</v>
      </c>
      <c r="F592" s="177">
        <v>3</v>
      </c>
      <c r="G592" s="57" t="s">
        <v>3816</v>
      </c>
      <c r="H592" s="57" t="s">
        <v>3817</v>
      </c>
      <c r="I592" s="57" t="s">
        <v>3818</v>
      </c>
      <c r="J592" s="57" t="s">
        <v>3819</v>
      </c>
      <c r="K592" s="57" t="s">
        <v>3820</v>
      </c>
      <c r="L592" s="57" t="s">
        <v>3821</v>
      </c>
      <c r="M592" s="57" t="s">
        <v>3822</v>
      </c>
    </row>
    <row r="593" ht="28" spans="1:13">
      <c r="A593" s="178" t="str">
        <f t="shared" si="9"/>
        <v>Team Work|Analyst|2</v>
      </c>
      <c r="B593" s="57" t="s">
        <v>454</v>
      </c>
      <c r="C593" s="177" t="s">
        <v>8</v>
      </c>
      <c r="D593" s="177">
        <v>2</v>
      </c>
      <c r="E593" s="177" t="s">
        <v>491</v>
      </c>
      <c r="F593" s="177">
        <v>1</v>
      </c>
      <c r="G593" s="57" t="s">
        <v>3823</v>
      </c>
      <c r="H593" s="57" t="s">
        <v>3824</v>
      </c>
      <c r="I593" s="57" t="s">
        <v>3825</v>
      </c>
      <c r="J593" s="57" t="s">
        <v>3826</v>
      </c>
      <c r="K593" s="57" t="s">
        <v>3827</v>
      </c>
      <c r="L593" s="57" t="s">
        <v>3828</v>
      </c>
      <c r="M593" s="57" t="s">
        <v>3829</v>
      </c>
    </row>
    <row r="594" ht="28" spans="1:13">
      <c r="A594" s="178" t="str">
        <f t="shared" si="9"/>
        <v>Team Work|Analyst|2</v>
      </c>
      <c r="B594" s="57" t="s">
        <v>454</v>
      </c>
      <c r="C594" s="177" t="s">
        <v>8</v>
      </c>
      <c r="D594" s="177">
        <v>2</v>
      </c>
      <c r="E594" s="177" t="s">
        <v>491</v>
      </c>
      <c r="F594" s="177">
        <v>2</v>
      </c>
      <c r="G594" s="57" t="s">
        <v>3830</v>
      </c>
      <c r="H594" s="57" t="s">
        <v>3831</v>
      </c>
      <c r="I594" s="57" t="s">
        <v>3832</v>
      </c>
      <c r="J594" s="57" t="s">
        <v>3833</v>
      </c>
      <c r="K594" s="57" t="s">
        <v>3834</v>
      </c>
      <c r="L594" s="57" t="s">
        <v>3835</v>
      </c>
      <c r="M594" s="57" t="s">
        <v>3836</v>
      </c>
    </row>
    <row r="595" ht="28" spans="1:13">
      <c r="A595" s="178" t="str">
        <f t="shared" si="9"/>
        <v>Team Work|Analyst|2</v>
      </c>
      <c r="B595" s="57" t="s">
        <v>454</v>
      </c>
      <c r="C595" s="177" t="s">
        <v>8</v>
      </c>
      <c r="D595" s="177">
        <v>2</v>
      </c>
      <c r="E595" s="177" t="s">
        <v>491</v>
      </c>
      <c r="F595" s="177">
        <v>3</v>
      </c>
      <c r="G595" s="57" t="s">
        <v>3837</v>
      </c>
      <c r="H595" s="57" t="s">
        <v>3838</v>
      </c>
      <c r="I595" s="57" t="s">
        <v>3839</v>
      </c>
      <c r="J595" s="57" t="s">
        <v>3840</v>
      </c>
      <c r="K595" s="57" t="s">
        <v>3841</v>
      </c>
      <c r="L595" s="57" t="s">
        <v>3842</v>
      </c>
      <c r="M595" s="57" t="s">
        <v>3843</v>
      </c>
    </row>
    <row r="596" ht="28" spans="1:13">
      <c r="A596" s="178" t="str">
        <f t="shared" si="9"/>
        <v>Team Work|Analyst|3</v>
      </c>
      <c r="B596" s="57" t="s">
        <v>454</v>
      </c>
      <c r="C596" s="177" t="s">
        <v>8</v>
      </c>
      <c r="D596" s="177">
        <v>3</v>
      </c>
      <c r="E596" s="177" t="s">
        <v>507</v>
      </c>
      <c r="F596" s="177">
        <v>1</v>
      </c>
      <c r="G596" s="57" t="s">
        <v>3844</v>
      </c>
      <c r="H596" s="57" t="s">
        <v>3845</v>
      </c>
      <c r="I596" s="57" t="s">
        <v>3846</v>
      </c>
      <c r="J596" s="57" t="s">
        <v>3847</v>
      </c>
      <c r="K596" s="57" t="s">
        <v>3848</v>
      </c>
      <c r="L596" s="57" t="s">
        <v>3849</v>
      </c>
      <c r="M596" s="57" t="s">
        <v>3850</v>
      </c>
    </row>
    <row r="597" ht="28" spans="1:13">
      <c r="A597" s="178" t="str">
        <f t="shared" si="9"/>
        <v>Team Work|Analyst|3</v>
      </c>
      <c r="B597" s="57" t="s">
        <v>454</v>
      </c>
      <c r="C597" s="177" t="s">
        <v>8</v>
      </c>
      <c r="D597" s="177">
        <v>3</v>
      </c>
      <c r="E597" s="177" t="s">
        <v>507</v>
      </c>
      <c r="F597" s="177">
        <v>2</v>
      </c>
      <c r="G597" s="57" t="s">
        <v>3851</v>
      </c>
      <c r="H597" s="57" t="s">
        <v>3852</v>
      </c>
      <c r="I597" s="57" t="s">
        <v>3853</v>
      </c>
      <c r="J597" s="57" t="s">
        <v>3854</v>
      </c>
      <c r="K597" s="57" t="s">
        <v>3855</v>
      </c>
      <c r="L597" s="57" t="s">
        <v>3856</v>
      </c>
      <c r="M597" s="57" t="s">
        <v>3857</v>
      </c>
    </row>
    <row r="598" ht="28" spans="1:13">
      <c r="A598" s="178" t="str">
        <f t="shared" si="9"/>
        <v>Team Work|Analyst|3</v>
      </c>
      <c r="B598" s="57" t="s">
        <v>454</v>
      </c>
      <c r="C598" s="177" t="s">
        <v>8</v>
      </c>
      <c r="D598" s="177">
        <v>3</v>
      </c>
      <c r="E598" s="177" t="s">
        <v>507</v>
      </c>
      <c r="F598" s="177">
        <v>3</v>
      </c>
      <c r="G598" s="57" t="s">
        <v>3858</v>
      </c>
      <c r="H598" s="57" t="s">
        <v>3859</v>
      </c>
      <c r="I598" s="57" t="s">
        <v>3860</v>
      </c>
      <c r="J598" s="57" t="s">
        <v>3861</v>
      </c>
      <c r="K598" s="57" t="s">
        <v>3862</v>
      </c>
      <c r="L598" s="57" t="s">
        <v>3863</v>
      </c>
      <c r="M598" s="57" t="s">
        <v>3864</v>
      </c>
    </row>
    <row r="599" ht="28" spans="1:13">
      <c r="A599" s="178" t="str">
        <f t="shared" si="9"/>
        <v>Team Work|Analyst|4</v>
      </c>
      <c r="B599" s="57" t="s">
        <v>454</v>
      </c>
      <c r="C599" s="177" t="s">
        <v>8</v>
      </c>
      <c r="D599" s="177">
        <v>4</v>
      </c>
      <c r="E599" s="177" t="s">
        <v>523</v>
      </c>
      <c r="F599" s="177">
        <v>1</v>
      </c>
      <c r="G599" s="57" t="s">
        <v>3865</v>
      </c>
      <c r="H599" s="57" t="s">
        <v>3866</v>
      </c>
      <c r="I599" s="57" t="s">
        <v>3867</v>
      </c>
      <c r="J599" s="57" t="s">
        <v>3868</v>
      </c>
      <c r="K599" s="57" t="s">
        <v>3869</v>
      </c>
      <c r="L599" s="57" t="s">
        <v>3870</v>
      </c>
      <c r="M599" s="57" t="s">
        <v>3871</v>
      </c>
    </row>
    <row r="600" ht="28" spans="1:13">
      <c r="A600" s="178" t="str">
        <f t="shared" si="9"/>
        <v>Team Work|Analyst|4</v>
      </c>
      <c r="B600" s="57" t="s">
        <v>454</v>
      </c>
      <c r="C600" s="177" t="s">
        <v>8</v>
      </c>
      <c r="D600" s="177">
        <v>4</v>
      </c>
      <c r="E600" s="177" t="s">
        <v>523</v>
      </c>
      <c r="F600" s="177">
        <v>2</v>
      </c>
      <c r="G600" s="57" t="s">
        <v>3872</v>
      </c>
      <c r="H600" s="57" t="s">
        <v>3873</v>
      </c>
      <c r="I600" s="57" t="s">
        <v>3874</v>
      </c>
      <c r="J600" s="57" t="s">
        <v>3875</v>
      </c>
      <c r="K600" s="57" t="s">
        <v>3876</v>
      </c>
      <c r="L600" s="57" t="s">
        <v>3877</v>
      </c>
      <c r="M600" s="57" t="s">
        <v>3878</v>
      </c>
    </row>
    <row r="601" ht="28" spans="1:13">
      <c r="A601" s="178" t="str">
        <f t="shared" si="9"/>
        <v>Team Work|Analyst|4</v>
      </c>
      <c r="B601" s="57" t="s">
        <v>454</v>
      </c>
      <c r="C601" s="177" t="s">
        <v>8</v>
      </c>
      <c r="D601" s="177">
        <v>4</v>
      </c>
      <c r="E601" s="177" t="s">
        <v>523</v>
      </c>
      <c r="F601" s="177">
        <v>3</v>
      </c>
      <c r="G601" s="57" t="s">
        <v>3879</v>
      </c>
      <c r="H601" s="57" t="s">
        <v>3880</v>
      </c>
      <c r="I601" s="57" t="s">
        <v>3881</v>
      </c>
      <c r="J601" s="57" t="s">
        <v>3882</v>
      </c>
      <c r="K601" s="57" t="s">
        <v>3883</v>
      </c>
      <c r="L601" s="57" t="s">
        <v>3884</v>
      </c>
      <c r="M601" s="57" t="s">
        <v>3885</v>
      </c>
    </row>
    <row r="602" ht="42" spans="1:13">
      <c r="A602" s="178" t="str">
        <f t="shared" si="9"/>
        <v>Team Work|Unit Head/Specialist|1</v>
      </c>
      <c r="B602" s="57" t="s">
        <v>454</v>
      </c>
      <c r="C602" s="177" t="s">
        <v>18</v>
      </c>
      <c r="D602" s="177">
        <v>1</v>
      </c>
      <c r="E602" s="177" t="s">
        <v>473</v>
      </c>
      <c r="F602" s="177">
        <v>1</v>
      </c>
      <c r="G602" s="57" t="s">
        <v>3886</v>
      </c>
      <c r="H602" s="57" t="s">
        <v>3887</v>
      </c>
      <c r="I602" s="57" t="s">
        <v>3888</v>
      </c>
      <c r="J602" s="57" t="s">
        <v>3889</v>
      </c>
      <c r="K602" s="57" t="s">
        <v>3890</v>
      </c>
      <c r="L602" s="57" t="s">
        <v>3891</v>
      </c>
      <c r="M602" s="57" t="s">
        <v>3892</v>
      </c>
    </row>
    <row r="603" ht="42" spans="1:13">
      <c r="A603" s="178" t="str">
        <f t="shared" si="9"/>
        <v>Team Work|Unit Head/Specialist|1</v>
      </c>
      <c r="B603" s="57" t="s">
        <v>454</v>
      </c>
      <c r="C603" s="177" t="s">
        <v>18</v>
      </c>
      <c r="D603" s="177">
        <v>1</v>
      </c>
      <c r="E603" s="177" t="s">
        <v>473</v>
      </c>
      <c r="F603" s="177">
        <v>2</v>
      </c>
      <c r="G603" s="57" t="s">
        <v>3893</v>
      </c>
      <c r="H603" s="57" t="s">
        <v>3894</v>
      </c>
      <c r="I603" s="57" t="s">
        <v>3895</v>
      </c>
      <c r="J603" s="57" t="s">
        <v>3896</v>
      </c>
      <c r="K603" s="57" t="s">
        <v>3897</v>
      </c>
      <c r="L603" s="57" t="s">
        <v>3898</v>
      </c>
      <c r="M603" s="57" t="s">
        <v>3899</v>
      </c>
    </row>
    <row r="604" ht="42" spans="1:13">
      <c r="A604" s="178" t="str">
        <f t="shared" si="9"/>
        <v>Team Work|Unit Head/Specialist|1</v>
      </c>
      <c r="B604" s="57" t="s">
        <v>454</v>
      </c>
      <c r="C604" s="177" t="s">
        <v>18</v>
      </c>
      <c r="D604" s="177">
        <v>1</v>
      </c>
      <c r="E604" s="177" t="s">
        <v>473</v>
      </c>
      <c r="F604" s="177">
        <v>3</v>
      </c>
      <c r="G604" s="57" t="s">
        <v>3900</v>
      </c>
      <c r="H604" s="57" t="s">
        <v>3901</v>
      </c>
      <c r="I604" s="57" t="s">
        <v>3902</v>
      </c>
      <c r="J604" s="57" t="s">
        <v>3903</v>
      </c>
      <c r="K604" s="57" t="s">
        <v>3904</v>
      </c>
      <c r="L604" s="57" t="s">
        <v>3905</v>
      </c>
      <c r="M604" s="57" t="s">
        <v>3906</v>
      </c>
    </row>
    <row r="605" ht="42" spans="1:13">
      <c r="A605" s="178" t="str">
        <f t="shared" si="9"/>
        <v>Team Work|Unit Head/Specialist|2</v>
      </c>
      <c r="B605" s="57" t="s">
        <v>454</v>
      </c>
      <c r="C605" s="177" t="s">
        <v>18</v>
      </c>
      <c r="D605" s="177">
        <v>2</v>
      </c>
      <c r="E605" s="177" t="s">
        <v>491</v>
      </c>
      <c r="F605" s="177">
        <v>1</v>
      </c>
      <c r="G605" s="57" t="s">
        <v>3907</v>
      </c>
      <c r="H605" s="57" t="s">
        <v>3908</v>
      </c>
      <c r="I605" s="57" t="s">
        <v>3909</v>
      </c>
      <c r="J605" s="57" t="s">
        <v>3910</v>
      </c>
      <c r="K605" s="57" t="s">
        <v>3911</v>
      </c>
      <c r="L605" s="57" t="s">
        <v>3912</v>
      </c>
      <c r="M605" s="57" t="s">
        <v>3913</v>
      </c>
    </row>
    <row r="606" ht="42" spans="1:13">
      <c r="A606" s="178" t="str">
        <f t="shared" si="9"/>
        <v>Team Work|Unit Head/Specialist|2</v>
      </c>
      <c r="B606" s="57" t="s">
        <v>454</v>
      </c>
      <c r="C606" s="177" t="s">
        <v>18</v>
      </c>
      <c r="D606" s="177">
        <v>2</v>
      </c>
      <c r="E606" s="177" t="s">
        <v>491</v>
      </c>
      <c r="F606" s="177">
        <v>2</v>
      </c>
      <c r="G606" s="57" t="s">
        <v>3914</v>
      </c>
      <c r="H606" s="57" t="s">
        <v>3915</v>
      </c>
      <c r="I606" s="57" t="s">
        <v>3916</v>
      </c>
      <c r="J606" s="57" t="s">
        <v>3917</v>
      </c>
      <c r="K606" s="57" t="s">
        <v>3918</v>
      </c>
      <c r="L606" s="57" t="s">
        <v>3919</v>
      </c>
      <c r="M606" s="57" t="s">
        <v>3920</v>
      </c>
    </row>
    <row r="607" ht="42" spans="1:13">
      <c r="A607" s="178" t="str">
        <f t="shared" si="9"/>
        <v>Team Work|Unit Head/Specialist|2</v>
      </c>
      <c r="B607" s="57" t="s">
        <v>454</v>
      </c>
      <c r="C607" s="177" t="s">
        <v>18</v>
      </c>
      <c r="D607" s="177">
        <v>2</v>
      </c>
      <c r="E607" s="177" t="s">
        <v>491</v>
      </c>
      <c r="F607" s="177">
        <v>3</v>
      </c>
      <c r="G607" s="57" t="s">
        <v>3921</v>
      </c>
      <c r="H607" s="57" t="s">
        <v>3922</v>
      </c>
      <c r="I607" s="57" t="s">
        <v>3923</v>
      </c>
      <c r="J607" s="57" t="s">
        <v>3924</v>
      </c>
      <c r="K607" s="57" t="s">
        <v>3925</v>
      </c>
      <c r="L607" s="57" t="s">
        <v>3926</v>
      </c>
      <c r="M607" s="57" t="s">
        <v>3927</v>
      </c>
    </row>
    <row r="608" ht="42" spans="1:13">
      <c r="A608" s="178" t="str">
        <f t="shared" si="9"/>
        <v>Team Work|Unit Head/Specialist|3</v>
      </c>
      <c r="B608" s="57" t="s">
        <v>454</v>
      </c>
      <c r="C608" s="177" t="s">
        <v>18</v>
      </c>
      <c r="D608" s="177">
        <v>3</v>
      </c>
      <c r="E608" s="177" t="s">
        <v>507</v>
      </c>
      <c r="F608" s="177">
        <v>1</v>
      </c>
      <c r="G608" s="57" t="s">
        <v>3928</v>
      </c>
      <c r="H608" s="57" t="s">
        <v>3929</v>
      </c>
      <c r="I608" s="57" t="s">
        <v>3930</v>
      </c>
      <c r="J608" s="57" t="s">
        <v>3931</v>
      </c>
      <c r="K608" s="57" t="s">
        <v>3932</v>
      </c>
      <c r="L608" s="57" t="s">
        <v>3933</v>
      </c>
      <c r="M608" s="57" t="s">
        <v>3934</v>
      </c>
    </row>
    <row r="609" ht="42" spans="1:13">
      <c r="A609" s="178" t="str">
        <f t="shared" si="9"/>
        <v>Team Work|Unit Head/Specialist|3</v>
      </c>
      <c r="B609" s="57" t="s">
        <v>454</v>
      </c>
      <c r="C609" s="177" t="s">
        <v>18</v>
      </c>
      <c r="D609" s="177">
        <v>3</v>
      </c>
      <c r="E609" s="177" t="s">
        <v>507</v>
      </c>
      <c r="F609" s="177">
        <v>2</v>
      </c>
      <c r="G609" s="57" t="s">
        <v>3935</v>
      </c>
      <c r="H609" s="57" t="s">
        <v>3936</v>
      </c>
      <c r="I609" s="57" t="s">
        <v>3937</v>
      </c>
      <c r="J609" s="57" t="s">
        <v>3938</v>
      </c>
      <c r="K609" s="57" t="s">
        <v>3939</v>
      </c>
      <c r="L609" s="57" t="s">
        <v>3940</v>
      </c>
      <c r="M609" s="57" t="s">
        <v>3941</v>
      </c>
    </row>
    <row r="610" ht="42" spans="1:13">
      <c r="A610" s="178" t="str">
        <f t="shared" si="9"/>
        <v>Team Work|Unit Head/Specialist|3</v>
      </c>
      <c r="B610" s="57" t="s">
        <v>454</v>
      </c>
      <c r="C610" s="177" t="s">
        <v>18</v>
      </c>
      <c r="D610" s="177">
        <v>3</v>
      </c>
      <c r="E610" s="177" t="s">
        <v>507</v>
      </c>
      <c r="F610" s="177">
        <v>3</v>
      </c>
      <c r="G610" s="57" t="s">
        <v>3942</v>
      </c>
      <c r="H610" s="57" t="s">
        <v>3943</v>
      </c>
      <c r="I610" s="57" t="s">
        <v>3944</v>
      </c>
      <c r="J610" s="57" t="s">
        <v>3945</v>
      </c>
      <c r="K610" s="57" t="s">
        <v>3946</v>
      </c>
      <c r="L610" s="57" t="s">
        <v>3947</v>
      </c>
      <c r="M610" s="57" t="s">
        <v>3948</v>
      </c>
    </row>
    <row r="611" ht="42" spans="1:13">
      <c r="A611" s="178" t="str">
        <f t="shared" si="9"/>
        <v>Team Work|Unit Head/Specialist|4</v>
      </c>
      <c r="B611" s="57" t="s">
        <v>454</v>
      </c>
      <c r="C611" s="177" t="s">
        <v>18</v>
      </c>
      <c r="D611" s="177">
        <v>4</v>
      </c>
      <c r="E611" s="177" t="s">
        <v>523</v>
      </c>
      <c r="F611" s="177">
        <v>1</v>
      </c>
      <c r="G611" s="57" t="s">
        <v>3949</v>
      </c>
      <c r="H611" s="57" t="s">
        <v>3950</v>
      </c>
      <c r="I611" s="57" t="s">
        <v>3951</v>
      </c>
      <c r="J611" s="57" t="s">
        <v>3952</v>
      </c>
      <c r="K611" s="57" t="s">
        <v>3953</v>
      </c>
      <c r="L611" s="57" t="s">
        <v>3954</v>
      </c>
      <c r="M611" s="57" t="s">
        <v>3955</v>
      </c>
    </row>
    <row r="612" ht="42" spans="1:13">
      <c r="A612" s="178" t="str">
        <f t="shared" si="9"/>
        <v>Team Work|Unit Head/Specialist|4</v>
      </c>
      <c r="B612" s="57" t="s">
        <v>454</v>
      </c>
      <c r="C612" s="177" t="s">
        <v>18</v>
      </c>
      <c r="D612" s="177">
        <v>4</v>
      </c>
      <c r="E612" s="177" t="s">
        <v>523</v>
      </c>
      <c r="F612" s="177">
        <v>2</v>
      </c>
      <c r="G612" s="57" t="s">
        <v>3956</v>
      </c>
      <c r="H612" s="57" t="s">
        <v>3957</v>
      </c>
      <c r="I612" s="57" t="s">
        <v>3958</v>
      </c>
      <c r="J612" s="57" t="s">
        <v>3959</v>
      </c>
      <c r="K612" s="57" t="s">
        <v>3960</v>
      </c>
      <c r="L612" s="57" t="s">
        <v>3961</v>
      </c>
      <c r="M612" s="57" t="s">
        <v>3962</v>
      </c>
    </row>
    <row r="613" ht="42" spans="1:13">
      <c r="A613" s="178" t="str">
        <f t="shared" si="9"/>
        <v>Team Work|Unit Head/Specialist|4</v>
      </c>
      <c r="B613" s="57" t="s">
        <v>454</v>
      </c>
      <c r="C613" s="177" t="s">
        <v>18</v>
      </c>
      <c r="D613" s="177">
        <v>4</v>
      </c>
      <c r="E613" s="177" t="s">
        <v>523</v>
      </c>
      <c r="F613" s="177">
        <v>3</v>
      </c>
      <c r="G613" s="57" t="s">
        <v>3963</v>
      </c>
      <c r="H613" s="57" t="s">
        <v>3964</v>
      </c>
      <c r="I613" s="57" t="s">
        <v>3965</v>
      </c>
      <c r="J613" s="57" t="s">
        <v>3966</v>
      </c>
      <c r="K613" s="57" t="s">
        <v>3967</v>
      </c>
      <c r="L613" s="57" t="s">
        <v>3968</v>
      </c>
      <c r="M613" s="57" t="s">
        <v>3969</v>
      </c>
    </row>
    <row r="614" ht="28" spans="1:13">
      <c r="A614" s="178" t="str">
        <f t="shared" si="9"/>
        <v>Team Work|Department Head|1</v>
      </c>
      <c r="B614" s="57" t="s">
        <v>454</v>
      </c>
      <c r="C614" s="177" t="s">
        <v>655</v>
      </c>
      <c r="D614" s="177">
        <v>1</v>
      </c>
      <c r="E614" s="177" t="s">
        <v>473</v>
      </c>
      <c r="F614" s="177">
        <v>1</v>
      </c>
      <c r="G614" s="57" t="s">
        <v>3970</v>
      </c>
      <c r="H614" s="57" t="s">
        <v>3971</v>
      </c>
      <c r="I614" s="57" t="s">
        <v>3972</v>
      </c>
      <c r="J614" s="57" t="s">
        <v>3973</v>
      </c>
      <c r="K614" s="57" t="s">
        <v>3974</v>
      </c>
      <c r="L614" s="57" t="s">
        <v>3975</v>
      </c>
      <c r="M614" s="57" t="s">
        <v>3976</v>
      </c>
    </row>
    <row r="615" ht="28" spans="1:13">
      <c r="A615" s="178" t="str">
        <f t="shared" si="9"/>
        <v>Team Work|Department Head|1</v>
      </c>
      <c r="B615" s="57" t="s">
        <v>454</v>
      </c>
      <c r="C615" s="177" t="s">
        <v>655</v>
      </c>
      <c r="D615" s="177">
        <v>1</v>
      </c>
      <c r="E615" s="177" t="s">
        <v>473</v>
      </c>
      <c r="F615" s="177">
        <v>2</v>
      </c>
      <c r="G615" s="57" t="s">
        <v>3977</v>
      </c>
      <c r="H615" s="57" t="s">
        <v>3978</v>
      </c>
      <c r="I615" s="57" t="s">
        <v>3979</v>
      </c>
      <c r="J615" s="57" t="s">
        <v>3980</v>
      </c>
      <c r="K615" s="57" t="s">
        <v>3981</v>
      </c>
      <c r="L615" s="57" t="s">
        <v>3982</v>
      </c>
      <c r="M615" s="57" t="s">
        <v>3983</v>
      </c>
    </row>
    <row r="616" ht="28" spans="1:13">
      <c r="A616" s="178" t="str">
        <f t="shared" si="9"/>
        <v>Team Work|Department Head|1</v>
      </c>
      <c r="B616" s="57" t="s">
        <v>454</v>
      </c>
      <c r="C616" s="177" t="s">
        <v>655</v>
      </c>
      <c r="D616" s="177">
        <v>1</v>
      </c>
      <c r="E616" s="177" t="s">
        <v>473</v>
      </c>
      <c r="F616" s="177">
        <v>3</v>
      </c>
      <c r="G616" s="57" t="s">
        <v>3984</v>
      </c>
      <c r="H616" s="57" t="s">
        <v>3985</v>
      </c>
      <c r="I616" s="57" t="s">
        <v>3986</v>
      </c>
      <c r="J616" s="57" t="s">
        <v>3987</v>
      </c>
      <c r="K616" s="57" t="s">
        <v>3988</v>
      </c>
      <c r="L616" s="57" t="s">
        <v>3989</v>
      </c>
      <c r="M616" s="57" t="s">
        <v>3990</v>
      </c>
    </row>
    <row r="617" ht="28" spans="1:13">
      <c r="A617" s="178" t="str">
        <f t="shared" si="9"/>
        <v>Team Work|Department Head|2</v>
      </c>
      <c r="B617" s="57" t="s">
        <v>454</v>
      </c>
      <c r="C617" s="177" t="s">
        <v>655</v>
      </c>
      <c r="D617" s="177">
        <v>2</v>
      </c>
      <c r="E617" s="177" t="s">
        <v>491</v>
      </c>
      <c r="F617" s="177">
        <v>1</v>
      </c>
      <c r="G617" s="57" t="s">
        <v>3991</v>
      </c>
      <c r="H617" s="57" t="s">
        <v>3992</v>
      </c>
      <c r="I617" s="57" t="s">
        <v>3993</v>
      </c>
      <c r="J617" s="57" t="s">
        <v>3994</v>
      </c>
      <c r="K617" s="57" t="s">
        <v>3995</v>
      </c>
      <c r="L617" s="57" t="s">
        <v>3996</v>
      </c>
      <c r="M617" s="57" t="s">
        <v>3997</v>
      </c>
    </row>
    <row r="618" ht="28" spans="1:13">
      <c r="A618" s="178" t="str">
        <f t="shared" si="9"/>
        <v>Team Work|Department Head|2</v>
      </c>
      <c r="B618" s="57" t="s">
        <v>454</v>
      </c>
      <c r="C618" s="177" t="s">
        <v>655</v>
      </c>
      <c r="D618" s="177">
        <v>2</v>
      </c>
      <c r="E618" s="177" t="s">
        <v>491</v>
      </c>
      <c r="F618" s="177">
        <v>2</v>
      </c>
      <c r="G618" s="57" t="s">
        <v>3998</v>
      </c>
      <c r="H618" s="57" t="s">
        <v>3999</v>
      </c>
      <c r="I618" s="57" t="s">
        <v>4000</v>
      </c>
      <c r="J618" s="57" t="s">
        <v>4001</v>
      </c>
      <c r="K618" s="57" t="s">
        <v>4002</v>
      </c>
      <c r="L618" s="57" t="s">
        <v>4003</v>
      </c>
      <c r="M618" s="57" t="s">
        <v>4004</v>
      </c>
    </row>
    <row r="619" ht="28" spans="1:13">
      <c r="A619" s="178" t="str">
        <f t="shared" si="9"/>
        <v>Team Work|Department Head|2</v>
      </c>
      <c r="B619" s="57" t="s">
        <v>454</v>
      </c>
      <c r="C619" s="177" t="s">
        <v>655</v>
      </c>
      <c r="D619" s="177">
        <v>2</v>
      </c>
      <c r="E619" s="177" t="s">
        <v>491</v>
      </c>
      <c r="F619" s="177">
        <v>3</v>
      </c>
      <c r="G619" s="57" t="s">
        <v>4005</v>
      </c>
      <c r="H619" s="57" t="s">
        <v>4006</v>
      </c>
      <c r="I619" s="57" t="s">
        <v>4007</v>
      </c>
      <c r="J619" s="57" t="s">
        <v>4008</v>
      </c>
      <c r="K619" s="57" t="s">
        <v>4009</v>
      </c>
      <c r="L619" s="57" t="s">
        <v>4010</v>
      </c>
      <c r="M619" s="57" t="s">
        <v>4011</v>
      </c>
    </row>
    <row r="620" ht="28" spans="1:13">
      <c r="A620" s="178" t="str">
        <f t="shared" si="9"/>
        <v>Team Work|Department Head|3</v>
      </c>
      <c r="B620" s="57" t="s">
        <v>454</v>
      </c>
      <c r="C620" s="177" t="s">
        <v>655</v>
      </c>
      <c r="D620" s="177">
        <v>3</v>
      </c>
      <c r="E620" s="177" t="s">
        <v>507</v>
      </c>
      <c r="F620" s="177">
        <v>1</v>
      </c>
      <c r="G620" s="57" t="s">
        <v>4012</v>
      </c>
      <c r="H620" s="57" t="s">
        <v>4013</v>
      </c>
      <c r="I620" s="57" t="s">
        <v>4014</v>
      </c>
      <c r="J620" s="57" t="s">
        <v>4015</v>
      </c>
      <c r="K620" s="57" t="s">
        <v>4016</v>
      </c>
      <c r="L620" s="57" t="s">
        <v>4017</v>
      </c>
      <c r="M620" s="57" t="s">
        <v>4018</v>
      </c>
    </row>
    <row r="621" ht="28" spans="1:13">
      <c r="A621" s="178" t="str">
        <f t="shared" si="9"/>
        <v>Team Work|Department Head|3</v>
      </c>
      <c r="B621" s="57" t="s">
        <v>454</v>
      </c>
      <c r="C621" s="177" t="s">
        <v>655</v>
      </c>
      <c r="D621" s="177">
        <v>3</v>
      </c>
      <c r="E621" s="177" t="s">
        <v>507</v>
      </c>
      <c r="F621" s="177">
        <v>2</v>
      </c>
      <c r="G621" s="57" t="s">
        <v>4019</v>
      </c>
      <c r="H621" s="57" t="s">
        <v>4020</v>
      </c>
      <c r="I621" s="57" t="s">
        <v>4021</v>
      </c>
      <c r="J621" s="57" t="s">
        <v>4022</v>
      </c>
      <c r="K621" s="57" t="s">
        <v>4023</v>
      </c>
      <c r="L621" s="57" t="s">
        <v>4024</v>
      </c>
      <c r="M621" s="57" t="s">
        <v>4025</v>
      </c>
    </row>
    <row r="622" ht="28" spans="1:13">
      <c r="A622" s="178" t="str">
        <f t="shared" si="9"/>
        <v>Team Work|Department Head|3</v>
      </c>
      <c r="B622" s="57" t="s">
        <v>454</v>
      </c>
      <c r="C622" s="177" t="s">
        <v>655</v>
      </c>
      <c r="D622" s="177">
        <v>3</v>
      </c>
      <c r="E622" s="177" t="s">
        <v>507</v>
      </c>
      <c r="F622" s="177">
        <v>3</v>
      </c>
      <c r="G622" s="57" t="s">
        <v>4026</v>
      </c>
      <c r="H622" s="57" t="s">
        <v>4027</v>
      </c>
      <c r="I622" s="57" t="s">
        <v>4028</v>
      </c>
      <c r="J622" s="57" t="s">
        <v>4029</v>
      </c>
      <c r="K622" s="57" t="s">
        <v>4030</v>
      </c>
      <c r="L622" s="57" t="s">
        <v>4031</v>
      </c>
      <c r="M622" s="57" t="s">
        <v>4032</v>
      </c>
    </row>
    <row r="623" ht="28" spans="1:13">
      <c r="A623" s="178" t="str">
        <f t="shared" si="9"/>
        <v>Team Work|Department Head|4</v>
      </c>
      <c r="B623" s="57" t="s">
        <v>454</v>
      </c>
      <c r="C623" s="177" t="s">
        <v>655</v>
      </c>
      <c r="D623" s="177">
        <v>4</v>
      </c>
      <c r="E623" s="177" t="s">
        <v>523</v>
      </c>
      <c r="F623" s="177">
        <v>1</v>
      </c>
      <c r="G623" s="57" t="s">
        <v>4033</v>
      </c>
      <c r="H623" s="57" t="s">
        <v>4034</v>
      </c>
      <c r="I623" s="57" t="s">
        <v>4035</v>
      </c>
      <c r="J623" s="57" t="s">
        <v>4036</v>
      </c>
      <c r="K623" s="57" t="s">
        <v>4037</v>
      </c>
      <c r="L623" s="57" t="s">
        <v>4038</v>
      </c>
      <c r="M623" s="57" t="s">
        <v>4039</v>
      </c>
    </row>
    <row r="624" ht="28" spans="1:13">
      <c r="A624" s="178" t="str">
        <f t="shared" si="9"/>
        <v>Team Work|Department Head|4</v>
      </c>
      <c r="B624" s="57" t="s">
        <v>454</v>
      </c>
      <c r="C624" s="177" t="s">
        <v>655</v>
      </c>
      <c r="D624" s="177">
        <v>4</v>
      </c>
      <c r="E624" s="177" t="s">
        <v>523</v>
      </c>
      <c r="F624" s="177">
        <v>2</v>
      </c>
      <c r="G624" s="57" t="s">
        <v>4040</v>
      </c>
      <c r="H624" s="57" t="s">
        <v>4041</v>
      </c>
      <c r="I624" s="57" t="s">
        <v>4042</v>
      </c>
      <c r="J624" s="57" t="s">
        <v>4043</v>
      </c>
      <c r="K624" s="57" t="s">
        <v>4044</v>
      </c>
      <c r="L624" s="57" t="s">
        <v>4045</v>
      </c>
      <c r="M624" s="57" t="s">
        <v>4046</v>
      </c>
    </row>
    <row r="625" ht="28" spans="1:13">
      <c r="A625" s="178" t="str">
        <f t="shared" si="9"/>
        <v>Team Work|Department Head|4</v>
      </c>
      <c r="B625" s="57" t="s">
        <v>454</v>
      </c>
      <c r="C625" s="177" t="s">
        <v>655</v>
      </c>
      <c r="D625" s="177">
        <v>4</v>
      </c>
      <c r="E625" s="177" t="s">
        <v>523</v>
      </c>
      <c r="F625" s="177">
        <v>3</v>
      </c>
      <c r="G625" s="57" t="s">
        <v>4047</v>
      </c>
      <c r="H625" s="57" t="s">
        <v>4048</v>
      </c>
      <c r="I625" s="57" t="s">
        <v>4049</v>
      </c>
      <c r="J625" s="57" t="s">
        <v>4050</v>
      </c>
      <c r="K625" s="57" t="s">
        <v>4051</v>
      </c>
      <c r="L625" s="57" t="s">
        <v>4052</v>
      </c>
      <c r="M625" s="57" t="s">
        <v>4053</v>
      </c>
    </row>
    <row r="626" ht="28" spans="1:13">
      <c r="A626" s="178" t="str">
        <f t="shared" si="9"/>
        <v>Team Work|Division Head|1</v>
      </c>
      <c r="B626" s="57" t="s">
        <v>454</v>
      </c>
      <c r="C626" s="177" t="s">
        <v>712</v>
      </c>
      <c r="D626" s="177">
        <v>1</v>
      </c>
      <c r="E626" s="177" t="s">
        <v>473</v>
      </c>
      <c r="F626" s="177">
        <v>1</v>
      </c>
      <c r="G626" s="57" t="s">
        <v>4054</v>
      </c>
      <c r="H626" s="57" t="s">
        <v>4055</v>
      </c>
      <c r="I626" s="57" t="s">
        <v>4056</v>
      </c>
      <c r="J626" s="57" t="s">
        <v>4057</v>
      </c>
      <c r="K626" s="57" t="s">
        <v>4058</v>
      </c>
      <c r="L626" s="57" t="s">
        <v>4059</v>
      </c>
      <c r="M626" s="57" t="s">
        <v>4060</v>
      </c>
    </row>
    <row r="627" ht="28" spans="1:13">
      <c r="A627" s="178" t="str">
        <f t="shared" si="9"/>
        <v>Team Work|Division Head|1</v>
      </c>
      <c r="B627" s="57" t="s">
        <v>454</v>
      </c>
      <c r="C627" s="177" t="s">
        <v>712</v>
      </c>
      <c r="D627" s="177">
        <v>1</v>
      </c>
      <c r="E627" s="177" t="s">
        <v>473</v>
      </c>
      <c r="F627" s="177">
        <v>2</v>
      </c>
      <c r="G627" s="57" t="s">
        <v>4061</v>
      </c>
      <c r="H627" s="57" t="s">
        <v>4062</v>
      </c>
      <c r="I627" s="57" t="s">
        <v>4063</v>
      </c>
      <c r="J627" s="57" t="s">
        <v>4064</v>
      </c>
      <c r="K627" s="57" t="s">
        <v>4065</v>
      </c>
      <c r="L627" s="57" t="s">
        <v>4066</v>
      </c>
      <c r="M627" s="57" t="s">
        <v>4067</v>
      </c>
    </row>
    <row r="628" ht="28" spans="1:13">
      <c r="A628" s="178" t="str">
        <f t="shared" si="9"/>
        <v>Team Work|Division Head|1</v>
      </c>
      <c r="B628" s="57" t="s">
        <v>454</v>
      </c>
      <c r="C628" s="177" t="s">
        <v>712</v>
      </c>
      <c r="D628" s="177">
        <v>1</v>
      </c>
      <c r="E628" s="177" t="s">
        <v>473</v>
      </c>
      <c r="F628" s="177">
        <v>3</v>
      </c>
      <c r="G628" s="57" t="s">
        <v>4068</v>
      </c>
      <c r="H628" s="57" t="s">
        <v>4069</v>
      </c>
      <c r="I628" s="57" t="s">
        <v>4070</v>
      </c>
      <c r="J628" s="57" t="s">
        <v>4071</v>
      </c>
      <c r="K628" s="57" t="s">
        <v>4072</v>
      </c>
      <c r="L628" s="57" t="s">
        <v>4073</v>
      </c>
      <c r="M628" s="57" t="s">
        <v>4074</v>
      </c>
    </row>
    <row r="629" ht="28" spans="1:13">
      <c r="A629" s="178" t="str">
        <f t="shared" si="9"/>
        <v>Team Work|Division Head|2</v>
      </c>
      <c r="B629" s="57" t="s">
        <v>454</v>
      </c>
      <c r="C629" s="177" t="s">
        <v>712</v>
      </c>
      <c r="D629" s="177">
        <v>2</v>
      </c>
      <c r="E629" s="177" t="s">
        <v>491</v>
      </c>
      <c r="F629" s="177">
        <v>1</v>
      </c>
      <c r="G629" s="57" t="s">
        <v>4075</v>
      </c>
      <c r="H629" s="57" t="s">
        <v>4076</v>
      </c>
      <c r="I629" s="57" t="s">
        <v>4077</v>
      </c>
      <c r="J629" s="57" t="s">
        <v>4078</v>
      </c>
      <c r="K629" s="57" t="s">
        <v>4079</v>
      </c>
      <c r="L629" s="57" t="s">
        <v>4080</v>
      </c>
      <c r="M629" s="57" t="s">
        <v>4081</v>
      </c>
    </row>
    <row r="630" ht="28" spans="1:13">
      <c r="A630" s="178" t="str">
        <f t="shared" si="9"/>
        <v>Team Work|Division Head|2</v>
      </c>
      <c r="B630" s="57" t="s">
        <v>454</v>
      </c>
      <c r="C630" s="177" t="s">
        <v>712</v>
      </c>
      <c r="D630" s="177">
        <v>2</v>
      </c>
      <c r="E630" s="177" t="s">
        <v>491</v>
      </c>
      <c r="F630" s="177">
        <v>2</v>
      </c>
      <c r="G630" s="57" t="s">
        <v>4082</v>
      </c>
      <c r="H630" s="57" t="s">
        <v>4083</v>
      </c>
      <c r="I630" s="57" t="s">
        <v>4084</v>
      </c>
      <c r="J630" s="57" t="s">
        <v>4085</v>
      </c>
      <c r="K630" s="57" t="s">
        <v>4086</v>
      </c>
      <c r="L630" s="57" t="s">
        <v>4087</v>
      </c>
      <c r="M630" s="57" t="s">
        <v>4088</v>
      </c>
    </row>
    <row r="631" ht="28" spans="1:13">
      <c r="A631" s="178" t="str">
        <f t="shared" si="9"/>
        <v>Team Work|Division Head|2</v>
      </c>
      <c r="B631" s="57" t="s">
        <v>454</v>
      </c>
      <c r="C631" s="177" t="s">
        <v>712</v>
      </c>
      <c r="D631" s="177">
        <v>2</v>
      </c>
      <c r="E631" s="177" t="s">
        <v>491</v>
      </c>
      <c r="F631" s="177">
        <v>3</v>
      </c>
      <c r="G631" s="57" t="s">
        <v>4089</v>
      </c>
      <c r="H631" s="57" t="s">
        <v>4090</v>
      </c>
      <c r="I631" s="57" t="s">
        <v>4091</v>
      </c>
      <c r="J631" s="57" t="s">
        <v>4092</v>
      </c>
      <c r="K631" s="57" t="s">
        <v>4093</v>
      </c>
      <c r="L631" s="57" t="s">
        <v>4094</v>
      </c>
      <c r="M631" s="57" t="s">
        <v>4095</v>
      </c>
    </row>
    <row r="632" ht="28" spans="1:13">
      <c r="A632" s="178" t="str">
        <f t="shared" si="9"/>
        <v>Team Work|Division Head|3</v>
      </c>
      <c r="B632" s="57" t="s">
        <v>454</v>
      </c>
      <c r="C632" s="177" t="s">
        <v>712</v>
      </c>
      <c r="D632" s="177">
        <v>3</v>
      </c>
      <c r="E632" s="177" t="s">
        <v>507</v>
      </c>
      <c r="F632" s="177">
        <v>1</v>
      </c>
      <c r="G632" s="57" t="s">
        <v>4096</v>
      </c>
      <c r="H632" s="57" t="s">
        <v>4097</v>
      </c>
      <c r="I632" s="57" t="s">
        <v>4098</v>
      </c>
      <c r="J632" s="57" t="s">
        <v>4099</v>
      </c>
      <c r="K632" s="57" t="s">
        <v>4100</v>
      </c>
      <c r="L632" s="57" t="s">
        <v>4101</v>
      </c>
      <c r="M632" s="57" t="s">
        <v>4102</v>
      </c>
    </row>
    <row r="633" ht="28" spans="1:13">
      <c r="A633" s="178" t="str">
        <f t="shared" si="9"/>
        <v>Team Work|Division Head|3</v>
      </c>
      <c r="B633" s="57" t="s">
        <v>454</v>
      </c>
      <c r="C633" s="177" t="s">
        <v>712</v>
      </c>
      <c r="D633" s="177">
        <v>3</v>
      </c>
      <c r="E633" s="177" t="s">
        <v>507</v>
      </c>
      <c r="F633" s="177">
        <v>2</v>
      </c>
      <c r="G633" s="57" t="s">
        <v>4103</v>
      </c>
      <c r="H633" s="57" t="s">
        <v>4104</v>
      </c>
      <c r="I633" s="57" t="s">
        <v>4105</v>
      </c>
      <c r="J633" s="57" t="s">
        <v>4106</v>
      </c>
      <c r="K633" s="57" t="s">
        <v>4107</v>
      </c>
      <c r="L633" s="57" t="s">
        <v>4108</v>
      </c>
      <c r="M633" s="57" t="s">
        <v>4109</v>
      </c>
    </row>
    <row r="634" ht="28" spans="1:13">
      <c r="A634" s="178" t="str">
        <f t="shared" si="9"/>
        <v>Team Work|Division Head|3</v>
      </c>
      <c r="B634" s="57" t="s">
        <v>454</v>
      </c>
      <c r="C634" s="177" t="s">
        <v>712</v>
      </c>
      <c r="D634" s="177">
        <v>3</v>
      </c>
      <c r="E634" s="177" t="s">
        <v>507</v>
      </c>
      <c r="F634" s="177">
        <v>3</v>
      </c>
      <c r="G634" s="57" t="s">
        <v>4110</v>
      </c>
      <c r="H634" s="57" t="s">
        <v>4111</v>
      </c>
      <c r="I634" s="57" t="s">
        <v>4112</v>
      </c>
      <c r="J634" s="57" t="s">
        <v>4113</v>
      </c>
      <c r="K634" s="57" t="s">
        <v>4114</v>
      </c>
      <c r="L634" s="57" t="s">
        <v>4115</v>
      </c>
      <c r="M634" s="57" t="s">
        <v>4116</v>
      </c>
    </row>
    <row r="635" ht="28" spans="1:13">
      <c r="A635" s="178" t="str">
        <f t="shared" si="9"/>
        <v>Team Work|Division Head|4</v>
      </c>
      <c r="B635" s="57" t="s">
        <v>454</v>
      </c>
      <c r="C635" s="177" t="s">
        <v>712</v>
      </c>
      <c r="D635" s="177">
        <v>4</v>
      </c>
      <c r="E635" s="177" t="s">
        <v>523</v>
      </c>
      <c r="F635" s="177">
        <v>1</v>
      </c>
      <c r="G635" s="57" t="s">
        <v>4117</v>
      </c>
      <c r="H635" s="57" t="s">
        <v>4118</v>
      </c>
      <c r="I635" s="57" t="s">
        <v>4119</v>
      </c>
      <c r="J635" s="57" t="s">
        <v>4120</v>
      </c>
      <c r="K635" s="57" t="s">
        <v>4121</v>
      </c>
      <c r="L635" s="57" t="s">
        <v>4122</v>
      </c>
      <c r="M635" s="57" t="s">
        <v>4123</v>
      </c>
    </row>
    <row r="636" ht="28" spans="1:13">
      <c r="A636" s="178" t="str">
        <f t="shared" si="9"/>
        <v>Team Work|Division Head|4</v>
      </c>
      <c r="B636" s="57" t="s">
        <v>454</v>
      </c>
      <c r="C636" s="177" t="s">
        <v>712</v>
      </c>
      <c r="D636" s="177">
        <v>4</v>
      </c>
      <c r="E636" s="177" t="s">
        <v>523</v>
      </c>
      <c r="F636" s="177">
        <v>2</v>
      </c>
      <c r="G636" s="57" t="s">
        <v>4124</v>
      </c>
      <c r="H636" s="57" t="s">
        <v>4125</v>
      </c>
      <c r="I636" s="57" t="s">
        <v>4126</v>
      </c>
      <c r="J636" s="57" t="s">
        <v>4127</v>
      </c>
      <c r="K636" s="57" t="s">
        <v>4128</v>
      </c>
      <c r="L636" s="57" t="s">
        <v>4129</v>
      </c>
      <c r="M636" s="57" t="s">
        <v>4130</v>
      </c>
    </row>
    <row r="637" ht="28" spans="1:13">
      <c r="A637" s="178" t="str">
        <f t="shared" si="9"/>
        <v>Team Work|Division Head|4</v>
      </c>
      <c r="B637" s="57" t="s">
        <v>454</v>
      </c>
      <c r="C637" s="177" t="s">
        <v>712</v>
      </c>
      <c r="D637" s="177">
        <v>4</v>
      </c>
      <c r="E637" s="177" t="s">
        <v>523</v>
      </c>
      <c r="F637" s="177">
        <v>3</v>
      </c>
      <c r="G637" s="57" t="s">
        <v>4131</v>
      </c>
      <c r="H637" s="57" t="s">
        <v>4132</v>
      </c>
      <c r="I637" s="57" t="s">
        <v>4133</v>
      </c>
      <c r="J637" s="57" t="s">
        <v>4134</v>
      </c>
      <c r="K637" s="57" t="s">
        <v>4135</v>
      </c>
      <c r="L637" s="57" t="s">
        <v>4136</v>
      </c>
      <c r="M637" s="57" t="s">
        <v>4137</v>
      </c>
    </row>
    <row r="638" ht="28" spans="1:13">
      <c r="A638" s="178" t="str">
        <f t="shared" si="9"/>
        <v>Team Work|Director|1</v>
      </c>
      <c r="B638" s="57" t="s">
        <v>454</v>
      </c>
      <c r="C638" s="177" t="s">
        <v>773</v>
      </c>
      <c r="D638" s="177">
        <v>1</v>
      </c>
      <c r="E638" s="177" t="s">
        <v>473</v>
      </c>
      <c r="F638" s="177">
        <v>1</v>
      </c>
      <c r="G638" s="57" t="s">
        <v>4138</v>
      </c>
      <c r="H638" s="57" t="s">
        <v>4139</v>
      </c>
      <c r="I638" s="57" t="s">
        <v>4140</v>
      </c>
      <c r="J638" s="57" t="s">
        <v>4141</v>
      </c>
      <c r="K638" s="57" t="s">
        <v>4142</v>
      </c>
      <c r="L638" s="57" t="s">
        <v>4143</v>
      </c>
      <c r="M638" s="57" t="s">
        <v>4144</v>
      </c>
    </row>
    <row r="639" ht="28" spans="1:13">
      <c r="A639" s="178" t="str">
        <f t="shared" si="9"/>
        <v>Team Work|Director|1</v>
      </c>
      <c r="B639" s="57" t="s">
        <v>454</v>
      </c>
      <c r="C639" s="177" t="s">
        <v>773</v>
      </c>
      <c r="D639" s="177">
        <v>1</v>
      </c>
      <c r="E639" s="177" t="s">
        <v>473</v>
      </c>
      <c r="F639" s="177">
        <v>2</v>
      </c>
      <c r="G639" s="57" t="s">
        <v>4145</v>
      </c>
      <c r="H639" s="57" t="s">
        <v>4146</v>
      </c>
      <c r="I639" s="57" t="s">
        <v>4147</v>
      </c>
      <c r="J639" s="57" t="s">
        <v>4148</v>
      </c>
      <c r="K639" s="57" t="s">
        <v>4149</v>
      </c>
      <c r="L639" s="57" t="s">
        <v>4150</v>
      </c>
      <c r="M639" s="57" t="s">
        <v>4151</v>
      </c>
    </row>
    <row r="640" ht="28" spans="1:13">
      <c r="A640" s="178" t="str">
        <f t="shared" si="9"/>
        <v>Team Work|Director|1</v>
      </c>
      <c r="B640" s="57" t="s">
        <v>454</v>
      </c>
      <c r="C640" s="177" t="s">
        <v>773</v>
      </c>
      <c r="D640" s="177">
        <v>1</v>
      </c>
      <c r="E640" s="177" t="s">
        <v>473</v>
      </c>
      <c r="F640" s="177">
        <v>3</v>
      </c>
      <c r="G640" s="57" t="s">
        <v>4152</v>
      </c>
      <c r="H640" s="57" t="s">
        <v>4153</v>
      </c>
      <c r="I640" s="57" t="s">
        <v>4154</v>
      </c>
      <c r="J640" s="57" t="s">
        <v>4155</v>
      </c>
      <c r="K640" s="57" t="s">
        <v>4156</v>
      </c>
      <c r="L640" s="57" t="s">
        <v>4157</v>
      </c>
      <c r="M640" s="57" t="s">
        <v>4158</v>
      </c>
    </row>
    <row r="641" ht="28" spans="1:13">
      <c r="A641" s="178" t="str">
        <f t="shared" si="9"/>
        <v>Team Work|Director|2</v>
      </c>
      <c r="B641" s="57" t="s">
        <v>454</v>
      </c>
      <c r="C641" s="177" t="s">
        <v>773</v>
      </c>
      <c r="D641" s="177">
        <v>2</v>
      </c>
      <c r="E641" s="177" t="s">
        <v>491</v>
      </c>
      <c r="F641" s="177">
        <v>1</v>
      </c>
      <c r="G641" s="57" t="s">
        <v>4159</v>
      </c>
      <c r="H641" s="57" t="s">
        <v>4160</v>
      </c>
      <c r="I641" s="57" t="s">
        <v>4161</v>
      </c>
      <c r="J641" s="57" t="s">
        <v>4162</v>
      </c>
      <c r="K641" s="57" t="s">
        <v>4163</v>
      </c>
      <c r="L641" s="57" t="s">
        <v>4164</v>
      </c>
      <c r="M641" s="57" t="s">
        <v>4165</v>
      </c>
    </row>
    <row r="642" ht="28" spans="1:13">
      <c r="A642" s="178" t="str">
        <f t="shared" si="9"/>
        <v>Team Work|Director|2</v>
      </c>
      <c r="B642" s="57" t="s">
        <v>454</v>
      </c>
      <c r="C642" s="177" t="s">
        <v>773</v>
      </c>
      <c r="D642" s="177">
        <v>2</v>
      </c>
      <c r="E642" s="177" t="s">
        <v>491</v>
      </c>
      <c r="F642" s="177">
        <v>2</v>
      </c>
      <c r="G642" s="57" t="s">
        <v>4166</v>
      </c>
      <c r="H642" s="57" t="s">
        <v>4167</v>
      </c>
      <c r="I642" s="57" t="s">
        <v>4168</v>
      </c>
      <c r="J642" s="57" t="s">
        <v>4169</v>
      </c>
      <c r="K642" s="57" t="s">
        <v>4170</v>
      </c>
      <c r="L642" s="57" t="s">
        <v>4171</v>
      </c>
      <c r="M642" s="57" t="s">
        <v>4172</v>
      </c>
    </row>
    <row r="643" ht="28" spans="1:13">
      <c r="A643" s="178" t="str">
        <f t="shared" ref="A643:A706" si="10">B643&amp;"|"&amp;C643&amp;"|"&amp;D643</f>
        <v>Team Work|Director|2</v>
      </c>
      <c r="B643" s="57" t="s">
        <v>454</v>
      </c>
      <c r="C643" s="177" t="s">
        <v>773</v>
      </c>
      <c r="D643" s="177">
        <v>2</v>
      </c>
      <c r="E643" s="177" t="s">
        <v>491</v>
      </c>
      <c r="F643" s="177">
        <v>3</v>
      </c>
      <c r="G643" s="57" t="s">
        <v>4173</v>
      </c>
      <c r="H643" s="57" t="s">
        <v>4174</v>
      </c>
      <c r="I643" s="57" t="s">
        <v>4175</v>
      </c>
      <c r="J643" s="57" t="s">
        <v>4176</v>
      </c>
      <c r="K643" s="57" t="s">
        <v>4177</v>
      </c>
      <c r="L643" s="57" t="s">
        <v>4178</v>
      </c>
      <c r="M643" s="57" t="s">
        <v>4179</v>
      </c>
    </row>
    <row r="644" ht="28" spans="1:13">
      <c r="A644" s="178" t="str">
        <f t="shared" si="10"/>
        <v>Team Work|Director|3</v>
      </c>
      <c r="B644" s="57" t="s">
        <v>454</v>
      </c>
      <c r="C644" s="177" t="s">
        <v>773</v>
      </c>
      <c r="D644" s="177">
        <v>3</v>
      </c>
      <c r="E644" s="177" t="s">
        <v>507</v>
      </c>
      <c r="F644" s="177">
        <v>1</v>
      </c>
      <c r="G644" s="57" t="s">
        <v>4180</v>
      </c>
      <c r="H644" s="57" t="s">
        <v>4181</v>
      </c>
      <c r="I644" s="57" t="s">
        <v>4182</v>
      </c>
      <c r="J644" s="57" t="s">
        <v>4183</v>
      </c>
      <c r="K644" s="57" t="s">
        <v>4184</v>
      </c>
      <c r="L644" s="57" t="s">
        <v>4185</v>
      </c>
      <c r="M644" s="57" t="s">
        <v>4186</v>
      </c>
    </row>
    <row r="645" ht="28" spans="1:13">
      <c r="A645" s="178" t="str">
        <f t="shared" si="10"/>
        <v>Team Work|Director|3</v>
      </c>
      <c r="B645" s="57" t="s">
        <v>454</v>
      </c>
      <c r="C645" s="177" t="s">
        <v>773</v>
      </c>
      <c r="D645" s="177">
        <v>3</v>
      </c>
      <c r="E645" s="177" t="s">
        <v>507</v>
      </c>
      <c r="F645" s="177">
        <v>2</v>
      </c>
      <c r="G645" s="57" t="s">
        <v>4187</v>
      </c>
      <c r="H645" s="57" t="s">
        <v>4188</v>
      </c>
      <c r="I645" s="57" t="s">
        <v>4189</v>
      </c>
      <c r="J645" s="57" t="s">
        <v>4190</v>
      </c>
      <c r="K645" s="57" t="s">
        <v>4191</v>
      </c>
      <c r="L645" s="57" t="s">
        <v>4192</v>
      </c>
      <c r="M645" s="57" t="s">
        <v>4193</v>
      </c>
    </row>
    <row r="646" ht="28" spans="1:13">
      <c r="A646" s="178" t="str">
        <f t="shared" si="10"/>
        <v>Team Work|Director|3</v>
      </c>
      <c r="B646" s="57" t="s">
        <v>454</v>
      </c>
      <c r="C646" s="177" t="s">
        <v>773</v>
      </c>
      <c r="D646" s="177">
        <v>3</v>
      </c>
      <c r="E646" s="177" t="s">
        <v>507</v>
      </c>
      <c r="F646" s="177">
        <v>3</v>
      </c>
      <c r="G646" s="57" t="s">
        <v>4194</v>
      </c>
      <c r="H646" s="57" t="s">
        <v>4195</v>
      </c>
      <c r="I646" s="57" t="s">
        <v>4196</v>
      </c>
      <c r="J646" s="57" t="s">
        <v>4197</v>
      </c>
      <c r="K646" s="57" t="s">
        <v>4198</v>
      </c>
      <c r="L646" s="57" t="s">
        <v>4199</v>
      </c>
      <c r="M646" s="57" t="s">
        <v>4200</v>
      </c>
    </row>
    <row r="647" ht="28" spans="1:13">
      <c r="A647" s="178" t="str">
        <f t="shared" si="10"/>
        <v>Team Work|Director|4</v>
      </c>
      <c r="B647" s="57" t="s">
        <v>454</v>
      </c>
      <c r="C647" s="177" t="s">
        <v>773</v>
      </c>
      <c r="D647" s="177">
        <v>4</v>
      </c>
      <c r="E647" s="177" t="s">
        <v>523</v>
      </c>
      <c r="F647" s="177">
        <v>1</v>
      </c>
      <c r="G647" s="57" t="s">
        <v>4201</v>
      </c>
      <c r="H647" s="57" t="s">
        <v>4202</v>
      </c>
      <c r="I647" s="57" t="s">
        <v>4203</v>
      </c>
      <c r="J647" s="57" t="s">
        <v>4204</v>
      </c>
      <c r="K647" s="57" t="s">
        <v>4205</v>
      </c>
      <c r="L647" s="57" t="s">
        <v>4206</v>
      </c>
      <c r="M647" s="57" t="s">
        <v>4207</v>
      </c>
    </row>
    <row r="648" ht="28" spans="1:13">
      <c r="A648" s="178" t="str">
        <f t="shared" si="10"/>
        <v>Team Work|Director|4</v>
      </c>
      <c r="B648" s="57" t="s">
        <v>454</v>
      </c>
      <c r="C648" s="177" t="s">
        <v>773</v>
      </c>
      <c r="D648" s="177">
        <v>4</v>
      </c>
      <c r="E648" s="177" t="s">
        <v>523</v>
      </c>
      <c r="F648" s="177">
        <v>2</v>
      </c>
      <c r="G648" s="57" t="s">
        <v>4208</v>
      </c>
      <c r="H648" s="57" t="s">
        <v>4209</v>
      </c>
      <c r="I648" s="57" t="s">
        <v>4210</v>
      </c>
      <c r="J648" s="57" t="s">
        <v>4211</v>
      </c>
      <c r="K648" s="57" t="s">
        <v>4212</v>
      </c>
      <c r="L648" s="57" t="s">
        <v>4213</v>
      </c>
      <c r="M648" s="57" t="s">
        <v>4214</v>
      </c>
    </row>
    <row r="649" ht="28" spans="1:13">
      <c r="A649" s="178" t="str">
        <f t="shared" si="10"/>
        <v>Team Work|Director|4</v>
      </c>
      <c r="B649" s="57" t="s">
        <v>454</v>
      </c>
      <c r="C649" s="177" t="s">
        <v>773</v>
      </c>
      <c r="D649" s="177">
        <v>4</v>
      </c>
      <c r="E649" s="177" t="s">
        <v>523</v>
      </c>
      <c r="F649" s="177">
        <v>3</v>
      </c>
      <c r="G649" s="57" t="s">
        <v>4215</v>
      </c>
      <c r="H649" s="57" t="s">
        <v>4216</v>
      </c>
      <c r="I649" s="57" t="s">
        <v>4217</v>
      </c>
      <c r="J649" s="57" t="s">
        <v>4218</v>
      </c>
      <c r="K649" s="57" t="s">
        <v>4219</v>
      </c>
      <c r="L649" s="57" t="s">
        <v>4220</v>
      </c>
      <c r="M649" s="57" t="s">
        <v>4221</v>
      </c>
    </row>
    <row r="650" ht="28" spans="1:13">
      <c r="A650" s="178" t="str">
        <f t="shared" si="10"/>
        <v>Achievement Drive|Officer|1</v>
      </c>
      <c r="B650" s="57" t="s">
        <v>443</v>
      </c>
      <c r="C650" s="177" t="s">
        <v>6</v>
      </c>
      <c r="D650" s="177">
        <v>1</v>
      </c>
      <c r="E650" s="177" t="s">
        <v>473</v>
      </c>
      <c r="F650" s="177">
        <v>1</v>
      </c>
      <c r="G650" s="57" t="s">
        <v>4222</v>
      </c>
      <c r="H650" s="57" t="s">
        <v>4223</v>
      </c>
      <c r="I650" s="57" t="s">
        <v>4224</v>
      </c>
      <c r="J650" s="57" t="s">
        <v>4225</v>
      </c>
      <c r="K650" s="57" t="s">
        <v>4226</v>
      </c>
      <c r="L650" s="57" t="s">
        <v>4227</v>
      </c>
      <c r="M650" s="57" t="s">
        <v>4228</v>
      </c>
    </row>
    <row r="651" ht="28" spans="1:13">
      <c r="A651" s="178" t="str">
        <f t="shared" si="10"/>
        <v>Achievement Drive|Officer|1</v>
      </c>
      <c r="B651" s="57" t="s">
        <v>443</v>
      </c>
      <c r="C651" s="177" t="s">
        <v>6</v>
      </c>
      <c r="D651" s="177">
        <v>1</v>
      </c>
      <c r="E651" s="177" t="s">
        <v>473</v>
      </c>
      <c r="F651" s="177">
        <v>2</v>
      </c>
      <c r="G651" s="57" t="s">
        <v>4229</v>
      </c>
      <c r="H651" s="57" t="s">
        <v>4230</v>
      </c>
      <c r="I651" s="57" t="s">
        <v>4231</v>
      </c>
      <c r="J651" s="57" t="s">
        <v>4232</v>
      </c>
      <c r="K651" s="57" t="s">
        <v>4233</v>
      </c>
      <c r="L651" s="57" t="s">
        <v>4234</v>
      </c>
      <c r="M651" s="57" t="s">
        <v>4235</v>
      </c>
    </row>
    <row r="652" ht="28" spans="1:13">
      <c r="A652" s="178" t="str">
        <f t="shared" si="10"/>
        <v>Achievement Drive|Officer|1</v>
      </c>
      <c r="B652" s="57" t="s">
        <v>443</v>
      </c>
      <c r="C652" s="177" t="s">
        <v>6</v>
      </c>
      <c r="D652" s="177">
        <v>1</v>
      </c>
      <c r="E652" s="177" t="s">
        <v>473</v>
      </c>
      <c r="F652" s="177">
        <v>3</v>
      </c>
      <c r="G652" s="57" t="s">
        <v>4236</v>
      </c>
      <c r="H652" s="57" t="s">
        <v>4237</v>
      </c>
      <c r="I652" s="57" t="s">
        <v>4238</v>
      </c>
      <c r="J652" s="57" t="s">
        <v>4239</v>
      </c>
      <c r="K652" s="57" t="s">
        <v>4240</v>
      </c>
      <c r="L652" s="57" t="s">
        <v>4241</v>
      </c>
      <c r="M652" s="57" t="s">
        <v>4242</v>
      </c>
    </row>
    <row r="653" ht="28" spans="1:13">
      <c r="A653" s="178" t="str">
        <f t="shared" si="10"/>
        <v>Achievement Drive|Officer|2</v>
      </c>
      <c r="B653" s="57" t="s">
        <v>443</v>
      </c>
      <c r="C653" s="177" t="s">
        <v>6</v>
      </c>
      <c r="D653" s="177">
        <v>2</v>
      </c>
      <c r="E653" s="177" t="s">
        <v>491</v>
      </c>
      <c r="F653" s="177">
        <v>1</v>
      </c>
      <c r="G653" s="57" t="s">
        <v>4243</v>
      </c>
      <c r="H653" s="57" t="s">
        <v>4244</v>
      </c>
      <c r="I653" s="57" t="s">
        <v>4245</v>
      </c>
      <c r="J653" s="57" t="s">
        <v>4246</v>
      </c>
      <c r="K653" s="57" t="s">
        <v>4247</v>
      </c>
      <c r="L653" s="57" t="s">
        <v>4248</v>
      </c>
      <c r="M653" s="57" t="s">
        <v>4249</v>
      </c>
    </row>
    <row r="654" ht="28" spans="1:13">
      <c r="A654" s="178" t="str">
        <f t="shared" si="10"/>
        <v>Achievement Drive|Officer|2</v>
      </c>
      <c r="B654" s="57" t="s">
        <v>443</v>
      </c>
      <c r="C654" s="177" t="s">
        <v>6</v>
      </c>
      <c r="D654" s="177">
        <v>2</v>
      </c>
      <c r="E654" s="177" t="s">
        <v>491</v>
      </c>
      <c r="F654" s="177">
        <v>2</v>
      </c>
      <c r="G654" s="57" t="s">
        <v>4250</v>
      </c>
      <c r="H654" s="57" t="s">
        <v>4251</v>
      </c>
      <c r="I654" s="57" t="s">
        <v>4252</v>
      </c>
      <c r="J654" s="57" t="s">
        <v>4253</v>
      </c>
      <c r="K654" s="57" t="s">
        <v>4254</v>
      </c>
      <c r="L654" s="57" t="s">
        <v>4255</v>
      </c>
      <c r="M654" s="57" t="s">
        <v>4256</v>
      </c>
    </row>
    <row r="655" ht="28" spans="1:13">
      <c r="A655" s="178" t="str">
        <f t="shared" si="10"/>
        <v>Achievement Drive|Officer|2</v>
      </c>
      <c r="B655" s="57" t="s">
        <v>443</v>
      </c>
      <c r="C655" s="177" t="s">
        <v>6</v>
      </c>
      <c r="D655" s="177">
        <v>2</v>
      </c>
      <c r="E655" s="177" t="s">
        <v>491</v>
      </c>
      <c r="F655" s="177">
        <v>3</v>
      </c>
      <c r="G655" s="57" t="s">
        <v>4257</v>
      </c>
      <c r="H655" s="57" t="s">
        <v>4258</v>
      </c>
      <c r="I655" s="57" t="s">
        <v>4259</v>
      </c>
      <c r="J655" s="57" t="s">
        <v>4260</v>
      </c>
      <c r="K655" s="57" t="s">
        <v>4261</v>
      </c>
      <c r="L655" s="57" t="s">
        <v>4262</v>
      </c>
      <c r="M655" s="57" t="s">
        <v>4263</v>
      </c>
    </row>
    <row r="656" ht="28" spans="1:13">
      <c r="A656" s="178" t="str">
        <f t="shared" si="10"/>
        <v>Achievement Drive|Officer|3</v>
      </c>
      <c r="B656" s="57" t="s">
        <v>443</v>
      </c>
      <c r="C656" s="177" t="s">
        <v>6</v>
      </c>
      <c r="D656" s="177">
        <v>3</v>
      </c>
      <c r="E656" s="177" t="s">
        <v>507</v>
      </c>
      <c r="F656" s="177">
        <v>1</v>
      </c>
      <c r="G656" s="57" t="s">
        <v>4264</v>
      </c>
      <c r="H656" s="57" t="s">
        <v>4265</v>
      </c>
      <c r="I656" s="57" t="s">
        <v>4266</v>
      </c>
      <c r="J656" s="57" t="s">
        <v>4267</v>
      </c>
      <c r="K656" s="57" t="s">
        <v>4268</v>
      </c>
      <c r="L656" s="57" t="s">
        <v>4269</v>
      </c>
      <c r="M656" s="57" t="s">
        <v>4270</v>
      </c>
    </row>
    <row r="657" ht="28" spans="1:13">
      <c r="A657" s="178" t="str">
        <f t="shared" si="10"/>
        <v>Achievement Drive|Officer|3</v>
      </c>
      <c r="B657" s="57" t="s">
        <v>443</v>
      </c>
      <c r="C657" s="177" t="s">
        <v>6</v>
      </c>
      <c r="D657" s="177">
        <v>3</v>
      </c>
      <c r="E657" s="177" t="s">
        <v>507</v>
      </c>
      <c r="F657" s="177">
        <v>2</v>
      </c>
      <c r="G657" s="57" t="s">
        <v>4271</v>
      </c>
      <c r="H657" s="57" t="s">
        <v>4272</v>
      </c>
      <c r="I657" s="57" t="s">
        <v>4273</v>
      </c>
      <c r="J657" s="57" t="s">
        <v>4274</v>
      </c>
      <c r="K657" s="57" t="s">
        <v>4275</v>
      </c>
      <c r="L657" s="57" t="s">
        <v>4276</v>
      </c>
      <c r="M657" s="57" t="s">
        <v>4277</v>
      </c>
    </row>
    <row r="658" ht="28" spans="1:13">
      <c r="A658" s="178" t="str">
        <f t="shared" si="10"/>
        <v>Achievement Drive|Officer|3</v>
      </c>
      <c r="B658" s="57" t="s">
        <v>443</v>
      </c>
      <c r="C658" s="177" t="s">
        <v>6</v>
      </c>
      <c r="D658" s="177">
        <v>3</v>
      </c>
      <c r="E658" s="177" t="s">
        <v>507</v>
      </c>
      <c r="F658" s="177">
        <v>3</v>
      </c>
      <c r="G658" s="57" t="s">
        <v>4278</v>
      </c>
      <c r="H658" s="57" t="s">
        <v>4279</v>
      </c>
      <c r="I658" s="57" t="s">
        <v>4280</v>
      </c>
      <c r="J658" s="57" t="s">
        <v>4281</v>
      </c>
      <c r="K658" s="57" t="s">
        <v>4282</v>
      </c>
      <c r="L658" s="57" t="s">
        <v>4283</v>
      </c>
      <c r="M658" s="57" t="s">
        <v>4284</v>
      </c>
    </row>
    <row r="659" ht="28" spans="1:13">
      <c r="A659" s="178" t="str">
        <f t="shared" si="10"/>
        <v>Achievement Drive|Officer|4</v>
      </c>
      <c r="B659" s="57" t="s">
        <v>443</v>
      </c>
      <c r="C659" s="177" t="s">
        <v>6</v>
      </c>
      <c r="D659" s="177">
        <v>4</v>
      </c>
      <c r="E659" s="177" t="s">
        <v>523</v>
      </c>
      <c r="F659" s="177">
        <v>1</v>
      </c>
      <c r="G659" s="57" t="s">
        <v>4285</v>
      </c>
      <c r="H659" s="57" t="s">
        <v>4286</v>
      </c>
      <c r="I659" s="57" t="s">
        <v>4287</v>
      </c>
      <c r="J659" s="57" t="s">
        <v>4288</v>
      </c>
      <c r="K659" s="57" t="s">
        <v>4289</v>
      </c>
      <c r="L659" s="57" t="s">
        <v>4290</v>
      </c>
      <c r="M659" s="57" t="s">
        <v>4291</v>
      </c>
    </row>
    <row r="660" ht="28" spans="1:13">
      <c r="A660" s="178" t="str">
        <f t="shared" si="10"/>
        <v>Achievement Drive|Officer|4</v>
      </c>
      <c r="B660" s="57" t="s">
        <v>443</v>
      </c>
      <c r="C660" s="177" t="s">
        <v>6</v>
      </c>
      <c r="D660" s="177">
        <v>4</v>
      </c>
      <c r="E660" s="177" t="s">
        <v>523</v>
      </c>
      <c r="F660" s="177">
        <v>2</v>
      </c>
      <c r="G660" s="57" t="s">
        <v>4292</v>
      </c>
      <c r="H660" s="57" t="s">
        <v>4293</v>
      </c>
      <c r="I660" s="57" t="s">
        <v>4294</v>
      </c>
      <c r="J660" s="57" t="s">
        <v>4295</v>
      </c>
      <c r="K660" s="57" t="s">
        <v>4296</v>
      </c>
      <c r="L660" s="57" t="s">
        <v>4297</v>
      </c>
      <c r="M660" s="57" t="s">
        <v>4298</v>
      </c>
    </row>
    <row r="661" ht="28" spans="1:13">
      <c r="A661" s="178" t="str">
        <f t="shared" si="10"/>
        <v>Achievement Drive|Officer|4</v>
      </c>
      <c r="B661" s="57" t="s">
        <v>443</v>
      </c>
      <c r="C661" s="177" t="s">
        <v>6</v>
      </c>
      <c r="D661" s="177">
        <v>4</v>
      </c>
      <c r="E661" s="177" t="s">
        <v>523</v>
      </c>
      <c r="F661" s="177">
        <v>3</v>
      </c>
      <c r="G661" s="57" t="s">
        <v>4299</v>
      </c>
      <c r="H661" s="57" t="s">
        <v>4300</v>
      </c>
      <c r="I661" s="57" t="s">
        <v>4301</v>
      </c>
      <c r="J661" s="57" t="s">
        <v>4302</v>
      </c>
      <c r="K661" s="57" t="s">
        <v>4303</v>
      </c>
      <c r="L661" s="57" t="s">
        <v>4304</v>
      </c>
      <c r="M661" s="57" t="s">
        <v>4305</v>
      </c>
    </row>
    <row r="662" ht="28" spans="1:13">
      <c r="A662" s="178" t="str">
        <f t="shared" si="10"/>
        <v>Achievement Drive|Analyst|1</v>
      </c>
      <c r="B662" s="57" t="s">
        <v>443</v>
      </c>
      <c r="C662" s="177" t="s">
        <v>8</v>
      </c>
      <c r="D662" s="177">
        <v>1</v>
      </c>
      <c r="E662" s="177" t="s">
        <v>473</v>
      </c>
      <c r="F662" s="177">
        <v>1</v>
      </c>
      <c r="G662" s="57" t="s">
        <v>4306</v>
      </c>
      <c r="H662" s="57" t="s">
        <v>4307</v>
      </c>
      <c r="I662" s="57" t="s">
        <v>4308</v>
      </c>
      <c r="J662" s="57" t="s">
        <v>4309</v>
      </c>
      <c r="K662" s="57" t="s">
        <v>4310</v>
      </c>
      <c r="L662" s="57" t="s">
        <v>4311</v>
      </c>
      <c r="M662" s="57" t="s">
        <v>4312</v>
      </c>
    </row>
    <row r="663" ht="28" spans="1:13">
      <c r="A663" s="178" t="str">
        <f t="shared" si="10"/>
        <v>Achievement Drive|Analyst|1</v>
      </c>
      <c r="B663" s="57" t="s">
        <v>443</v>
      </c>
      <c r="C663" s="177" t="s">
        <v>8</v>
      </c>
      <c r="D663" s="177">
        <v>1</v>
      </c>
      <c r="E663" s="177" t="s">
        <v>473</v>
      </c>
      <c r="F663" s="177">
        <v>2</v>
      </c>
      <c r="G663" s="57" t="s">
        <v>4313</v>
      </c>
      <c r="H663" s="57" t="s">
        <v>4314</v>
      </c>
      <c r="I663" s="57" t="s">
        <v>4315</v>
      </c>
      <c r="J663" s="57" t="s">
        <v>4316</v>
      </c>
      <c r="K663" s="57" t="s">
        <v>4317</v>
      </c>
      <c r="L663" s="57" t="s">
        <v>4318</v>
      </c>
      <c r="M663" s="57" t="s">
        <v>4319</v>
      </c>
    </row>
    <row r="664" ht="28" spans="1:13">
      <c r="A664" s="178" t="str">
        <f t="shared" si="10"/>
        <v>Achievement Drive|Analyst|1</v>
      </c>
      <c r="B664" s="57" t="s">
        <v>443</v>
      </c>
      <c r="C664" s="177" t="s">
        <v>8</v>
      </c>
      <c r="D664" s="177">
        <v>1</v>
      </c>
      <c r="E664" s="177" t="s">
        <v>473</v>
      </c>
      <c r="F664" s="177">
        <v>3</v>
      </c>
      <c r="G664" s="57" t="s">
        <v>4320</v>
      </c>
      <c r="H664" s="57" t="s">
        <v>4321</v>
      </c>
      <c r="I664" s="57" t="s">
        <v>4322</v>
      </c>
      <c r="J664" s="57" t="s">
        <v>4323</v>
      </c>
      <c r="K664" s="57" t="s">
        <v>4324</v>
      </c>
      <c r="L664" s="57" t="s">
        <v>4325</v>
      </c>
      <c r="M664" s="57" t="s">
        <v>4326</v>
      </c>
    </row>
    <row r="665" ht="28" spans="1:13">
      <c r="A665" s="178" t="str">
        <f t="shared" si="10"/>
        <v>Achievement Drive|Analyst|2</v>
      </c>
      <c r="B665" s="57" t="s">
        <v>443</v>
      </c>
      <c r="C665" s="177" t="s">
        <v>8</v>
      </c>
      <c r="D665" s="177">
        <v>2</v>
      </c>
      <c r="E665" s="177" t="s">
        <v>491</v>
      </c>
      <c r="F665" s="177">
        <v>1</v>
      </c>
      <c r="G665" s="57" t="s">
        <v>4327</v>
      </c>
      <c r="H665" s="57" t="s">
        <v>4328</v>
      </c>
      <c r="I665" s="57" t="s">
        <v>4329</v>
      </c>
      <c r="J665" s="57" t="s">
        <v>4330</v>
      </c>
      <c r="K665" s="57" t="s">
        <v>4331</v>
      </c>
      <c r="L665" s="57" t="s">
        <v>4332</v>
      </c>
      <c r="M665" s="57" t="s">
        <v>4333</v>
      </c>
    </row>
    <row r="666" ht="28" spans="1:13">
      <c r="A666" s="178" t="str">
        <f t="shared" si="10"/>
        <v>Achievement Drive|Analyst|2</v>
      </c>
      <c r="B666" s="57" t="s">
        <v>443</v>
      </c>
      <c r="C666" s="177" t="s">
        <v>8</v>
      </c>
      <c r="D666" s="177">
        <v>2</v>
      </c>
      <c r="E666" s="177" t="s">
        <v>491</v>
      </c>
      <c r="F666" s="177">
        <v>2</v>
      </c>
      <c r="G666" s="57" t="s">
        <v>4334</v>
      </c>
      <c r="H666" s="57" t="s">
        <v>4335</v>
      </c>
      <c r="I666" s="57" t="s">
        <v>4336</v>
      </c>
      <c r="J666" s="57" t="s">
        <v>4337</v>
      </c>
      <c r="K666" s="57" t="s">
        <v>4338</v>
      </c>
      <c r="L666" s="57" t="s">
        <v>4339</v>
      </c>
      <c r="M666" s="57" t="s">
        <v>4340</v>
      </c>
    </row>
    <row r="667" ht="28" spans="1:13">
      <c r="A667" s="178" t="str">
        <f t="shared" si="10"/>
        <v>Achievement Drive|Analyst|2</v>
      </c>
      <c r="B667" s="57" t="s">
        <v>443</v>
      </c>
      <c r="C667" s="177" t="s">
        <v>8</v>
      </c>
      <c r="D667" s="177">
        <v>2</v>
      </c>
      <c r="E667" s="177" t="s">
        <v>491</v>
      </c>
      <c r="F667" s="177">
        <v>3</v>
      </c>
      <c r="G667" s="57" t="s">
        <v>4341</v>
      </c>
      <c r="H667" s="57" t="s">
        <v>4342</v>
      </c>
      <c r="I667" s="57" t="s">
        <v>4343</v>
      </c>
      <c r="J667" s="57" t="s">
        <v>4344</v>
      </c>
      <c r="K667" s="57" t="s">
        <v>4345</v>
      </c>
      <c r="L667" s="57" t="s">
        <v>4346</v>
      </c>
      <c r="M667" s="57" t="s">
        <v>4347</v>
      </c>
    </row>
    <row r="668" ht="28" spans="1:13">
      <c r="A668" s="178" t="str">
        <f t="shared" si="10"/>
        <v>Achievement Drive|Analyst|3</v>
      </c>
      <c r="B668" s="57" t="s">
        <v>443</v>
      </c>
      <c r="C668" s="177" t="s">
        <v>8</v>
      </c>
      <c r="D668" s="177">
        <v>3</v>
      </c>
      <c r="E668" s="177" t="s">
        <v>507</v>
      </c>
      <c r="F668" s="177">
        <v>1</v>
      </c>
      <c r="G668" s="57" t="s">
        <v>4348</v>
      </c>
      <c r="H668" s="57" t="s">
        <v>4349</v>
      </c>
      <c r="I668" s="57" t="s">
        <v>4350</v>
      </c>
      <c r="J668" s="57" t="s">
        <v>4351</v>
      </c>
      <c r="K668" s="57" t="s">
        <v>4352</v>
      </c>
      <c r="L668" s="57" t="s">
        <v>4353</v>
      </c>
      <c r="M668" s="57" t="s">
        <v>4354</v>
      </c>
    </row>
    <row r="669" ht="28" spans="1:13">
      <c r="A669" s="178" t="str">
        <f t="shared" si="10"/>
        <v>Achievement Drive|Analyst|3</v>
      </c>
      <c r="B669" s="57" t="s">
        <v>443</v>
      </c>
      <c r="C669" s="177" t="s">
        <v>8</v>
      </c>
      <c r="D669" s="177">
        <v>3</v>
      </c>
      <c r="E669" s="177" t="s">
        <v>507</v>
      </c>
      <c r="F669" s="177">
        <v>2</v>
      </c>
      <c r="G669" s="57" t="s">
        <v>4355</v>
      </c>
      <c r="H669" s="57" t="s">
        <v>4356</v>
      </c>
      <c r="I669" s="57" t="s">
        <v>4357</v>
      </c>
      <c r="J669" s="57" t="s">
        <v>4358</v>
      </c>
      <c r="K669" s="57" t="s">
        <v>4359</v>
      </c>
      <c r="L669" s="57" t="s">
        <v>4360</v>
      </c>
      <c r="M669" s="57" t="s">
        <v>4361</v>
      </c>
    </row>
    <row r="670" ht="28" spans="1:13">
      <c r="A670" s="178" t="str">
        <f t="shared" si="10"/>
        <v>Achievement Drive|Analyst|3</v>
      </c>
      <c r="B670" s="57" t="s">
        <v>443</v>
      </c>
      <c r="C670" s="177" t="s">
        <v>8</v>
      </c>
      <c r="D670" s="177">
        <v>3</v>
      </c>
      <c r="E670" s="177" t="s">
        <v>507</v>
      </c>
      <c r="F670" s="177">
        <v>3</v>
      </c>
      <c r="G670" s="57" t="s">
        <v>4362</v>
      </c>
      <c r="H670" s="57" t="s">
        <v>4363</v>
      </c>
      <c r="I670" s="57" t="s">
        <v>4364</v>
      </c>
      <c r="J670" s="57" t="s">
        <v>4365</v>
      </c>
      <c r="K670" s="57" t="s">
        <v>4366</v>
      </c>
      <c r="L670" s="57" t="s">
        <v>4367</v>
      </c>
      <c r="M670" s="57" t="s">
        <v>4368</v>
      </c>
    </row>
    <row r="671" ht="28" spans="1:13">
      <c r="A671" s="178" t="str">
        <f t="shared" si="10"/>
        <v>Achievement Drive|Analyst|4</v>
      </c>
      <c r="B671" s="57" t="s">
        <v>443</v>
      </c>
      <c r="C671" s="177" t="s">
        <v>8</v>
      </c>
      <c r="D671" s="177">
        <v>4</v>
      </c>
      <c r="E671" s="177" t="s">
        <v>523</v>
      </c>
      <c r="F671" s="177">
        <v>1</v>
      </c>
      <c r="G671" s="57" t="s">
        <v>4369</v>
      </c>
      <c r="H671" s="57" t="s">
        <v>4370</v>
      </c>
      <c r="I671" s="57" t="s">
        <v>4371</v>
      </c>
      <c r="J671" s="57" t="s">
        <v>4372</v>
      </c>
      <c r="K671" s="57" t="s">
        <v>4373</v>
      </c>
      <c r="L671" s="57" t="s">
        <v>4374</v>
      </c>
      <c r="M671" s="57" t="s">
        <v>4375</v>
      </c>
    </row>
    <row r="672" ht="28" spans="1:13">
      <c r="A672" s="178" t="str">
        <f t="shared" si="10"/>
        <v>Achievement Drive|Analyst|4</v>
      </c>
      <c r="B672" s="57" t="s">
        <v>443</v>
      </c>
      <c r="C672" s="177" t="s">
        <v>8</v>
      </c>
      <c r="D672" s="177">
        <v>4</v>
      </c>
      <c r="E672" s="177" t="s">
        <v>523</v>
      </c>
      <c r="F672" s="177">
        <v>2</v>
      </c>
      <c r="G672" s="57" t="s">
        <v>4376</v>
      </c>
      <c r="H672" s="57" t="s">
        <v>4377</v>
      </c>
      <c r="I672" s="57" t="s">
        <v>4378</v>
      </c>
      <c r="J672" s="57" t="s">
        <v>4379</v>
      </c>
      <c r="K672" s="57" t="s">
        <v>4380</v>
      </c>
      <c r="L672" s="57" t="s">
        <v>4381</v>
      </c>
      <c r="M672" s="57" t="s">
        <v>4382</v>
      </c>
    </row>
    <row r="673" ht="28" spans="1:13">
      <c r="A673" s="178" t="str">
        <f t="shared" si="10"/>
        <v>Achievement Drive|Analyst|4</v>
      </c>
      <c r="B673" s="57" t="s">
        <v>443</v>
      </c>
      <c r="C673" s="177" t="s">
        <v>8</v>
      </c>
      <c r="D673" s="177">
        <v>4</v>
      </c>
      <c r="E673" s="177" t="s">
        <v>523</v>
      </c>
      <c r="F673" s="177">
        <v>3</v>
      </c>
      <c r="G673" s="57" t="s">
        <v>4383</v>
      </c>
      <c r="H673" s="57" t="s">
        <v>4384</v>
      </c>
      <c r="I673" s="57" t="s">
        <v>4385</v>
      </c>
      <c r="J673" s="57" t="s">
        <v>4386</v>
      </c>
      <c r="K673" s="57" t="s">
        <v>4387</v>
      </c>
      <c r="L673" s="57" t="s">
        <v>4388</v>
      </c>
      <c r="M673" s="57" t="s">
        <v>4389</v>
      </c>
    </row>
    <row r="674" ht="42" spans="1:13">
      <c r="A674" s="178" t="str">
        <f t="shared" si="10"/>
        <v>Achievement Drive|Unit Head/Specialist|1</v>
      </c>
      <c r="B674" s="57" t="s">
        <v>443</v>
      </c>
      <c r="C674" s="177" t="s">
        <v>18</v>
      </c>
      <c r="D674" s="177">
        <v>1</v>
      </c>
      <c r="E674" s="177" t="s">
        <v>473</v>
      </c>
      <c r="F674" s="177">
        <v>1</v>
      </c>
      <c r="G674" s="57" t="s">
        <v>4390</v>
      </c>
      <c r="H674" s="57" t="s">
        <v>4391</v>
      </c>
      <c r="I674" s="57" t="s">
        <v>4392</v>
      </c>
      <c r="J674" s="57" t="s">
        <v>4393</v>
      </c>
      <c r="K674" s="57" t="s">
        <v>4394</v>
      </c>
      <c r="L674" s="57" t="s">
        <v>4395</v>
      </c>
      <c r="M674" s="57" t="s">
        <v>4396</v>
      </c>
    </row>
    <row r="675" ht="42" spans="1:13">
      <c r="A675" s="178" t="str">
        <f t="shared" si="10"/>
        <v>Achievement Drive|Unit Head/Specialist|1</v>
      </c>
      <c r="B675" s="57" t="s">
        <v>443</v>
      </c>
      <c r="C675" s="177" t="s">
        <v>18</v>
      </c>
      <c r="D675" s="177">
        <v>1</v>
      </c>
      <c r="E675" s="177" t="s">
        <v>473</v>
      </c>
      <c r="F675" s="177">
        <v>2</v>
      </c>
      <c r="G675" s="57" t="s">
        <v>4397</v>
      </c>
      <c r="H675" s="57" t="s">
        <v>4398</v>
      </c>
      <c r="I675" s="57" t="s">
        <v>4399</v>
      </c>
      <c r="J675" s="57" t="s">
        <v>4400</v>
      </c>
      <c r="K675" s="57" t="s">
        <v>4401</v>
      </c>
      <c r="L675" s="57" t="s">
        <v>4402</v>
      </c>
      <c r="M675" s="57" t="s">
        <v>4403</v>
      </c>
    </row>
    <row r="676" ht="42" spans="1:13">
      <c r="A676" s="178" t="str">
        <f t="shared" si="10"/>
        <v>Achievement Drive|Unit Head/Specialist|1</v>
      </c>
      <c r="B676" s="57" t="s">
        <v>443</v>
      </c>
      <c r="C676" s="177" t="s">
        <v>18</v>
      </c>
      <c r="D676" s="177">
        <v>1</v>
      </c>
      <c r="E676" s="177" t="s">
        <v>473</v>
      </c>
      <c r="F676" s="177">
        <v>3</v>
      </c>
      <c r="G676" s="57" t="s">
        <v>4404</v>
      </c>
      <c r="H676" s="57" t="s">
        <v>4405</v>
      </c>
      <c r="I676" s="57" t="s">
        <v>4406</v>
      </c>
      <c r="J676" s="57" t="s">
        <v>4407</v>
      </c>
      <c r="K676" s="57" t="s">
        <v>4408</v>
      </c>
      <c r="L676" s="57" t="s">
        <v>4409</v>
      </c>
      <c r="M676" s="57" t="s">
        <v>4410</v>
      </c>
    </row>
    <row r="677" ht="42" spans="1:13">
      <c r="A677" s="178" t="str">
        <f t="shared" si="10"/>
        <v>Achievement Drive|Unit Head/Specialist|2</v>
      </c>
      <c r="B677" s="57" t="s">
        <v>443</v>
      </c>
      <c r="C677" s="177" t="s">
        <v>18</v>
      </c>
      <c r="D677" s="177">
        <v>2</v>
      </c>
      <c r="E677" s="177" t="s">
        <v>491</v>
      </c>
      <c r="F677" s="177">
        <v>1</v>
      </c>
      <c r="G677" s="57" t="s">
        <v>4411</v>
      </c>
      <c r="H677" s="57" t="s">
        <v>4412</v>
      </c>
      <c r="I677" s="57" t="s">
        <v>4413</v>
      </c>
      <c r="J677" s="57" t="s">
        <v>4414</v>
      </c>
      <c r="K677" s="57" t="s">
        <v>4415</v>
      </c>
      <c r="L677" s="57" t="s">
        <v>4416</v>
      </c>
      <c r="M677" s="57" t="s">
        <v>4417</v>
      </c>
    </row>
    <row r="678" ht="42" spans="1:13">
      <c r="A678" s="178" t="str">
        <f t="shared" si="10"/>
        <v>Achievement Drive|Unit Head/Specialist|2</v>
      </c>
      <c r="B678" s="57" t="s">
        <v>443</v>
      </c>
      <c r="C678" s="177" t="s">
        <v>18</v>
      </c>
      <c r="D678" s="177">
        <v>2</v>
      </c>
      <c r="E678" s="177" t="s">
        <v>491</v>
      </c>
      <c r="F678" s="177">
        <v>2</v>
      </c>
      <c r="G678" s="57" t="s">
        <v>4418</v>
      </c>
      <c r="H678" s="57" t="s">
        <v>4419</v>
      </c>
      <c r="I678" s="57" t="s">
        <v>4420</v>
      </c>
      <c r="J678" s="57" t="s">
        <v>4421</v>
      </c>
      <c r="K678" s="57" t="s">
        <v>4422</v>
      </c>
      <c r="L678" s="57" t="s">
        <v>4423</v>
      </c>
      <c r="M678" s="57" t="s">
        <v>4424</v>
      </c>
    </row>
    <row r="679" ht="42" spans="1:13">
      <c r="A679" s="178" t="str">
        <f t="shared" si="10"/>
        <v>Achievement Drive|Unit Head/Specialist|2</v>
      </c>
      <c r="B679" s="57" t="s">
        <v>443</v>
      </c>
      <c r="C679" s="177" t="s">
        <v>18</v>
      </c>
      <c r="D679" s="177">
        <v>2</v>
      </c>
      <c r="E679" s="177" t="s">
        <v>491</v>
      </c>
      <c r="F679" s="177">
        <v>3</v>
      </c>
      <c r="G679" s="57" t="s">
        <v>4425</v>
      </c>
      <c r="H679" s="57" t="s">
        <v>4426</v>
      </c>
      <c r="I679" s="57" t="s">
        <v>4427</v>
      </c>
      <c r="J679" s="57" t="s">
        <v>4428</v>
      </c>
      <c r="K679" s="57" t="s">
        <v>4429</v>
      </c>
      <c r="L679" s="57" t="s">
        <v>4430</v>
      </c>
      <c r="M679" s="57" t="s">
        <v>4431</v>
      </c>
    </row>
    <row r="680" ht="42" spans="1:13">
      <c r="A680" s="178" t="str">
        <f t="shared" si="10"/>
        <v>Achievement Drive|Unit Head/Specialist|3</v>
      </c>
      <c r="B680" s="57" t="s">
        <v>443</v>
      </c>
      <c r="C680" s="177" t="s">
        <v>18</v>
      </c>
      <c r="D680" s="177">
        <v>3</v>
      </c>
      <c r="E680" s="177" t="s">
        <v>507</v>
      </c>
      <c r="F680" s="177">
        <v>1</v>
      </c>
      <c r="G680" s="57" t="s">
        <v>4432</v>
      </c>
      <c r="H680" s="57" t="s">
        <v>4433</v>
      </c>
      <c r="I680" s="57" t="s">
        <v>4434</v>
      </c>
      <c r="J680" s="57" t="s">
        <v>4435</v>
      </c>
      <c r="K680" s="57" t="s">
        <v>4436</v>
      </c>
      <c r="L680" s="57" t="s">
        <v>4437</v>
      </c>
      <c r="M680" s="57" t="s">
        <v>4438</v>
      </c>
    </row>
    <row r="681" ht="42" spans="1:13">
      <c r="A681" s="178" t="str">
        <f t="shared" si="10"/>
        <v>Achievement Drive|Unit Head/Specialist|3</v>
      </c>
      <c r="B681" s="57" t="s">
        <v>443</v>
      </c>
      <c r="C681" s="177" t="s">
        <v>18</v>
      </c>
      <c r="D681" s="177">
        <v>3</v>
      </c>
      <c r="E681" s="177" t="s">
        <v>507</v>
      </c>
      <c r="F681" s="177">
        <v>2</v>
      </c>
      <c r="G681" s="57" t="s">
        <v>4439</v>
      </c>
      <c r="H681" s="57" t="s">
        <v>4440</v>
      </c>
      <c r="I681" s="57" t="s">
        <v>4441</v>
      </c>
      <c r="J681" s="57" t="s">
        <v>4442</v>
      </c>
      <c r="K681" s="57" t="s">
        <v>4443</v>
      </c>
      <c r="L681" s="57" t="s">
        <v>4444</v>
      </c>
      <c r="M681" s="57" t="s">
        <v>4445</v>
      </c>
    </row>
    <row r="682" ht="42" spans="1:13">
      <c r="A682" s="178" t="str">
        <f t="shared" si="10"/>
        <v>Achievement Drive|Unit Head/Specialist|3</v>
      </c>
      <c r="B682" s="57" t="s">
        <v>443</v>
      </c>
      <c r="C682" s="177" t="s">
        <v>18</v>
      </c>
      <c r="D682" s="177">
        <v>3</v>
      </c>
      <c r="E682" s="177" t="s">
        <v>507</v>
      </c>
      <c r="F682" s="177">
        <v>3</v>
      </c>
      <c r="G682" s="57" t="s">
        <v>4446</v>
      </c>
      <c r="H682" s="57" t="s">
        <v>4447</v>
      </c>
      <c r="I682" s="57" t="s">
        <v>4448</v>
      </c>
      <c r="J682" s="57" t="s">
        <v>4449</v>
      </c>
      <c r="K682" s="57" t="s">
        <v>4450</v>
      </c>
      <c r="L682" s="57" t="s">
        <v>4451</v>
      </c>
      <c r="M682" s="57" t="s">
        <v>4452</v>
      </c>
    </row>
    <row r="683" ht="42" spans="1:13">
      <c r="A683" s="178" t="str">
        <f t="shared" si="10"/>
        <v>Achievement Drive|Unit Head/Specialist|4</v>
      </c>
      <c r="B683" s="57" t="s">
        <v>443</v>
      </c>
      <c r="C683" s="177" t="s">
        <v>18</v>
      </c>
      <c r="D683" s="177">
        <v>4</v>
      </c>
      <c r="E683" s="177" t="s">
        <v>523</v>
      </c>
      <c r="F683" s="177">
        <v>1</v>
      </c>
      <c r="G683" s="57" t="s">
        <v>4453</v>
      </c>
      <c r="H683" s="57" t="s">
        <v>4454</v>
      </c>
      <c r="I683" s="57" t="s">
        <v>4455</v>
      </c>
      <c r="J683" s="57" t="s">
        <v>4456</v>
      </c>
      <c r="K683" s="57" t="s">
        <v>4457</v>
      </c>
      <c r="L683" s="57" t="s">
        <v>4458</v>
      </c>
      <c r="M683" s="57" t="s">
        <v>4459</v>
      </c>
    </row>
    <row r="684" ht="42" spans="1:13">
      <c r="A684" s="178" t="str">
        <f t="shared" si="10"/>
        <v>Achievement Drive|Unit Head/Specialist|4</v>
      </c>
      <c r="B684" s="57" t="s">
        <v>443</v>
      </c>
      <c r="C684" s="177" t="s">
        <v>18</v>
      </c>
      <c r="D684" s="177">
        <v>4</v>
      </c>
      <c r="E684" s="177" t="s">
        <v>523</v>
      </c>
      <c r="F684" s="177">
        <v>2</v>
      </c>
      <c r="G684" s="57" t="s">
        <v>4460</v>
      </c>
      <c r="H684" s="57" t="s">
        <v>4461</v>
      </c>
      <c r="I684" s="57" t="s">
        <v>4462</v>
      </c>
      <c r="J684" s="57" t="s">
        <v>4463</v>
      </c>
      <c r="K684" s="57" t="s">
        <v>4464</v>
      </c>
      <c r="L684" s="57" t="s">
        <v>4465</v>
      </c>
      <c r="M684" s="57" t="s">
        <v>4466</v>
      </c>
    </row>
    <row r="685" ht="42" spans="1:13">
      <c r="A685" s="178" t="str">
        <f t="shared" si="10"/>
        <v>Achievement Drive|Unit Head/Specialist|4</v>
      </c>
      <c r="B685" s="57" t="s">
        <v>443</v>
      </c>
      <c r="C685" s="177" t="s">
        <v>18</v>
      </c>
      <c r="D685" s="177">
        <v>4</v>
      </c>
      <c r="E685" s="177" t="s">
        <v>523</v>
      </c>
      <c r="F685" s="177">
        <v>3</v>
      </c>
      <c r="G685" s="57" t="s">
        <v>4467</v>
      </c>
      <c r="H685" s="57" t="s">
        <v>4468</v>
      </c>
      <c r="I685" s="57" t="s">
        <v>4469</v>
      </c>
      <c r="J685" s="57" t="s">
        <v>4470</v>
      </c>
      <c r="K685" s="57" t="s">
        <v>4471</v>
      </c>
      <c r="L685" s="57" t="s">
        <v>4472</v>
      </c>
      <c r="M685" s="57" t="s">
        <v>4473</v>
      </c>
    </row>
    <row r="686" ht="28" spans="1:13">
      <c r="A686" s="178" t="str">
        <f t="shared" si="10"/>
        <v>Achievement Drive|Department Head|1</v>
      </c>
      <c r="B686" s="57" t="s">
        <v>443</v>
      </c>
      <c r="C686" s="177" t="s">
        <v>655</v>
      </c>
      <c r="D686" s="177">
        <v>1</v>
      </c>
      <c r="E686" s="177" t="s">
        <v>473</v>
      </c>
      <c r="F686" s="177">
        <v>1</v>
      </c>
      <c r="G686" s="57" t="s">
        <v>4474</v>
      </c>
      <c r="H686" s="57" t="s">
        <v>4475</v>
      </c>
      <c r="I686" s="57" t="s">
        <v>4476</v>
      </c>
      <c r="J686" s="57" t="s">
        <v>4477</v>
      </c>
      <c r="K686" s="57" t="s">
        <v>4478</v>
      </c>
      <c r="L686" s="57" t="s">
        <v>4479</v>
      </c>
      <c r="M686" s="57" t="s">
        <v>4480</v>
      </c>
    </row>
    <row r="687" ht="28" spans="1:13">
      <c r="A687" s="178" t="str">
        <f t="shared" si="10"/>
        <v>Achievement Drive|Department Head|1</v>
      </c>
      <c r="B687" s="57" t="s">
        <v>443</v>
      </c>
      <c r="C687" s="177" t="s">
        <v>655</v>
      </c>
      <c r="D687" s="177">
        <v>1</v>
      </c>
      <c r="E687" s="177" t="s">
        <v>473</v>
      </c>
      <c r="F687" s="177">
        <v>2</v>
      </c>
      <c r="G687" s="57" t="s">
        <v>4481</v>
      </c>
      <c r="H687" s="57" t="s">
        <v>4482</v>
      </c>
      <c r="I687" s="57" t="s">
        <v>4483</v>
      </c>
      <c r="J687" s="57" t="s">
        <v>4484</v>
      </c>
      <c r="K687" s="57" t="s">
        <v>4485</v>
      </c>
      <c r="L687" s="57" t="s">
        <v>4486</v>
      </c>
      <c r="M687" s="57" t="s">
        <v>4487</v>
      </c>
    </row>
    <row r="688" ht="28" spans="1:13">
      <c r="A688" s="178" t="str">
        <f t="shared" si="10"/>
        <v>Achievement Drive|Department Head|1</v>
      </c>
      <c r="B688" s="57" t="s">
        <v>443</v>
      </c>
      <c r="C688" s="177" t="s">
        <v>655</v>
      </c>
      <c r="D688" s="177">
        <v>1</v>
      </c>
      <c r="E688" s="177" t="s">
        <v>473</v>
      </c>
      <c r="F688" s="177">
        <v>3</v>
      </c>
      <c r="G688" s="57" t="s">
        <v>4488</v>
      </c>
      <c r="H688" s="57" t="s">
        <v>4489</v>
      </c>
      <c r="I688" s="57" t="s">
        <v>4490</v>
      </c>
      <c r="J688" s="57" t="s">
        <v>4491</v>
      </c>
      <c r="K688" s="57" t="s">
        <v>4492</v>
      </c>
      <c r="L688" s="57" t="s">
        <v>4493</v>
      </c>
      <c r="M688" s="57" t="s">
        <v>4494</v>
      </c>
    </row>
    <row r="689" ht="28" spans="1:13">
      <c r="A689" s="178" t="str">
        <f t="shared" si="10"/>
        <v>Achievement Drive|Department Head|2</v>
      </c>
      <c r="B689" s="57" t="s">
        <v>443</v>
      </c>
      <c r="C689" s="177" t="s">
        <v>655</v>
      </c>
      <c r="D689" s="177">
        <v>2</v>
      </c>
      <c r="E689" s="177" t="s">
        <v>491</v>
      </c>
      <c r="F689" s="177">
        <v>1</v>
      </c>
      <c r="G689" s="57" t="s">
        <v>4495</v>
      </c>
      <c r="H689" s="57" t="s">
        <v>4496</v>
      </c>
      <c r="I689" s="57" t="s">
        <v>4497</v>
      </c>
      <c r="J689" s="57" t="s">
        <v>4498</v>
      </c>
      <c r="K689" s="57" t="s">
        <v>4499</v>
      </c>
      <c r="L689" s="57" t="s">
        <v>4500</v>
      </c>
      <c r="M689" s="57" t="s">
        <v>4501</v>
      </c>
    </row>
    <row r="690" ht="28" spans="1:13">
      <c r="A690" s="178" t="str">
        <f t="shared" si="10"/>
        <v>Achievement Drive|Department Head|2</v>
      </c>
      <c r="B690" s="57" t="s">
        <v>443</v>
      </c>
      <c r="C690" s="177" t="s">
        <v>655</v>
      </c>
      <c r="D690" s="177">
        <v>2</v>
      </c>
      <c r="E690" s="177" t="s">
        <v>491</v>
      </c>
      <c r="F690" s="177">
        <v>2</v>
      </c>
      <c r="G690" s="57" t="s">
        <v>4502</v>
      </c>
      <c r="H690" s="57" t="s">
        <v>4503</v>
      </c>
      <c r="I690" s="57" t="s">
        <v>4504</v>
      </c>
      <c r="J690" s="57" t="s">
        <v>4505</v>
      </c>
      <c r="K690" s="57" t="s">
        <v>4506</v>
      </c>
      <c r="L690" s="57" t="s">
        <v>4507</v>
      </c>
      <c r="M690" s="57" t="s">
        <v>4508</v>
      </c>
    </row>
    <row r="691" ht="28" spans="1:13">
      <c r="A691" s="178" t="str">
        <f t="shared" si="10"/>
        <v>Achievement Drive|Department Head|2</v>
      </c>
      <c r="B691" s="57" t="s">
        <v>443</v>
      </c>
      <c r="C691" s="177" t="s">
        <v>655</v>
      </c>
      <c r="D691" s="177">
        <v>2</v>
      </c>
      <c r="E691" s="177" t="s">
        <v>491</v>
      </c>
      <c r="F691" s="177">
        <v>3</v>
      </c>
      <c r="G691" s="57" t="s">
        <v>4509</v>
      </c>
      <c r="H691" s="57" t="s">
        <v>4510</v>
      </c>
      <c r="I691" s="57" t="s">
        <v>4511</v>
      </c>
      <c r="J691" s="57" t="s">
        <v>4512</v>
      </c>
      <c r="K691" s="57" t="s">
        <v>4513</v>
      </c>
      <c r="L691" s="57" t="s">
        <v>4514</v>
      </c>
      <c r="M691" s="57" t="s">
        <v>4515</v>
      </c>
    </row>
    <row r="692" ht="28" spans="1:13">
      <c r="A692" s="178" t="str">
        <f t="shared" si="10"/>
        <v>Achievement Drive|Department Head|3</v>
      </c>
      <c r="B692" s="57" t="s">
        <v>443</v>
      </c>
      <c r="C692" s="177" t="s">
        <v>655</v>
      </c>
      <c r="D692" s="177">
        <v>3</v>
      </c>
      <c r="E692" s="177" t="s">
        <v>507</v>
      </c>
      <c r="F692" s="177">
        <v>1</v>
      </c>
      <c r="G692" s="57" t="s">
        <v>4516</v>
      </c>
      <c r="H692" s="57" t="s">
        <v>4517</v>
      </c>
      <c r="I692" s="57" t="s">
        <v>4518</v>
      </c>
      <c r="J692" s="57" t="s">
        <v>4519</v>
      </c>
      <c r="K692" s="57" t="s">
        <v>4520</v>
      </c>
      <c r="L692" s="57" t="s">
        <v>4521</v>
      </c>
      <c r="M692" s="57" t="s">
        <v>4522</v>
      </c>
    </row>
    <row r="693" ht="28" spans="1:13">
      <c r="A693" s="178" t="str">
        <f t="shared" si="10"/>
        <v>Achievement Drive|Department Head|3</v>
      </c>
      <c r="B693" s="57" t="s">
        <v>443</v>
      </c>
      <c r="C693" s="177" t="s">
        <v>655</v>
      </c>
      <c r="D693" s="177">
        <v>3</v>
      </c>
      <c r="E693" s="177" t="s">
        <v>507</v>
      </c>
      <c r="F693" s="177">
        <v>2</v>
      </c>
      <c r="G693" s="57" t="s">
        <v>4523</v>
      </c>
      <c r="H693" s="57" t="s">
        <v>4524</v>
      </c>
      <c r="I693" s="57" t="s">
        <v>4525</v>
      </c>
      <c r="J693" s="57" t="s">
        <v>4526</v>
      </c>
      <c r="K693" s="57" t="s">
        <v>4527</v>
      </c>
      <c r="L693" s="57" t="s">
        <v>4528</v>
      </c>
      <c r="M693" s="57" t="s">
        <v>4529</v>
      </c>
    </row>
    <row r="694" ht="28" spans="1:13">
      <c r="A694" s="178" t="str">
        <f t="shared" si="10"/>
        <v>Achievement Drive|Department Head|3</v>
      </c>
      <c r="B694" s="57" t="s">
        <v>443</v>
      </c>
      <c r="C694" s="177" t="s">
        <v>655</v>
      </c>
      <c r="D694" s="177">
        <v>3</v>
      </c>
      <c r="E694" s="177" t="s">
        <v>507</v>
      </c>
      <c r="F694" s="177">
        <v>3</v>
      </c>
      <c r="G694" s="57" t="s">
        <v>4530</v>
      </c>
      <c r="H694" s="57" t="s">
        <v>4531</v>
      </c>
      <c r="I694" s="57" t="s">
        <v>4532</v>
      </c>
      <c r="J694" s="57" t="s">
        <v>4533</v>
      </c>
      <c r="K694" s="57" t="s">
        <v>4534</v>
      </c>
      <c r="L694" s="57" t="s">
        <v>4535</v>
      </c>
      <c r="M694" s="57" t="s">
        <v>4536</v>
      </c>
    </row>
    <row r="695" ht="28" spans="1:13">
      <c r="A695" s="178" t="str">
        <f t="shared" si="10"/>
        <v>Achievement Drive|Department Head|4</v>
      </c>
      <c r="B695" s="57" t="s">
        <v>443</v>
      </c>
      <c r="C695" s="177" t="s">
        <v>655</v>
      </c>
      <c r="D695" s="177">
        <v>4</v>
      </c>
      <c r="E695" s="177" t="s">
        <v>523</v>
      </c>
      <c r="F695" s="177">
        <v>1</v>
      </c>
      <c r="G695" s="57" t="s">
        <v>4537</v>
      </c>
      <c r="H695" s="57" t="s">
        <v>4538</v>
      </c>
      <c r="I695" s="57" t="s">
        <v>4539</v>
      </c>
      <c r="J695" s="57" t="s">
        <v>4540</v>
      </c>
      <c r="K695" s="57" t="s">
        <v>4541</v>
      </c>
      <c r="L695" s="57" t="s">
        <v>4542</v>
      </c>
      <c r="M695" s="57" t="s">
        <v>4543</v>
      </c>
    </row>
    <row r="696" ht="28" spans="1:13">
      <c r="A696" s="178" t="str">
        <f t="shared" si="10"/>
        <v>Achievement Drive|Department Head|4</v>
      </c>
      <c r="B696" s="57" t="s">
        <v>443</v>
      </c>
      <c r="C696" s="177" t="s">
        <v>655</v>
      </c>
      <c r="D696" s="177">
        <v>4</v>
      </c>
      <c r="E696" s="177" t="s">
        <v>523</v>
      </c>
      <c r="F696" s="177">
        <v>2</v>
      </c>
      <c r="G696" s="57" t="s">
        <v>4544</v>
      </c>
      <c r="H696" s="57" t="s">
        <v>4545</v>
      </c>
      <c r="I696" s="57" t="s">
        <v>4546</v>
      </c>
      <c r="J696" s="57" t="s">
        <v>4547</v>
      </c>
      <c r="K696" s="57" t="s">
        <v>4548</v>
      </c>
      <c r="L696" s="57" t="s">
        <v>4549</v>
      </c>
      <c r="M696" s="57" t="s">
        <v>4550</v>
      </c>
    </row>
    <row r="697" ht="28" spans="1:13">
      <c r="A697" s="178" t="str">
        <f t="shared" si="10"/>
        <v>Achievement Drive|Department Head|4</v>
      </c>
      <c r="B697" s="57" t="s">
        <v>443</v>
      </c>
      <c r="C697" s="177" t="s">
        <v>655</v>
      </c>
      <c r="D697" s="177">
        <v>4</v>
      </c>
      <c r="E697" s="177" t="s">
        <v>523</v>
      </c>
      <c r="F697" s="177">
        <v>3</v>
      </c>
      <c r="G697" s="57" t="s">
        <v>4551</v>
      </c>
      <c r="H697" s="57" t="s">
        <v>4552</v>
      </c>
      <c r="I697" s="57" t="s">
        <v>4553</v>
      </c>
      <c r="J697" s="57" t="s">
        <v>4554</v>
      </c>
      <c r="K697" s="57" t="s">
        <v>4555</v>
      </c>
      <c r="L697" s="57" t="s">
        <v>4556</v>
      </c>
      <c r="M697" s="57" t="s">
        <v>4557</v>
      </c>
    </row>
    <row r="698" ht="28" spans="1:13">
      <c r="A698" s="178" t="str">
        <f t="shared" si="10"/>
        <v>Achievement Drive|Division Head|1</v>
      </c>
      <c r="B698" s="57" t="s">
        <v>443</v>
      </c>
      <c r="C698" s="177" t="s">
        <v>712</v>
      </c>
      <c r="D698" s="177">
        <v>1</v>
      </c>
      <c r="E698" s="177" t="s">
        <v>473</v>
      </c>
      <c r="F698" s="177">
        <v>1</v>
      </c>
      <c r="G698" s="57" t="s">
        <v>4558</v>
      </c>
      <c r="H698" s="57" t="s">
        <v>4559</v>
      </c>
      <c r="I698" s="57" t="s">
        <v>4560</v>
      </c>
      <c r="J698" s="57" t="s">
        <v>4561</v>
      </c>
      <c r="K698" s="57" t="s">
        <v>4562</v>
      </c>
      <c r="L698" s="57" t="s">
        <v>4563</v>
      </c>
      <c r="M698" s="57" t="s">
        <v>4564</v>
      </c>
    </row>
    <row r="699" ht="28" spans="1:13">
      <c r="A699" s="178" t="str">
        <f t="shared" si="10"/>
        <v>Achievement Drive|Division Head|1</v>
      </c>
      <c r="B699" s="57" t="s">
        <v>443</v>
      </c>
      <c r="C699" s="177" t="s">
        <v>712</v>
      </c>
      <c r="D699" s="177">
        <v>1</v>
      </c>
      <c r="E699" s="177" t="s">
        <v>473</v>
      </c>
      <c r="F699" s="177">
        <v>2</v>
      </c>
      <c r="G699" s="57" t="s">
        <v>4565</v>
      </c>
      <c r="H699" s="57" t="s">
        <v>4566</v>
      </c>
      <c r="I699" s="57" t="s">
        <v>4567</v>
      </c>
      <c r="J699" s="57" t="s">
        <v>4568</v>
      </c>
      <c r="K699" s="57" t="s">
        <v>4569</v>
      </c>
      <c r="L699" s="57" t="s">
        <v>4570</v>
      </c>
      <c r="M699" s="57" t="s">
        <v>4571</v>
      </c>
    </row>
    <row r="700" ht="28" spans="1:13">
      <c r="A700" s="178" t="str">
        <f t="shared" si="10"/>
        <v>Achievement Drive|Division Head|1</v>
      </c>
      <c r="B700" s="57" t="s">
        <v>443</v>
      </c>
      <c r="C700" s="177" t="s">
        <v>712</v>
      </c>
      <c r="D700" s="177">
        <v>1</v>
      </c>
      <c r="E700" s="177" t="s">
        <v>473</v>
      </c>
      <c r="F700" s="177">
        <v>3</v>
      </c>
      <c r="G700" s="57" t="s">
        <v>4572</v>
      </c>
      <c r="H700" s="57" t="s">
        <v>4573</v>
      </c>
      <c r="I700" s="57" t="s">
        <v>4574</v>
      </c>
      <c r="J700" s="57" t="s">
        <v>4575</v>
      </c>
      <c r="K700" s="57" t="s">
        <v>4576</v>
      </c>
      <c r="L700" s="57" t="s">
        <v>4577</v>
      </c>
      <c r="M700" s="57" t="s">
        <v>4578</v>
      </c>
    </row>
    <row r="701" ht="28" spans="1:13">
      <c r="A701" s="178" t="str">
        <f t="shared" si="10"/>
        <v>Achievement Drive|Division Head|2</v>
      </c>
      <c r="B701" s="57" t="s">
        <v>443</v>
      </c>
      <c r="C701" s="177" t="s">
        <v>712</v>
      </c>
      <c r="D701" s="177">
        <v>2</v>
      </c>
      <c r="E701" s="177" t="s">
        <v>491</v>
      </c>
      <c r="F701" s="177">
        <v>1</v>
      </c>
      <c r="G701" s="57" t="s">
        <v>4579</v>
      </c>
      <c r="H701" s="57" t="s">
        <v>4580</v>
      </c>
      <c r="I701" s="57" t="s">
        <v>4581</v>
      </c>
      <c r="J701" s="57" t="s">
        <v>4582</v>
      </c>
      <c r="K701" s="57" t="s">
        <v>4583</v>
      </c>
      <c r="L701" s="57" t="s">
        <v>4584</v>
      </c>
      <c r="M701" s="57" t="s">
        <v>4585</v>
      </c>
    </row>
    <row r="702" ht="28" spans="1:13">
      <c r="A702" s="178" t="str">
        <f t="shared" si="10"/>
        <v>Achievement Drive|Division Head|2</v>
      </c>
      <c r="B702" s="57" t="s">
        <v>443</v>
      </c>
      <c r="C702" s="177" t="s">
        <v>712</v>
      </c>
      <c r="D702" s="177">
        <v>2</v>
      </c>
      <c r="E702" s="177" t="s">
        <v>491</v>
      </c>
      <c r="F702" s="177">
        <v>2</v>
      </c>
      <c r="G702" s="57" t="s">
        <v>4586</v>
      </c>
      <c r="H702" s="57" t="s">
        <v>4587</v>
      </c>
      <c r="I702" s="57" t="s">
        <v>4588</v>
      </c>
      <c r="J702" s="57" t="s">
        <v>4589</v>
      </c>
      <c r="K702" s="57" t="s">
        <v>4590</v>
      </c>
      <c r="L702" s="57" t="s">
        <v>4591</v>
      </c>
      <c r="M702" s="57" t="s">
        <v>4592</v>
      </c>
    </row>
    <row r="703" ht="28" spans="1:13">
      <c r="A703" s="178" t="str">
        <f t="shared" si="10"/>
        <v>Achievement Drive|Division Head|2</v>
      </c>
      <c r="B703" s="57" t="s">
        <v>443</v>
      </c>
      <c r="C703" s="177" t="s">
        <v>712</v>
      </c>
      <c r="D703" s="177">
        <v>2</v>
      </c>
      <c r="E703" s="177" t="s">
        <v>491</v>
      </c>
      <c r="F703" s="177">
        <v>3</v>
      </c>
      <c r="G703" s="57" t="s">
        <v>4593</v>
      </c>
      <c r="H703" s="57" t="s">
        <v>4594</v>
      </c>
      <c r="I703" s="57" t="s">
        <v>4595</v>
      </c>
      <c r="J703" s="57" t="s">
        <v>4596</v>
      </c>
      <c r="K703" s="57" t="s">
        <v>4597</v>
      </c>
      <c r="L703" s="57" t="s">
        <v>4598</v>
      </c>
      <c r="M703" s="57" t="s">
        <v>4599</v>
      </c>
    </row>
    <row r="704" ht="28" spans="1:13">
      <c r="A704" s="178" t="str">
        <f t="shared" si="10"/>
        <v>Achievement Drive|Division Head|3</v>
      </c>
      <c r="B704" s="57" t="s">
        <v>443</v>
      </c>
      <c r="C704" s="177" t="s">
        <v>712</v>
      </c>
      <c r="D704" s="177">
        <v>3</v>
      </c>
      <c r="E704" s="177" t="s">
        <v>507</v>
      </c>
      <c r="F704" s="177">
        <v>1</v>
      </c>
      <c r="G704" s="57" t="s">
        <v>4600</v>
      </c>
      <c r="H704" s="57" t="s">
        <v>4601</v>
      </c>
      <c r="I704" s="57" t="s">
        <v>4602</v>
      </c>
      <c r="J704" s="57" t="s">
        <v>4603</v>
      </c>
      <c r="K704" s="57" t="s">
        <v>4604</v>
      </c>
      <c r="L704" s="57" t="s">
        <v>4605</v>
      </c>
      <c r="M704" s="57" t="s">
        <v>4606</v>
      </c>
    </row>
    <row r="705" ht="28" spans="1:13">
      <c r="A705" s="178" t="str">
        <f t="shared" si="10"/>
        <v>Achievement Drive|Division Head|3</v>
      </c>
      <c r="B705" s="57" t="s">
        <v>443</v>
      </c>
      <c r="C705" s="177" t="s">
        <v>712</v>
      </c>
      <c r="D705" s="177">
        <v>3</v>
      </c>
      <c r="E705" s="177" t="s">
        <v>507</v>
      </c>
      <c r="F705" s="177">
        <v>2</v>
      </c>
      <c r="G705" s="57" t="s">
        <v>4607</v>
      </c>
      <c r="H705" s="57" t="s">
        <v>4608</v>
      </c>
      <c r="I705" s="57" t="s">
        <v>4609</v>
      </c>
      <c r="J705" s="57" t="s">
        <v>4610</v>
      </c>
      <c r="K705" s="57" t="s">
        <v>4611</v>
      </c>
      <c r="L705" s="57" t="s">
        <v>4612</v>
      </c>
      <c r="M705" s="57" t="s">
        <v>4613</v>
      </c>
    </row>
    <row r="706" ht="28" spans="1:13">
      <c r="A706" s="178" t="str">
        <f t="shared" si="10"/>
        <v>Achievement Drive|Division Head|3</v>
      </c>
      <c r="B706" s="57" t="s">
        <v>443</v>
      </c>
      <c r="C706" s="177" t="s">
        <v>712</v>
      </c>
      <c r="D706" s="177">
        <v>3</v>
      </c>
      <c r="E706" s="177" t="s">
        <v>507</v>
      </c>
      <c r="F706" s="177">
        <v>3</v>
      </c>
      <c r="G706" s="57" t="s">
        <v>4614</v>
      </c>
      <c r="H706" s="57" t="s">
        <v>4615</v>
      </c>
      <c r="I706" s="57" t="s">
        <v>4616</v>
      </c>
      <c r="J706" s="57" t="s">
        <v>4617</v>
      </c>
      <c r="K706" s="57" t="s">
        <v>4618</v>
      </c>
      <c r="L706" s="57" t="s">
        <v>4619</v>
      </c>
      <c r="M706" s="57" t="s">
        <v>4620</v>
      </c>
    </row>
    <row r="707" ht="28" spans="1:13">
      <c r="A707" s="178" t="str">
        <f t="shared" ref="A707:A770" si="11">B707&amp;"|"&amp;C707&amp;"|"&amp;D707</f>
        <v>Achievement Drive|Division Head|4</v>
      </c>
      <c r="B707" s="57" t="s">
        <v>443</v>
      </c>
      <c r="C707" s="177" t="s">
        <v>712</v>
      </c>
      <c r="D707" s="177">
        <v>4</v>
      </c>
      <c r="E707" s="177" t="s">
        <v>523</v>
      </c>
      <c r="F707" s="177">
        <v>1</v>
      </c>
      <c r="G707" s="57" t="s">
        <v>4621</v>
      </c>
      <c r="H707" s="57" t="s">
        <v>4622</v>
      </c>
      <c r="I707" s="57" t="s">
        <v>4623</v>
      </c>
      <c r="J707" s="57" t="s">
        <v>4624</v>
      </c>
      <c r="K707" s="57" t="s">
        <v>4625</v>
      </c>
      <c r="L707" s="57" t="s">
        <v>4626</v>
      </c>
      <c r="M707" s="57" t="s">
        <v>4627</v>
      </c>
    </row>
    <row r="708" ht="28" spans="1:13">
      <c r="A708" s="178" t="str">
        <f t="shared" si="11"/>
        <v>Achievement Drive|Division Head|4</v>
      </c>
      <c r="B708" s="57" t="s">
        <v>443</v>
      </c>
      <c r="C708" s="177" t="s">
        <v>712</v>
      </c>
      <c r="D708" s="177">
        <v>4</v>
      </c>
      <c r="E708" s="177" t="s">
        <v>523</v>
      </c>
      <c r="F708" s="177">
        <v>2</v>
      </c>
      <c r="G708" s="57" t="s">
        <v>4628</v>
      </c>
      <c r="H708" s="57" t="s">
        <v>4629</v>
      </c>
      <c r="I708" s="57" t="s">
        <v>4630</v>
      </c>
      <c r="J708" s="57" t="s">
        <v>4631</v>
      </c>
      <c r="K708" s="57" t="s">
        <v>4632</v>
      </c>
      <c r="L708" s="57" t="s">
        <v>4633</v>
      </c>
      <c r="M708" s="57" t="s">
        <v>4634</v>
      </c>
    </row>
    <row r="709" ht="28" spans="1:13">
      <c r="A709" s="178" t="str">
        <f t="shared" si="11"/>
        <v>Achievement Drive|Division Head|4</v>
      </c>
      <c r="B709" s="57" t="s">
        <v>443</v>
      </c>
      <c r="C709" s="177" t="s">
        <v>712</v>
      </c>
      <c r="D709" s="177">
        <v>4</v>
      </c>
      <c r="E709" s="177" t="s">
        <v>523</v>
      </c>
      <c r="F709" s="177">
        <v>3</v>
      </c>
      <c r="G709" s="57" t="s">
        <v>4635</v>
      </c>
      <c r="H709" s="57" t="s">
        <v>4636</v>
      </c>
      <c r="I709" s="57" t="s">
        <v>4637</v>
      </c>
      <c r="J709" s="57" t="s">
        <v>4638</v>
      </c>
      <c r="K709" s="57" t="s">
        <v>4639</v>
      </c>
      <c r="L709" s="57" t="s">
        <v>4640</v>
      </c>
      <c r="M709" s="57" t="s">
        <v>4641</v>
      </c>
    </row>
    <row r="710" ht="28" spans="1:13">
      <c r="A710" s="178" t="str">
        <f t="shared" si="11"/>
        <v>Achievement Drive|Director|1</v>
      </c>
      <c r="B710" s="57" t="s">
        <v>443</v>
      </c>
      <c r="C710" s="177" t="s">
        <v>773</v>
      </c>
      <c r="D710" s="177">
        <v>1</v>
      </c>
      <c r="E710" s="177" t="s">
        <v>473</v>
      </c>
      <c r="F710" s="177">
        <v>1</v>
      </c>
      <c r="G710" s="57" t="s">
        <v>4642</v>
      </c>
      <c r="H710" s="57" t="s">
        <v>4643</v>
      </c>
      <c r="I710" s="57" t="s">
        <v>4644</v>
      </c>
      <c r="J710" s="57" t="s">
        <v>4645</v>
      </c>
      <c r="K710" s="57" t="s">
        <v>4646</v>
      </c>
      <c r="L710" s="57" t="s">
        <v>4647</v>
      </c>
      <c r="M710" s="57" t="s">
        <v>4648</v>
      </c>
    </row>
    <row r="711" ht="28" spans="1:13">
      <c r="A711" s="178" t="str">
        <f t="shared" si="11"/>
        <v>Achievement Drive|Director|1</v>
      </c>
      <c r="B711" s="57" t="s">
        <v>443</v>
      </c>
      <c r="C711" s="177" t="s">
        <v>773</v>
      </c>
      <c r="D711" s="177">
        <v>1</v>
      </c>
      <c r="E711" s="177" t="s">
        <v>473</v>
      </c>
      <c r="F711" s="177">
        <v>2</v>
      </c>
      <c r="G711" s="57" t="s">
        <v>4649</v>
      </c>
      <c r="H711" s="57" t="s">
        <v>4650</v>
      </c>
      <c r="I711" s="57" t="s">
        <v>4651</v>
      </c>
      <c r="J711" s="57" t="s">
        <v>4652</v>
      </c>
      <c r="K711" s="57" t="s">
        <v>4653</v>
      </c>
      <c r="L711" s="57" t="s">
        <v>4654</v>
      </c>
      <c r="M711" s="57" t="s">
        <v>4655</v>
      </c>
    </row>
    <row r="712" ht="28" spans="1:13">
      <c r="A712" s="178" t="str">
        <f t="shared" si="11"/>
        <v>Achievement Drive|Director|1</v>
      </c>
      <c r="B712" s="57" t="s">
        <v>443</v>
      </c>
      <c r="C712" s="177" t="s">
        <v>773</v>
      </c>
      <c r="D712" s="177">
        <v>1</v>
      </c>
      <c r="E712" s="177" t="s">
        <v>473</v>
      </c>
      <c r="F712" s="177">
        <v>3</v>
      </c>
      <c r="G712" s="57" t="s">
        <v>4656</v>
      </c>
      <c r="H712" s="57" t="s">
        <v>4657</v>
      </c>
      <c r="I712" s="57" t="s">
        <v>4658</v>
      </c>
      <c r="J712" s="57" t="s">
        <v>4659</v>
      </c>
      <c r="K712" s="57" t="s">
        <v>4660</v>
      </c>
      <c r="L712" s="57" t="s">
        <v>4661</v>
      </c>
      <c r="M712" s="57" t="s">
        <v>4662</v>
      </c>
    </row>
    <row r="713" ht="28" spans="1:13">
      <c r="A713" s="178" t="str">
        <f t="shared" si="11"/>
        <v>Achievement Drive|Director|2</v>
      </c>
      <c r="B713" s="57" t="s">
        <v>443</v>
      </c>
      <c r="C713" s="177" t="s">
        <v>773</v>
      </c>
      <c r="D713" s="177">
        <v>2</v>
      </c>
      <c r="E713" s="177" t="s">
        <v>491</v>
      </c>
      <c r="F713" s="177">
        <v>1</v>
      </c>
      <c r="G713" s="57" t="s">
        <v>4663</v>
      </c>
      <c r="H713" s="57" t="s">
        <v>4664</v>
      </c>
      <c r="I713" s="57" t="s">
        <v>4665</v>
      </c>
      <c r="J713" s="57" t="s">
        <v>4666</v>
      </c>
      <c r="K713" s="57" t="s">
        <v>4667</v>
      </c>
      <c r="L713" s="57" t="s">
        <v>4668</v>
      </c>
      <c r="M713" s="57" t="s">
        <v>4669</v>
      </c>
    </row>
    <row r="714" ht="28" spans="1:13">
      <c r="A714" s="178" t="str">
        <f t="shared" si="11"/>
        <v>Achievement Drive|Director|2</v>
      </c>
      <c r="B714" s="57" t="s">
        <v>443</v>
      </c>
      <c r="C714" s="177" t="s">
        <v>773</v>
      </c>
      <c r="D714" s="177">
        <v>2</v>
      </c>
      <c r="E714" s="177" t="s">
        <v>491</v>
      </c>
      <c r="F714" s="177">
        <v>2</v>
      </c>
      <c r="G714" s="57" t="s">
        <v>4670</v>
      </c>
      <c r="H714" s="57" t="s">
        <v>4671</v>
      </c>
      <c r="I714" s="57" t="s">
        <v>4672</v>
      </c>
      <c r="J714" s="57" t="s">
        <v>4673</v>
      </c>
      <c r="K714" s="57" t="s">
        <v>4674</v>
      </c>
      <c r="L714" s="57" t="s">
        <v>4675</v>
      </c>
      <c r="M714" s="57" t="s">
        <v>4676</v>
      </c>
    </row>
    <row r="715" ht="28" spans="1:13">
      <c r="A715" s="178" t="str">
        <f t="shared" si="11"/>
        <v>Achievement Drive|Director|2</v>
      </c>
      <c r="B715" s="57" t="s">
        <v>443</v>
      </c>
      <c r="C715" s="177" t="s">
        <v>773</v>
      </c>
      <c r="D715" s="177">
        <v>2</v>
      </c>
      <c r="E715" s="177" t="s">
        <v>491</v>
      </c>
      <c r="F715" s="177">
        <v>3</v>
      </c>
      <c r="G715" s="57" t="s">
        <v>4677</v>
      </c>
      <c r="H715" s="57" t="s">
        <v>4678</v>
      </c>
      <c r="I715" s="57" t="s">
        <v>4679</v>
      </c>
      <c r="J715" s="57" t="s">
        <v>4680</v>
      </c>
      <c r="K715" s="57" t="s">
        <v>4681</v>
      </c>
      <c r="L715" s="57" t="s">
        <v>4682</v>
      </c>
      <c r="M715" s="57" t="s">
        <v>4683</v>
      </c>
    </row>
    <row r="716" ht="28" spans="1:13">
      <c r="A716" s="178" t="str">
        <f t="shared" si="11"/>
        <v>Achievement Drive|Director|3</v>
      </c>
      <c r="B716" s="57" t="s">
        <v>443</v>
      </c>
      <c r="C716" s="177" t="s">
        <v>773</v>
      </c>
      <c r="D716" s="177">
        <v>3</v>
      </c>
      <c r="E716" s="177" t="s">
        <v>507</v>
      </c>
      <c r="F716" s="177">
        <v>1</v>
      </c>
      <c r="G716" s="57" t="s">
        <v>4684</v>
      </c>
      <c r="H716" s="57" t="s">
        <v>4685</v>
      </c>
      <c r="I716" s="57" t="s">
        <v>4686</v>
      </c>
      <c r="J716" s="57" t="s">
        <v>4687</v>
      </c>
      <c r="K716" s="57" t="s">
        <v>4688</v>
      </c>
      <c r="L716" s="57" t="s">
        <v>4689</v>
      </c>
      <c r="M716" s="57" t="s">
        <v>4690</v>
      </c>
    </row>
    <row r="717" ht="28" spans="1:13">
      <c r="A717" s="178" t="str">
        <f t="shared" si="11"/>
        <v>Achievement Drive|Director|3</v>
      </c>
      <c r="B717" s="57" t="s">
        <v>443</v>
      </c>
      <c r="C717" s="177" t="s">
        <v>773</v>
      </c>
      <c r="D717" s="177">
        <v>3</v>
      </c>
      <c r="E717" s="177" t="s">
        <v>507</v>
      </c>
      <c r="F717" s="177">
        <v>2</v>
      </c>
      <c r="G717" s="57" t="s">
        <v>4691</v>
      </c>
      <c r="H717" s="57" t="s">
        <v>4692</v>
      </c>
      <c r="I717" s="57" t="s">
        <v>4693</v>
      </c>
      <c r="J717" s="57" t="s">
        <v>4694</v>
      </c>
      <c r="K717" s="57" t="s">
        <v>4695</v>
      </c>
      <c r="L717" s="57" t="s">
        <v>4696</v>
      </c>
      <c r="M717" s="57" t="s">
        <v>4697</v>
      </c>
    </row>
    <row r="718" ht="28" spans="1:13">
      <c r="A718" s="178" t="str">
        <f t="shared" si="11"/>
        <v>Achievement Drive|Director|3</v>
      </c>
      <c r="B718" s="57" t="s">
        <v>443</v>
      </c>
      <c r="C718" s="177" t="s">
        <v>773</v>
      </c>
      <c r="D718" s="177">
        <v>3</v>
      </c>
      <c r="E718" s="177" t="s">
        <v>507</v>
      </c>
      <c r="F718" s="177">
        <v>3</v>
      </c>
      <c r="G718" s="57" t="s">
        <v>4698</v>
      </c>
      <c r="H718" s="57" t="s">
        <v>4699</v>
      </c>
      <c r="I718" s="57" t="s">
        <v>4700</v>
      </c>
      <c r="J718" s="57" t="s">
        <v>4701</v>
      </c>
      <c r="K718" s="57" t="s">
        <v>4702</v>
      </c>
      <c r="L718" s="57" t="s">
        <v>4703</v>
      </c>
      <c r="M718" s="57" t="s">
        <v>4704</v>
      </c>
    </row>
    <row r="719" ht="28" spans="1:13">
      <c r="A719" s="178" t="str">
        <f t="shared" si="11"/>
        <v>Achievement Drive|Director|4</v>
      </c>
      <c r="B719" s="57" t="s">
        <v>443</v>
      </c>
      <c r="C719" s="177" t="s">
        <v>773</v>
      </c>
      <c r="D719" s="177">
        <v>4</v>
      </c>
      <c r="E719" s="177" t="s">
        <v>523</v>
      </c>
      <c r="F719" s="177">
        <v>1</v>
      </c>
      <c r="G719" s="57" t="s">
        <v>4705</v>
      </c>
      <c r="H719" s="57" t="s">
        <v>4706</v>
      </c>
      <c r="I719" s="57" t="s">
        <v>4707</v>
      </c>
      <c r="J719" s="57" t="s">
        <v>4708</v>
      </c>
      <c r="K719" s="57" t="s">
        <v>4709</v>
      </c>
      <c r="L719" s="57" t="s">
        <v>4710</v>
      </c>
      <c r="M719" s="57" t="s">
        <v>4711</v>
      </c>
    </row>
    <row r="720" ht="28" spans="1:13">
      <c r="A720" s="178" t="str">
        <f t="shared" si="11"/>
        <v>Achievement Drive|Director|4</v>
      </c>
      <c r="B720" s="57" t="s">
        <v>443</v>
      </c>
      <c r="C720" s="177" t="s">
        <v>773</v>
      </c>
      <c r="D720" s="177">
        <v>4</v>
      </c>
      <c r="E720" s="177" t="s">
        <v>523</v>
      </c>
      <c r="F720" s="177">
        <v>2</v>
      </c>
      <c r="G720" s="57" t="s">
        <v>4712</v>
      </c>
      <c r="H720" s="57" t="s">
        <v>4713</v>
      </c>
      <c r="I720" s="57" t="s">
        <v>4714</v>
      </c>
      <c r="J720" s="57" t="s">
        <v>4715</v>
      </c>
      <c r="K720" s="57" t="s">
        <v>4716</v>
      </c>
      <c r="L720" s="57" t="s">
        <v>4717</v>
      </c>
      <c r="M720" s="57" t="s">
        <v>4718</v>
      </c>
    </row>
    <row r="721" ht="28" spans="1:13">
      <c r="A721" s="178" t="str">
        <f t="shared" si="11"/>
        <v>Achievement Drive|Director|4</v>
      </c>
      <c r="B721" s="57" t="s">
        <v>443</v>
      </c>
      <c r="C721" s="177" t="s">
        <v>773</v>
      </c>
      <c r="D721" s="177">
        <v>4</v>
      </c>
      <c r="E721" s="177" t="s">
        <v>523</v>
      </c>
      <c r="F721" s="177">
        <v>3</v>
      </c>
      <c r="G721" s="57" t="s">
        <v>4719</v>
      </c>
      <c r="H721" s="57" t="s">
        <v>4720</v>
      </c>
      <c r="I721" s="57" t="s">
        <v>4721</v>
      </c>
      <c r="J721" s="57" t="s">
        <v>4722</v>
      </c>
      <c r="K721" s="57" t="s">
        <v>4723</v>
      </c>
      <c r="L721" s="57" t="s">
        <v>4724</v>
      </c>
      <c r="M721" s="57" t="s">
        <v>4725</v>
      </c>
    </row>
    <row r="722" ht="28" spans="1:13">
      <c r="A722" s="178" t="str">
        <f t="shared" si="11"/>
        <v>Analytical Thinking|Officer|1</v>
      </c>
      <c r="B722" s="57" t="s">
        <v>448</v>
      </c>
      <c r="C722" s="177" t="s">
        <v>6</v>
      </c>
      <c r="D722" s="177">
        <v>1</v>
      </c>
      <c r="E722" s="177" t="s">
        <v>473</v>
      </c>
      <c r="F722" s="177">
        <v>1</v>
      </c>
      <c r="G722" s="57" t="s">
        <v>4726</v>
      </c>
      <c r="H722" s="57" t="s">
        <v>4727</v>
      </c>
      <c r="I722" s="57" t="s">
        <v>4728</v>
      </c>
      <c r="J722" s="57" t="s">
        <v>4729</v>
      </c>
      <c r="K722" s="57" t="s">
        <v>4730</v>
      </c>
      <c r="L722" s="57" t="s">
        <v>4731</v>
      </c>
      <c r="M722" s="57" t="s">
        <v>4732</v>
      </c>
    </row>
    <row r="723" ht="28" spans="1:13">
      <c r="A723" s="178" t="str">
        <f t="shared" si="11"/>
        <v>Analytical Thinking|Officer|1</v>
      </c>
      <c r="B723" s="57" t="s">
        <v>448</v>
      </c>
      <c r="C723" s="177" t="s">
        <v>6</v>
      </c>
      <c r="D723" s="177">
        <v>1</v>
      </c>
      <c r="E723" s="177" t="s">
        <v>473</v>
      </c>
      <c r="F723" s="177">
        <v>2</v>
      </c>
      <c r="G723" s="57" t="s">
        <v>4733</v>
      </c>
      <c r="H723" s="57" t="s">
        <v>4734</v>
      </c>
      <c r="I723" s="57" t="s">
        <v>4735</v>
      </c>
      <c r="J723" s="57" t="s">
        <v>4736</v>
      </c>
      <c r="K723" s="57" t="s">
        <v>4737</v>
      </c>
      <c r="L723" s="57" t="s">
        <v>4738</v>
      </c>
      <c r="M723" s="57" t="s">
        <v>4739</v>
      </c>
    </row>
    <row r="724" ht="28" spans="1:13">
      <c r="A724" s="178" t="str">
        <f t="shared" si="11"/>
        <v>Analytical Thinking|Officer|1</v>
      </c>
      <c r="B724" s="57" t="s">
        <v>448</v>
      </c>
      <c r="C724" s="177" t="s">
        <v>6</v>
      </c>
      <c r="D724" s="177">
        <v>1</v>
      </c>
      <c r="E724" s="177" t="s">
        <v>473</v>
      </c>
      <c r="F724" s="177">
        <v>3</v>
      </c>
      <c r="G724" s="57" t="s">
        <v>4740</v>
      </c>
      <c r="H724" s="57" t="s">
        <v>4741</v>
      </c>
      <c r="I724" s="57" t="s">
        <v>4742</v>
      </c>
      <c r="J724" s="57" t="s">
        <v>4743</v>
      </c>
      <c r="K724" s="57" t="s">
        <v>4744</v>
      </c>
      <c r="L724" s="57" t="s">
        <v>4745</v>
      </c>
      <c r="M724" s="57" t="s">
        <v>4746</v>
      </c>
    </row>
    <row r="725" ht="28" spans="1:13">
      <c r="A725" s="178" t="str">
        <f t="shared" si="11"/>
        <v>Analytical Thinking|Officer|2</v>
      </c>
      <c r="B725" s="57" t="s">
        <v>448</v>
      </c>
      <c r="C725" s="177" t="s">
        <v>6</v>
      </c>
      <c r="D725" s="177">
        <v>2</v>
      </c>
      <c r="E725" s="177" t="s">
        <v>491</v>
      </c>
      <c r="F725" s="177">
        <v>1</v>
      </c>
      <c r="G725" s="57" t="s">
        <v>4747</v>
      </c>
      <c r="H725" s="57" t="s">
        <v>4748</v>
      </c>
      <c r="I725" s="57" t="s">
        <v>4749</v>
      </c>
      <c r="J725" s="57" t="s">
        <v>4750</v>
      </c>
      <c r="K725" s="57" t="s">
        <v>4751</v>
      </c>
      <c r="L725" s="57" t="s">
        <v>4752</v>
      </c>
      <c r="M725" s="57" t="s">
        <v>4753</v>
      </c>
    </row>
    <row r="726" ht="28" spans="1:13">
      <c r="A726" s="178" t="str">
        <f t="shared" si="11"/>
        <v>Analytical Thinking|Officer|2</v>
      </c>
      <c r="B726" s="57" t="s">
        <v>448</v>
      </c>
      <c r="C726" s="177" t="s">
        <v>6</v>
      </c>
      <c r="D726" s="177">
        <v>2</v>
      </c>
      <c r="E726" s="177" t="s">
        <v>491</v>
      </c>
      <c r="F726" s="177">
        <v>2</v>
      </c>
      <c r="G726" s="57" t="s">
        <v>4754</v>
      </c>
      <c r="H726" s="57" t="s">
        <v>4755</v>
      </c>
      <c r="I726" s="57" t="s">
        <v>4756</v>
      </c>
      <c r="J726" s="57" t="s">
        <v>4757</v>
      </c>
      <c r="K726" s="57" t="s">
        <v>4758</v>
      </c>
      <c r="L726" s="57" t="s">
        <v>4759</v>
      </c>
      <c r="M726" s="57" t="s">
        <v>4760</v>
      </c>
    </row>
    <row r="727" ht="28" spans="1:13">
      <c r="A727" s="178" t="str">
        <f t="shared" si="11"/>
        <v>Analytical Thinking|Officer|2</v>
      </c>
      <c r="B727" s="57" t="s">
        <v>448</v>
      </c>
      <c r="C727" s="177" t="s">
        <v>6</v>
      </c>
      <c r="D727" s="177">
        <v>2</v>
      </c>
      <c r="E727" s="177" t="s">
        <v>491</v>
      </c>
      <c r="F727" s="177">
        <v>3</v>
      </c>
      <c r="G727" s="57" t="s">
        <v>4761</v>
      </c>
      <c r="H727" s="57" t="s">
        <v>4762</v>
      </c>
      <c r="I727" s="57" t="s">
        <v>4763</v>
      </c>
      <c r="J727" s="57" t="s">
        <v>4764</v>
      </c>
      <c r="K727" s="57" t="s">
        <v>4765</v>
      </c>
      <c r="L727" s="57" t="s">
        <v>4766</v>
      </c>
      <c r="M727" s="57" t="s">
        <v>4767</v>
      </c>
    </row>
    <row r="728" ht="28" spans="1:13">
      <c r="A728" s="178" t="str">
        <f t="shared" si="11"/>
        <v>Analytical Thinking|Officer|3</v>
      </c>
      <c r="B728" s="57" t="s">
        <v>448</v>
      </c>
      <c r="C728" s="177" t="s">
        <v>6</v>
      </c>
      <c r="D728" s="177">
        <v>3</v>
      </c>
      <c r="E728" s="177" t="s">
        <v>507</v>
      </c>
      <c r="F728" s="177">
        <v>1</v>
      </c>
      <c r="G728" s="57" t="s">
        <v>4768</v>
      </c>
      <c r="H728" s="57" t="s">
        <v>4769</v>
      </c>
      <c r="I728" s="57" t="s">
        <v>4770</v>
      </c>
      <c r="J728" s="57" t="s">
        <v>4771</v>
      </c>
      <c r="K728" s="57" t="s">
        <v>4772</v>
      </c>
      <c r="L728" s="57" t="s">
        <v>4773</v>
      </c>
      <c r="M728" s="57" t="s">
        <v>4774</v>
      </c>
    </row>
    <row r="729" ht="28" spans="1:13">
      <c r="A729" s="178" t="str">
        <f t="shared" si="11"/>
        <v>Analytical Thinking|Officer|3</v>
      </c>
      <c r="B729" s="57" t="s">
        <v>448</v>
      </c>
      <c r="C729" s="177" t="s">
        <v>6</v>
      </c>
      <c r="D729" s="177">
        <v>3</v>
      </c>
      <c r="E729" s="177" t="s">
        <v>507</v>
      </c>
      <c r="F729" s="177">
        <v>2</v>
      </c>
      <c r="G729" s="57" t="s">
        <v>4775</v>
      </c>
      <c r="H729" s="57" t="s">
        <v>4776</v>
      </c>
      <c r="I729" s="57" t="s">
        <v>4777</v>
      </c>
      <c r="J729" s="57" t="s">
        <v>4778</v>
      </c>
      <c r="K729" s="57" t="s">
        <v>4779</v>
      </c>
      <c r="L729" s="57" t="s">
        <v>4780</v>
      </c>
      <c r="M729" s="57" t="s">
        <v>4781</v>
      </c>
    </row>
    <row r="730" ht="28" spans="1:13">
      <c r="A730" s="178" t="str">
        <f t="shared" si="11"/>
        <v>Analytical Thinking|Officer|3</v>
      </c>
      <c r="B730" s="57" t="s">
        <v>448</v>
      </c>
      <c r="C730" s="177" t="s">
        <v>6</v>
      </c>
      <c r="D730" s="177">
        <v>3</v>
      </c>
      <c r="E730" s="177" t="s">
        <v>507</v>
      </c>
      <c r="F730" s="177">
        <v>3</v>
      </c>
      <c r="G730" s="57" t="s">
        <v>4782</v>
      </c>
      <c r="H730" s="57" t="s">
        <v>4783</v>
      </c>
      <c r="I730" s="57" t="s">
        <v>4784</v>
      </c>
      <c r="J730" s="57" t="s">
        <v>4785</v>
      </c>
      <c r="K730" s="57" t="s">
        <v>4786</v>
      </c>
      <c r="L730" s="57" t="s">
        <v>4787</v>
      </c>
      <c r="M730" s="57" t="s">
        <v>4788</v>
      </c>
    </row>
    <row r="731" ht="28" spans="1:13">
      <c r="A731" s="178" t="str">
        <f t="shared" si="11"/>
        <v>Analytical Thinking|Officer|4</v>
      </c>
      <c r="B731" s="57" t="s">
        <v>448</v>
      </c>
      <c r="C731" s="177" t="s">
        <v>6</v>
      </c>
      <c r="D731" s="177">
        <v>4</v>
      </c>
      <c r="E731" s="177" t="s">
        <v>523</v>
      </c>
      <c r="F731" s="177">
        <v>1</v>
      </c>
      <c r="G731" s="57" t="s">
        <v>4789</v>
      </c>
      <c r="H731" s="57" t="s">
        <v>4790</v>
      </c>
      <c r="I731" s="57" t="s">
        <v>4791</v>
      </c>
      <c r="J731" s="57" t="s">
        <v>4792</v>
      </c>
      <c r="K731" s="57" t="s">
        <v>4793</v>
      </c>
      <c r="L731" s="57" t="s">
        <v>4794</v>
      </c>
      <c r="M731" s="57" t="s">
        <v>4795</v>
      </c>
    </row>
    <row r="732" ht="28" spans="1:13">
      <c r="A732" s="178" t="str">
        <f t="shared" si="11"/>
        <v>Analytical Thinking|Officer|4</v>
      </c>
      <c r="B732" s="57" t="s">
        <v>448</v>
      </c>
      <c r="C732" s="177" t="s">
        <v>6</v>
      </c>
      <c r="D732" s="177">
        <v>4</v>
      </c>
      <c r="E732" s="177" t="s">
        <v>523</v>
      </c>
      <c r="F732" s="177">
        <v>2</v>
      </c>
      <c r="G732" s="57" t="s">
        <v>4796</v>
      </c>
      <c r="H732" s="57" t="s">
        <v>4797</v>
      </c>
      <c r="I732" s="57" t="s">
        <v>4798</v>
      </c>
      <c r="J732" s="57" t="s">
        <v>4799</v>
      </c>
      <c r="K732" s="57" t="s">
        <v>4800</v>
      </c>
      <c r="L732" s="57" t="s">
        <v>4801</v>
      </c>
      <c r="M732" s="57" t="s">
        <v>4802</v>
      </c>
    </row>
    <row r="733" ht="28" spans="1:13">
      <c r="A733" s="178" t="str">
        <f t="shared" si="11"/>
        <v>Analytical Thinking|Officer|4</v>
      </c>
      <c r="B733" s="57" t="s">
        <v>448</v>
      </c>
      <c r="C733" s="177" t="s">
        <v>6</v>
      </c>
      <c r="D733" s="177">
        <v>4</v>
      </c>
      <c r="E733" s="177" t="s">
        <v>523</v>
      </c>
      <c r="F733" s="177">
        <v>3</v>
      </c>
      <c r="G733" s="57" t="s">
        <v>4803</v>
      </c>
      <c r="H733" s="57" t="s">
        <v>4804</v>
      </c>
      <c r="I733" s="57" t="s">
        <v>4805</v>
      </c>
      <c r="J733" s="57" t="s">
        <v>4806</v>
      </c>
      <c r="K733" s="57" t="s">
        <v>4807</v>
      </c>
      <c r="L733" s="57" t="s">
        <v>4808</v>
      </c>
      <c r="M733" s="57" t="s">
        <v>4809</v>
      </c>
    </row>
    <row r="734" ht="28" spans="1:13">
      <c r="A734" s="178" t="str">
        <f t="shared" si="11"/>
        <v>Analytical Thinking|Analyst|1</v>
      </c>
      <c r="B734" s="57" t="s">
        <v>448</v>
      </c>
      <c r="C734" s="177" t="s">
        <v>8</v>
      </c>
      <c r="D734" s="177">
        <v>1</v>
      </c>
      <c r="E734" s="177" t="s">
        <v>473</v>
      </c>
      <c r="F734" s="177">
        <v>1</v>
      </c>
      <c r="G734" s="57" t="s">
        <v>4810</v>
      </c>
      <c r="H734" s="57" t="s">
        <v>4811</v>
      </c>
      <c r="I734" s="57" t="s">
        <v>4812</v>
      </c>
      <c r="J734" s="57" t="s">
        <v>4813</v>
      </c>
      <c r="K734" s="57" t="s">
        <v>4814</v>
      </c>
      <c r="L734" s="57" t="s">
        <v>4815</v>
      </c>
      <c r="M734" s="57" t="s">
        <v>4816</v>
      </c>
    </row>
    <row r="735" ht="28" spans="1:13">
      <c r="A735" s="178" t="str">
        <f t="shared" si="11"/>
        <v>Analytical Thinking|Analyst|1</v>
      </c>
      <c r="B735" s="57" t="s">
        <v>448</v>
      </c>
      <c r="C735" s="177" t="s">
        <v>8</v>
      </c>
      <c r="D735" s="177">
        <v>1</v>
      </c>
      <c r="E735" s="177" t="s">
        <v>473</v>
      </c>
      <c r="F735" s="177">
        <v>2</v>
      </c>
      <c r="G735" s="57" t="s">
        <v>4817</v>
      </c>
      <c r="H735" s="57" t="s">
        <v>4818</v>
      </c>
      <c r="I735" s="57" t="s">
        <v>4819</v>
      </c>
      <c r="J735" s="57" t="s">
        <v>4820</v>
      </c>
      <c r="K735" s="57" t="s">
        <v>4821</v>
      </c>
      <c r="L735" s="57" t="s">
        <v>4822</v>
      </c>
      <c r="M735" s="57" t="s">
        <v>4823</v>
      </c>
    </row>
    <row r="736" ht="28" spans="1:13">
      <c r="A736" s="178" t="str">
        <f t="shared" si="11"/>
        <v>Analytical Thinking|Analyst|1</v>
      </c>
      <c r="B736" s="57" t="s">
        <v>448</v>
      </c>
      <c r="C736" s="177" t="s">
        <v>8</v>
      </c>
      <c r="D736" s="177">
        <v>1</v>
      </c>
      <c r="E736" s="177" t="s">
        <v>473</v>
      </c>
      <c r="F736" s="177">
        <v>3</v>
      </c>
      <c r="G736" s="57" t="s">
        <v>4824</v>
      </c>
      <c r="H736" s="57" t="s">
        <v>4825</v>
      </c>
      <c r="I736" s="57" t="s">
        <v>4826</v>
      </c>
      <c r="J736" s="57" t="s">
        <v>4827</v>
      </c>
      <c r="K736" s="57" t="s">
        <v>4828</v>
      </c>
      <c r="L736" s="57" t="s">
        <v>4829</v>
      </c>
      <c r="M736" s="57" t="s">
        <v>4830</v>
      </c>
    </row>
    <row r="737" ht="28" spans="1:13">
      <c r="A737" s="178" t="str">
        <f t="shared" si="11"/>
        <v>Analytical Thinking|Analyst|2</v>
      </c>
      <c r="B737" s="57" t="s">
        <v>448</v>
      </c>
      <c r="C737" s="177" t="s">
        <v>8</v>
      </c>
      <c r="D737" s="177">
        <v>2</v>
      </c>
      <c r="E737" s="177" t="s">
        <v>491</v>
      </c>
      <c r="F737" s="177">
        <v>1</v>
      </c>
      <c r="G737" s="57" t="s">
        <v>4831</v>
      </c>
      <c r="H737" s="57" t="s">
        <v>4832</v>
      </c>
      <c r="I737" s="57" t="s">
        <v>4833</v>
      </c>
      <c r="J737" s="57" t="s">
        <v>4834</v>
      </c>
      <c r="K737" s="57" t="s">
        <v>4835</v>
      </c>
      <c r="L737" s="57" t="s">
        <v>4836</v>
      </c>
      <c r="M737" s="57" t="s">
        <v>4837</v>
      </c>
    </row>
    <row r="738" ht="28" spans="1:13">
      <c r="A738" s="178" t="str">
        <f t="shared" si="11"/>
        <v>Analytical Thinking|Analyst|2</v>
      </c>
      <c r="B738" s="57" t="s">
        <v>448</v>
      </c>
      <c r="C738" s="177" t="s">
        <v>8</v>
      </c>
      <c r="D738" s="177">
        <v>2</v>
      </c>
      <c r="E738" s="177" t="s">
        <v>491</v>
      </c>
      <c r="F738" s="177">
        <v>2</v>
      </c>
      <c r="G738" s="57" t="s">
        <v>4838</v>
      </c>
      <c r="H738" s="57" t="s">
        <v>4839</v>
      </c>
      <c r="I738" s="57" t="s">
        <v>4840</v>
      </c>
      <c r="J738" s="57" t="s">
        <v>4841</v>
      </c>
      <c r="K738" s="57" t="s">
        <v>4842</v>
      </c>
      <c r="L738" s="57" t="s">
        <v>4843</v>
      </c>
      <c r="M738" s="57" t="s">
        <v>4844</v>
      </c>
    </row>
    <row r="739" ht="28" spans="1:13">
      <c r="A739" s="178" t="str">
        <f t="shared" si="11"/>
        <v>Analytical Thinking|Analyst|2</v>
      </c>
      <c r="B739" s="57" t="s">
        <v>448</v>
      </c>
      <c r="C739" s="177" t="s">
        <v>8</v>
      </c>
      <c r="D739" s="177">
        <v>2</v>
      </c>
      <c r="E739" s="177" t="s">
        <v>491</v>
      </c>
      <c r="F739" s="177">
        <v>3</v>
      </c>
      <c r="G739" s="57" t="s">
        <v>4845</v>
      </c>
      <c r="H739" s="57" t="s">
        <v>4846</v>
      </c>
      <c r="I739" s="57" t="s">
        <v>4847</v>
      </c>
      <c r="J739" s="57" t="s">
        <v>4848</v>
      </c>
      <c r="K739" s="57" t="s">
        <v>4849</v>
      </c>
      <c r="L739" s="57" t="s">
        <v>4850</v>
      </c>
      <c r="M739" s="57" t="s">
        <v>4851</v>
      </c>
    </row>
    <row r="740" ht="28" spans="1:13">
      <c r="A740" s="178" t="str">
        <f t="shared" si="11"/>
        <v>Analytical Thinking|Analyst|3</v>
      </c>
      <c r="B740" s="57" t="s">
        <v>448</v>
      </c>
      <c r="C740" s="177" t="s">
        <v>8</v>
      </c>
      <c r="D740" s="177">
        <v>3</v>
      </c>
      <c r="E740" s="177" t="s">
        <v>507</v>
      </c>
      <c r="F740" s="177">
        <v>1</v>
      </c>
      <c r="G740" s="57" t="s">
        <v>4852</v>
      </c>
      <c r="H740" s="57" t="s">
        <v>4853</v>
      </c>
      <c r="I740" s="57" t="s">
        <v>4854</v>
      </c>
      <c r="J740" s="57" t="s">
        <v>4855</v>
      </c>
      <c r="K740" s="57" t="s">
        <v>4856</v>
      </c>
      <c r="L740" s="57" t="s">
        <v>4857</v>
      </c>
      <c r="M740" s="57" t="s">
        <v>4858</v>
      </c>
    </row>
    <row r="741" ht="28" spans="1:13">
      <c r="A741" s="178" t="str">
        <f t="shared" si="11"/>
        <v>Analytical Thinking|Analyst|3</v>
      </c>
      <c r="B741" s="57" t="s">
        <v>448</v>
      </c>
      <c r="C741" s="177" t="s">
        <v>8</v>
      </c>
      <c r="D741" s="177">
        <v>3</v>
      </c>
      <c r="E741" s="177" t="s">
        <v>507</v>
      </c>
      <c r="F741" s="177">
        <v>2</v>
      </c>
      <c r="G741" s="57" t="s">
        <v>4859</v>
      </c>
      <c r="H741" s="57" t="s">
        <v>4860</v>
      </c>
      <c r="I741" s="57" t="s">
        <v>4861</v>
      </c>
      <c r="J741" s="57" t="s">
        <v>4862</v>
      </c>
      <c r="K741" s="57" t="s">
        <v>4863</v>
      </c>
      <c r="L741" s="57" t="s">
        <v>4864</v>
      </c>
      <c r="M741" s="57" t="s">
        <v>4865</v>
      </c>
    </row>
    <row r="742" ht="28" spans="1:13">
      <c r="A742" s="178" t="str">
        <f t="shared" si="11"/>
        <v>Analytical Thinking|Analyst|3</v>
      </c>
      <c r="B742" s="57" t="s">
        <v>448</v>
      </c>
      <c r="C742" s="177" t="s">
        <v>8</v>
      </c>
      <c r="D742" s="177">
        <v>3</v>
      </c>
      <c r="E742" s="177" t="s">
        <v>507</v>
      </c>
      <c r="F742" s="177">
        <v>3</v>
      </c>
      <c r="G742" s="57" t="s">
        <v>4866</v>
      </c>
      <c r="H742" s="57" t="s">
        <v>4867</v>
      </c>
      <c r="I742" s="57" t="s">
        <v>4868</v>
      </c>
      <c r="J742" s="57" t="s">
        <v>4869</v>
      </c>
      <c r="K742" s="57" t="s">
        <v>4870</v>
      </c>
      <c r="L742" s="57" t="s">
        <v>4871</v>
      </c>
      <c r="M742" s="57" t="s">
        <v>4872</v>
      </c>
    </row>
    <row r="743" ht="28" spans="1:13">
      <c r="A743" s="178" t="str">
        <f t="shared" si="11"/>
        <v>Analytical Thinking|Analyst|4</v>
      </c>
      <c r="B743" s="57" t="s">
        <v>448</v>
      </c>
      <c r="C743" s="177" t="s">
        <v>8</v>
      </c>
      <c r="D743" s="177">
        <v>4</v>
      </c>
      <c r="E743" s="177" t="s">
        <v>523</v>
      </c>
      <c r="F743" s="177">
        <v>1</v>
      </c>
      <c r="G743" s="57" t="s">
        <v>4873</v>
      </c>
      <c r="H743" s="57" t="s">
        <v>4874</v>
      </c>
      <c r="I743" s="57" t="s">
        <v>4875</v>
      </c>
      <c r="J743" s="57" t="s">
        <v>4876</v>
      </c>
      <c r="K743" s="57" t="s">
        <v>4877</v>
      </c>
      <c r="L743" s="57" t="s">
        <v>4878</v>
      </c>
      <c r="M743" s="57" t="s">
        <v>4879</v>
      </c>
    </row>
    <row r="744" ht="28" spans="1:13">
      <c r="A744" s="178" t="str">
        <f t="shared" si="11"/>
        <v>Analytical Thinking|Analyst|4</v>
      </c>
      <c r="B744" s="57" t="s">
        <v>448</v>
      </c>
      <c r="C744" s="177" t="s">
        <v>8</v>
      </c>
      <c r="D744" s="177">
        <v>4</v>
      </c>
      <c r="E744" s="177" t="s">
        <v>523</v>
      </c>
      <c r="F744" s="177">
        <v>2</v>
      </c>
      <c r="G744" s="57" t="s">
        <v>4880</v>
      </c>
      <c r="H744" s="57" t="s">
        <v>4881</v>
      </c>
      <c r="I744" s="57" t="s">
        <v>4882</v>
      </c>
      <c r="J744" s="57" t="s">
        <v>4883</v>
      </c>
      <c r="K744" s="57" t="s">
        <v>4884</v>
      </c>
      <c r="L744" s="57" t="s">
        <v>4885</v>
      </c>
      <c r="M744" s="57" t="s">
        <v>4886</v>
      </c>
    </row>
    <row r="745" ht="28" spans="1:13">
      <c r="A745" s="178" t="str">
        <f t="shared" si="11"/>
        <v>Analytical Thinking|Analyst|4</v>
      </c>
      <c r="B745" s="57" t="s">
        <v>448</v>
      </c>
      <c r="C745" s="177" t="s">
        <v>8</v>
      </c>
      <c r="D745" s="177">
        <v>4</v>
      </c>
      <c r="E745" s="177" t="s">
        <v>523</v>
      </c>
      <c r="F745" s="177">
        <v>3</v>
      </c>
      <c r="G745" s="57" t="s">
        <v>4887</v>
      </c>
      <c r="H745" s="57" t="s">
        <v>4888</v>
      </c>
      <c r="I745" s="57" t="s">
        <v>4889</v>
      </c>
      <c r="J745" s="57" t="s">
        <v>4890</v>
      </c>
      <c r="K745" s="57" t="s">
        <v>4891</v>
      </c>
      <c r="L745" s="57" t="s">
        <v>4892</v>
      </c>
      <c r="M745" s="57" t="s">
        <v>4893</v>
      </c>
    </row>
    <row r="746" ht="42" spans="1:13">
      <c r="A746" s="178" t="str">
        <f t="shared" si="11"/>
        <v>Analytical Thinking|Unit Head/Specialist|1</v>
      </c>
      <c r="B746" s="57" t="s">
        <v>448</v>
      </c>
      <c r="C746" s="177" t="s">
        <v>18</v>
      </c>
      <c r="D746" s="177">
        <v>1</v>
      </c>
      <c r="E746" s="177" t="s">
        <v>473</v>
      </c>
      <c r="F746" s="177">
        <v>1</v>
      </c>
      <c r="G746" s="57" t="s">
        <v>4894</v>
      </c>
      <c r="H746" s="57" t="s">
        <v>4895</v>
      </c>
      <c r="I746" s="57" t="s">
        <v>4896</v>
      </c>
      <c r="J746" s="57" t="s">
        <v>4897</v>
      </c>
      <c r="K746" s="57" t="s">
        <v>4898</v>
      </c>
      <c r="L746" s="57" t="s">
        <v>4899</v>
      </c>
      <c r="M746" s="57" t="s">
        <v>4900</v>
      </c>
    </row>
    <row r="747" ht="42" spans="1:13">
      <c r="A747" s="178" t="str">
        <f t="shared" si="11"/>
        <v>Analytical Thinking|Unit Head/Specialist|1</v>
      </c>
      <c r="B747" s="57" t="s">
        <v>448</v>
      </c>
      <c r="C747" s="177" t="s">
        <v>18</v>
      </c>
      <c r="D747" s="177">
        <v>1</v>
      </c>
      <c r="E747" s="177" t="s">
        <v>473</v>
      </c>
      <c r="F747" s="177">
        <v>2</v>
      </c>
      <c r="G747" s="57" t="s">
        <v>4901</v>
      </c>
      <c r="H747" s="57" t="s">
        <v>4902</v>
      </c>
      <c r="I747" s="57" t="s">
        <v>4903</v>
      </c>
      <c r="J747" s="57" t="s">
        <v>4904</v>
      </c>
      <c r="K747" s="57" t="s">
        <v>4905</v>
      </c>
      <c r="L747" s="57" t="s">
        <v>4906</v>
      </c>
      <c r="M747" s="57" t="s">
        <v>4907</v>
      </c>
    </row>
    <row r="748" ht="42" spans="1:13">
      <c r="A748" s="178" t="str">
        <f t="shared" si="11"/>
        <v>Analytical Thinking|Unit Head/Specialist|1</v>
      </c>
      <c r="B748" s="57" t="s">
        <v>448</v>
      </c>
      <c r="C748" s="177" t="s">
        <v>18</v>
      </c>
      <c r="D748" s="177">
        <v>1</v>
      </c>
      <c r="E748" s="177" t="s">
        <v>473</v>
      </c>
      <c r="F748" s="177">
        <v>3</v>
      </c>
      <c r="G748" s="57" t="s">
        <v>4908</v>
      </c>
      <c r="H748" s="57" t="s">
        <v>4909</v>
      </c>
      <c r="I748" s="57" t="s">
        <v>4910</v>
      </c>
      <c r="J748" s="57" t="s">
        <v>4911</v>
      </c>
      <c r="K748" s="57" t="s">
        <v>4912</v>
      </c>
      <c r="L748" s="57" t="s">
        <v>4913</v>
      </c>
      <c r="M748" s="57" t="s">
        <v>4914</v>
      </c>
    </row>
    <row r="749" ht="42" spans="1:13">
      <c r="A749" s="178" t="str">
        <f t="shared" si="11"/>
        <v>Analytical Thinking|Unit Head/Specialist|2</v>
      </c>
      <c r="B749" s="57" t="s">
        <v>448</v>
      </c>
      <c r="C749" s="177" t="s">
        <v>18</v>
      </c>
      <c r="D749" s="177">
        <v>2</v>
      </c>
      <c r="E749" s="177" t="s">
        <v>491</v>
      </c>
      <c r="F749" s="177">
        <v>1</v>
      </c>
      <c r="G749" s="57" t="s">
        <v>4915</v>
      </c>
      <c r="H749" s="57" t="s">
        <v>4916</v>
      </c>
      <c r="I749" s="57" t="s">
        <v>4917</v>
      </c>
      <c r="J749" s="57" t="s">
        <v>4918</v>
      </c>
      <c r="K749" s="57" t="s">
        <v>4919</v>
      </c>
      <c r="L749" s="57" t="s">
        <v>4920</v>
      </c>
      <c r="M749" s="57" t="s">
        <v>4921</v>
      </c>
    </row>
    <row r="750" ht="42" spans="1:13">
      <c r="A750" s="178" t="str">
        <f t="shared" si="11"/>
        <v>Analytical Thinking|Unit Head/Specialist|2</v>
      </c>
      <c r="B750" s="57" t="s">
        <v>448</v>
      </c>
      <c r="C750" s="177" t="s">
        <v>18</v>
      </c>
      <c r="D750" s="177">
        <v>2</v>
      </c>
      <c r="E750" s="177" t="s">
        <v>491</v>
      </c>
      <c r="F750" s="177">
        <v>2</v>
      </c>
      <c r="G750" s="57" t="s">
        <v>4922</v>
      </c>
      <c r="H750" s="57" t="s">
        <v>4923</v>
      </c>
      <c r="I750" s="57" t="s">
        <v>4924</v>
      </c>
      <c r="J750" s="57" t="s">
        <v>4925</v>
      </c>
      <c r="K750" s="57" t="s">
        <v>4926</v>
      </c>
      <c r="L750" s="57" t="s">
        <v>4927</v>
      </c>
      <c r="M750" s="57" t="s">
        <v>4928</v>
      </c>
    </row>
    <row r="751" ht="42" spans="1:13">
      <c r="A751" s="178" t="str">
        <f t="shared" si="11"/>
        <v>Analytical Thinking|Unit Head/Specialist|2</v>
      </c>
      <c r="B751" s="57" t="s">
        <v>448</v>
      </c>
      <c r="C751" s="177" t="s">
        <v>18</v>
      </c>
      <c r="D751" s="177">
        <v>2</v>
      </c>
      <c r="E751" s="177" t="s">
        <v>491</v>
      </c>
      <c r="F751" s="177">
        <v>3</v>
      </c>
      <c r="G751" s="57" t="s">
        <v>4929</v>
      </c>
      <c r="H751" s="57" t="s">
        <v>4930</v>
      </c>
      <c r="I751" s="57" t="s">
        <v>4931</v>
      </c>
      <c r="J751" s="57" t="s">
        <v>4932</v>
      </c>
      <c r="K751" s="57" t="s">
        <v>4933</v>
      </c>
      <c r="L751" s="57" t="s">
        <v>4934</v>
      </c>
      <c r="M751" s="57" t="s">
        <v>4935</v>
      </c>
    </row>
    <row r="752" ht="42" spans="1:13">
      <c r="A752" s="178" t="str">
        <f t="shared" si="11"/>
        <v>Analytical Thinking|Unit Head/Specialist|3</v>
      </c>
      <c r="B752" s="57" t="s">
        <v>448</v>
      </c>
      <c r="C752" s="177" t="s">
        <v>18</v>
      </c>
      <c r="D752" s="177">
        <v>3</v>
      </c>
      <c r="E752" s="177" t="s">
        <v>507</v>
      </c>
      <c r="F752" s="177">
        <v>1</v>
      </c>
      <c r="G752" s="57" t="s">
        <v>4936</v>
      </c>
      <c r="H752" s="57" t="s">
        <v>4937</v>
      </c>
      <c r="I752" s="57" t="s">
        <v>4938</v>
      </c>
      <c r="J752" s="57" t="s">
        <v>4939</v>
      </c>
      <c r="K752" s="57" t="s">
        <v>4940</v>
      </c>
      <c r="L752" s="57" t="s">
        <v>4941</v>
      </c>
      <c r="M752" s="57" t="s">
        <v>4942</v>
      </c>
    </row>
    <row r="753" ht="42" spans="1:13">
      <c r="A753" s="178" t="str">
        <f t="shared" si="11"/>
        <v>Analytical Thinking|Unit Head/Specialist|3</v>
      </c>
      <c r="B753" s="57" t="s">
        <v>448</v>
      </c>
      <c r="C753" s="177" t="s">
        <v>18</v>
      </c>
      <c r="D753" s="177">
        <v>3</v>
      </c>
      <c r="E753" s="177" t="s">
        <v>507</v>
      </c>
      <c r="F753" s="177">
        <v>2</v>
      </c>
      <c r="G753" s="57" t="s">
        <v>4943</v>
      </c>
      <c r="H753" s="57" t="s">
        <v>4944</v>
      </c>
      <c r="I753" s="57" t="s">
        <v>4945</v>
      </c>
      <c r="J753" s="57" t="s">
        <v>4946</v>
      </c>
      <c r="K753" s="57" t="s">
        <v>4947</v>
      </c>
      <c r="L753" s="57" t="s">
        <v>4948</v>
      </c>
      <c r="M753" s="57" t="s">
        <v>4949</v>
      </c>
    </row>
    <row r="754" ht="42" spans="1:13">
      <c r="A754" s="178" t="str">
        <f t="shared" si="11"/>
        <v>Analytical Thinking|Unit Head/Specialist|3</v>
      </c>
      <c r="B754" s="57" t="s">
        <v>448</v>
      </c>
      <c r="C754" s="177" t="s">
        <v>18</v>
      </c>
      <c r="D754" s="177">
        <v>3</v>
      </c>
      <c r="E754" s="177" t="s">
        <v>507</v>
      </c>
      <c r="F754" s="177">
        <v>3</v>
      </c>
      <c r="G754" s="57" t="s">
        <v>4950</v>
      </c>
      <c r="H754" s="57" t="s">
        <v>4951</v>
      </c>
      <c r="I754" s="57" t="s">
        <v>4952</v>
      </c>
      <c r="J754" s="57" t="s">
        <v>4953</v>
      </c>
      <c r="K754" s="57" t="s">
        <v>4954</v>
      </c>
      <c r="L754" s="57" t="s">
        <v>4955</v>
      </c>
      <c r="M754" s="57" t="s">
        <v>4956</v>
      </c>
    </row>
    <row r="755" ht="42" spans="1:13">
      <c r="A755" s="178" t="str">
        <f t="shared" si="11"/>
        <v>Analytical Thinking|Unit Head/Specialist|4</v>
      </c>
      <c r="B755" s="57" t="s">
        <v>448</v>
      </c>
      <c r="C755" s="177" t="s">
        <v>18</v>
      </c>
      <c r="D755" s="177">
        <v>4</v>
      </c>
      <c r="E755" s="177" t="s">
        <v>523</v>
      </c>
      <c r="F755" s="177">
        <v>1</v>
      </c>
      <c r="G755" s="57" t="s">
        <v>4957</v>
      </c>
      <c r="H755" s="57" t="s">
        <v>4958</v>
      </c>
      <c r="I755" s="57" t="s">
        <v>4959</v>
      </c>
      <c r="J755" s="57" t="s">
        <v>4960</v>
      </c>
      <c r="K755" s="57" t="s">
        <v>4961</v>
      </c>
      <c r="L755" s="57" t="s">
        <v>4962</v>
      </c>
      <c r="M755" s="57" t="s">
        <v>4963</v>
      </c>
    </row>
    <row r="756" ht="42" spans="1:13">
      <c r="A756" s="178" t="str">
        <f t="shared" si="11"/>
        <v>Analytical Thinking|Unit Head/Specialist|4</v>
      </c>
      <c r="B756" s="57" t="s">
        <v>448</v>
      </c>
      <c r="C756" s="177" t="s">
        <v>18</v>
      </c>
      <c r="D756" s="177">
        <v>4</v>
      </c>
      <c r="E756" s="177" t="s">
        <v>523</v>
      </c>
      <c r="F756" s="177">
        <v>2</v>
      </c>
      <c r="G756" s="57" t="s">
        <v>4964</v>
      </c>
      <c r="H756" s="57" t="s">
        <v>4965</v>
      </c>
      <c r="I756" s="57" t="s">
        <v>4966</v>
      </c>
      <c r="J756" s="57" t="s">
        <v>4967</v>
      </c>
      <c r="K756" s="57" t="s">
        <v>4968</v>
      </c>
      <c r="L756" s="57" t="s">
        <v>4969</v>
      </c>
      <c r="M756" s="57" t="s">
        <v>4970</v>
      </c>
    </row>
    <row r="757" ht="42" spans="1:13">
      <c r="A757" s="178" t="str">
        <f t="shared" si="11"/>
        <v>Analytical Thinking|Unit Head/Specialist|4</v>
      </c>
      <c r="B757" s="57" t="s">
        <v>448</v>
      </c>
      <c r="C757" s="177" t="s">
        <v>18</v>
      </c>
      <c r="D757" s="177">
        <v>4</v>
      </c>
      <c r="E757" s="177" t="s">
        <v>523</v>
      </c>
      <c r="F757" s="177">
        <v>3</v>
      </c>
      <c r="G757" s="57" t="s">
        <v>4971</v>
      </c>
      <c r="H757" s="57" t="s">
        <v>4972</v>
      </c>
      <c r="I757" s="57" t="s">
        <v>4973</v>
      </c>
      <c r="J757" s="57" t="s">
        <v>4974</v>
      </c>
      <c r="K757" s="57" t="s">
        <v>4975</v>
      </c>
      <c r="L757" s="57" t="s">
        <v>4976</v>
      </c>
      <c r="M757" s="57" t="s">
        <v>4977</v>
      </c>
    </row>
    <row r="758" ht="28" spans="1:13">
      <c r="A758" s="178" t="str">
        <f t="shared" si="11"/>
        <v>Analytical Thinking|Department Head|1</v>
      </c>
      <c r="B758" s="57" t="s">
        <v>448</v>
      </c>
      <c r="C758" s="177" t="s">
        <v>655</v>
      </c>
      <c r="D758" s="177">
        <v>1</v>
      </c>
      <c r="E758" s="177" t="s">
        <v>473</v>
      </c>
      <c r="F758" s="177">
        <v>1</v>
      </c>
      <c r="G758" s="57" t="s">
        <v>4978</v>
      </c>
      <c r="H758" s="57" t="s">
        <v>4979</v>
      </c>
      <c r="I758" s="57" t="s">
        <v>4980</v>
      </c>
      <c r="J758" s="57" t="s">
        <v>4981</v>
      </c>
      <c r="K758" s="57" t="s">
        <v>4982</v>
      </c>
      <c r="L758" s="57" t="s">
        <v>4983</v>
      </c>
      <c r="M758" s="57" t="s">
        <v>4984</v>
      </c>
    </row>
    <row r="759" ht="28" spans="1:13">
      <c r="A759" s="178" t="str">
        <f t="shared" si="11"/>
        <v>Analytical Thinking|Department Head|1</v>
      </c>
      <c r="B759" s="57" t="s">
        <v>448</v>
      </c>
      <c r="C759" s="177" t="s">
        <v>655</v>
      </c>
      <c r="D759" s="177">
        <v>1</v>
      </c>
      <c r="E759" s="177" t="s">
        <v>473</v>
      </c>
      <c r="F759" s="177">
        <v>2</v>
      </c>
      <c r="G759" s="57" t="s">
        <v>4985</v>
      </c>
      <c r="H759" s="57" t="s">
        <v>4986</v>
      </c>
      <c r="I759" s="57" t="s">
        <v>4987</v>
      </c>
      <c r="J759" s="57" t="s">
        <v>4988</v>
      </c>
      <c r="K759" s="57" t="s">
        <v>4989</v>
      </c>
      <c r="L759" s="57" t="s">
        <v>4990</v>
      </c>
      <c r="M759" s="57" t="s">
        <v>4991</v>
      </c>
    </row>
    <row r="760" ht="28" spans="1:13">
      <c r="A760" s="178" t="str">
        <f t="shared" si="11"/>
        <v>Analytical Thinking|Department Head|1</v>
      </c>
      <c r="B760" s="57" t="s">
        <v>448</v>
      </c>
      <c r="C760" s="177" t="s">
        <v>655</v>
      </c>
      <c r="D760" s="177">
        <v>1</v>
      </c>
      <c r="E760" s="177" t="s">
        <v>473</v>
      </c>
      <c r="F760" s="177">
        <v>3</v>
      </c>
      <c r="G760" s="57" t="s">
        <v>4992</v>
      </c>
      <c r="H760" s="57" t="s">
        <v>4993</v>
      </c>
      <c r="I760" s="57" t="s">
        <v>4994</v>
      </c>
      <c r="J760" s="57" t="s">
        <v>4995</v>
      </c>
      <c r="K760" s="57" t="s">
        <v>4996</v>
      </c>
      <c r="L760" s="57" t="s">
        <v>4997</v>
      </c>
      <c r="M760" s="57" t="s">
        <v>4998</v>
      </c>
    </row>
    <row r="761" ht="28" spans="1:13">
      <c r="A761" s="178" t="str">
        <f t="shared" si="11"/>
        <v>Analytical Thinking|Department Head|2</v>
      </c>
      <c r="B761" s="57" t="s">
        <v>448</v>
      </c>
      <c r="C761" s="177" t="s">
        <v>655</v>
      </c>
      <c r="D761" s="177">
        <v>2</v>
      </c>
      <c r="E761" s="177" t="s">
        <v>491</v>
      </c>
      <c r="F761" s="177">
        <v>1</v>
      </c>
      <c r="G761" s="57" t="s">
        <v>4999</v>
      </c>
      <c r="H761" s="57" t="s">
        <v>5000</v>
      </c>
      <c r="I761" s="57" t="s">
        <v>5001</v>
      </c>
      <c r="J761" s="57" t="s">
        <v>5002</v>
      </c>
      <c r="K761" s="57" t="s">
        <v>5003</v>
      </c>
      <c r="L761" s="57" t="s">
        <v>5004</v>
      </c>
      <c r="M761" s="57" t="s">
        <v>5005</v>
      </c>
    </row>
    <row r="762" ht="28" spans="1:13">
      <c r="A762" s="178" t="str">
        <f t="shared" si="11"/>
        <v>Analytical Thinking|Department Head|2</v>
      </c>
      <c r="B762" s="57" t="s">
        <v>448</v>
      </c>
      <c r="C762" s="177" t="s">
        <v>655</v>
      </c>
      <c r="D762" s="177">
        <v>2</v>
      </c>
      <c r="E762" s="177" t="s">
        <v>491</v>
      </c>
      <c r="F762" s="177">
        <v>2</v>
      </c>
      <c r="G762" s="57" t="s">
        <v>5006</v>
      </c>
      <c r="H762" s="57" t="s">
        <v>5007</v>
      </c>
      <c r="I762" s="57" t="s">
        <v>5008</v>
      </c>
      <c r="J762" s="57" t="s">
        <v>5009</v>
      </c>
      <c r="K762" s="57" t="s">
        <v>5010</v>
      </c>
      <c r="L762" s="57" t="s">
        <v>5011</v>
      </c>
      <c r="M762" s="57" t="s">
        <v>5012</v>
      </c>
    </row>
    <row r="763" ht="28" spans="1:13">
      <c r="A763" s="178" t="str">
        <f t="shared" si="11"/>
        <v>Analytical Thinking|Department Head|2</v>
      </c>
      <c r="B763" s="57" t="s">
        <v>448</v>
      </c>
      <c r="C763" s="177" t="s">
        <v>655</v>
      </c>
      <c r="D763" s="177">
        <v>2</v>
      </c>
      <c r="E763" s="177" t="s">
        <v>491</v>
      </c>
      <c r="F763" s="177">
        <v>3</v>
      </c>
      <c r="G763" s="57" t="s">
        <v>5013</v>
      </c>
      <c r="H763" s="57" t="s">
        <v>5014</v>
      </c>
      <c r="I763" s="57" t="s">
        <v>5015</v>
      </c>
      <c r="J763" s="57" t="s">
        <v>5016</v>
      </c>
      <c r="K763" s="57" t="s">
        <v>5017</v>
      </c>
      <c r="L763" s="57" t="s">
        <v>5018</v>
      </c>
      <c r="M763" s="57" t="s">
        <v>5019</v>
      </c>
    </row>
    <row r="764" ht="28" spans="1:13">
      <c r="A764" s="178" t="str">
        <f t="shared" si="11"/>
        <v>Analytical Thinking|Department Head|3</v>
      </c>
      <c r="B764" s="57" t="s">
        <v>448</v>
      </c>
      <c r="C764" s="177" t="s">
        <v>655</v>
      </c>
      <c r="D764" s="177">
        <v>3</v>
      </c>
      <c r="E764" s="177" t="s">
        <v>507</v>
      </c>
      <c r="F764" s="177">
        <v>1</v>
      </c>
      <c r="G764" s="57" t="s">
        <v>5020</v>
      </c>
      <c r="H764" s="57" t="s">
        <v>5021</v>
      </c>
      <c r="I764" s="57" t="s">
        <v>5022</v>
      </c>
      <c r="J764" s="57" t="s">
        <v>5023</v>
      </c>
      <c r="K764" s="57" t="s">
        <v>5024</v>
      </c>
      <c r="L764" s="57" t="s">
        <v>5025</v>
      </c>
      <c r="M764" s="57" t="s">
        <v>5026</v>
      </c>
    </row>
    <row r="765" ht="28" spans="1:13">
      <c r="A765" s="178" t="str">
        <f t="shared" si="11"/>
        <v>Analytical Thinking|Department Head|3</v>
      </c>
      <c r="B765" s="57" t="s">
        <v>448</v>
      </c>
      <c r="C765" s="177" t="s">
        <v>655</v>
      </c>
      <c r="D765" s="177">
        <v>3</v>
      </c>
      <c r="E765" s="177" t="s">
        <v>507</v>
      </c>
      <c r="F765" s="177">
        <v>2</v>
      </c>
      <c r="G765" s="57" t="s">
        <v>5027</v>
      </c>
      <c r="H765" s="57" t="s">
        <v>5028</v>
      </c>
      <c r="I765" s="57" t="s">
        <v>5029</v>
      </c>
      <c r="J765" s="57" t="s">
        <v>5030</v>
      </c>
      <c r="K765" s="57" t="s">
        <v>5031</v>
      </c>
      <c r="L765" s="57" t="s">
        <v>5032</v>
      </c>
      <c r="M765" s="57" t="s">
        <v>5033</v>
      </c>
    </row>
    <row r="766" ht="28" spans="1:13">
      <c r="A766" s="178" t="str">
        <f t="shared" si="11"/>
        <v>Analytical Thinking|Department Head|3</v>
      </c>
      <c r="B766" s="57" t="s">
        <v>448</v>
      </c>
      <c r="C766" s="177" t="s">
        <v>655</v>
      </c>
      <c r="D766" s="177">
        <v>3</v>
      </c>
      <c r="E766" s="177" t="s">
        <v>507</v>
      </c>
      <c r="F766" s="177">
        <v>3</v>
      </c>
      <c r="G766" s="57" t="s">
        <v>5034</v>
      </c>
      <c r="H766" s="57" t="s">
        <v>5035</v>
      </c>
      <c r="I766" s="57" t="s">
        <v>5036</v>
      </c>
      <c r="J766" s="57" t="s">
        <v>5037</v>
      </c>
      <c r="K766" s="57" t="s">
        <v>5038</v>
      </c>
      <c r="L766" s="57" t="s">
        <v>5039</v>
      </c>
      <c r="M766" s="57" t="s">
        <v>5040</v>
      </c>
    </row>
    <row r="767" ht="28" spans="1:13">
      <c r="A767" s="178" t="str">
        <f t="shared" si="11"/>
        <v>Analytical Thinking|Department Head|4</v>
      </c>
      <c r="B767" s="57" t="s">
        <v>448</v>
      </c>
      <c r="C767" s="177" t="s">
        <v>655</v>
      </c>
      <c r="D767" s="177">
        <v>4</v>
      </c>
      <c r="E767" s="177" t="s">
        <v>523</v>
      </c>
      <c r="F767" s="177">
        <v>1</v>
      </c>
      <c r="G767" s="57" t="s">
        <v>5041</v>
      </c>
      <c r="H767" s="57" t="s">
        <v>5042</v>
      </c>
      <c r="I767" s="57" t="s">
        <v>5043</v>
      </c>
      <c r="J767" s="57" t="s">
        <v>5044</v>
      </c>
      <c r="K767" s="57" t="s">
        <v>5045</v>
      </c>
      <c r="L767" s="57" t="s">
        <v>5046</v>
      </c>
      <c r="M767" s="57" t="s">
        <v>5047</v>
      </c>
    </row>
    <row r="768" ht="28" spans="1:13">
      <c r="A768" s="178" t="str">
        <f t="shared" si="11"/>
        <v>Analytical Thinking|Department Head|4</v>
      </c>
      <c r="B768" s="57" t="s">
        <v>448</v>
      </c>
      <c r="C768" s="177" t="s">
        <v>655</v>
      </c>
      <c r="D768" s="177">
        <v>4</v>
      </c>
      <c r="E768" s="177" t="s">
        <v>523</v>
      </c>
      <c r="F768" s="177">
        <v>2</v>
      </c>
      <c r="G768" s="57" t="s">
        <v>5048</v>
      </c>
      <c r="H768" s="57" t="s">
        <v>5049</v>
      </c>
      <c r="I768" s="57" t="s">
        <v>5050</v>
      </c>
      <c r="J768" s="57" t="s">
        <v>5051</v>
      </c>
      <c r="K768" s="57" t="s">
        <v>5052</v>
      </c>
      <c r="L768" s="57" t="s">
        <v>5053</v>
      </c>
      <c r="M768" s="57" t="s">
        <v>5054</v>
      </c>
    </row>
    <row r="769" ht="28" spans="1:13">
      <c r="A769" s="178" t="str">
        <f t="shared" si="11"/>
        <v>Analytical Thinking|Department Head|4</v>
      </c>
      <c r="B769" s="57" t="s">
        <v>448</v>
      </c>
      <c r="C769" s="177" t="s">
        <v>655</v>
      </c>
      <c r="D769" s="177">
        <v>4</v>
      </c>
      <c r="E769" s="177" t="s">
        <v>523</v>
      </c>
      <c r="F769" s="177">
        <v>3</v>
      </c>
      <c r="G769" s="57" t="s">
        <v>5055</v>
      </c>
      <c r="H769" s="57" t="s">
        <v>5056</v>
      </c>
      <c r="I769" s="57" t="s">
        <v>5057</v>
      </c>
      <c r="J769" s="57" t="s">
        <v>5058</v>
      </c>
      <c r="K769" s="57" t="s">
        <v>5059</v>
      </c>
      <c r="L769" s="57" t="s">
        <v>5060</v>
      </c>
      <c r="M769" s="57" t="s">
        <v>5061</v>
      </c>
    </row>
    <row r="770" ht="28" spans="1:13">
      <c r="A770" s="178" t="str">
        <f t="shared" si="11"/>
        <v>Analytical Thinking|Division Head|1</v>
      </c>
      <c r="B770" s="57" t="s">
        <v>448</v>
      </c>
      <c r="C770" s="177" t="s">
        <v>712</v>
      </c>
      <c r="D770" s="177">
        <v>1</v>
      </c>
      <c r="E770" s="177" t="s">
        <v>473</v>
      </c>
      <c r="F770" s="177">
        <v>1</v>
      </c>
      <c r="G770" s="57" t="s">
        <v>5062</v>
      </c>
      <c r="H770" s="57" t="s">
        <v>5063</v>
      </c>
      <c r="I770" s="57" t="s">
        <v>5064</v>
      </c>
      <c r="J770" s="57" t="s">
        <v>5065</v>
      </c>
      <c r="K770" s="57" t="s">
        <v>5066</v>
      </c>
      <c r="L770" s="57" t="s">
        <v>5067</v>
      </c>
      <c r="M770" s="57" t="s">
        <v>5068</v>
      </c>
    </row>
    <row r="771" ht="28" spans="1:13">
      <c r="A771" s="178" t="str">
        <f t="shared" ref="A771:A834" si="12">B771&amp;"|"&amp;C771&amp;"|"&amp;D771</f>
        <v>Analytical Thinking|Division Head|1</v>
      </c>
      <c r="B771" s="57" t="s">
        <v>448</v>
      </c>
      <c r="C771" s="177" t="s">
        <v>712</v>
      </c>
      <c r="D771" s="177">
        <v>1</v>
      </c>
      <c r="E771" s="177" t="s">
        <v>473</v>
      </c>
      <c r="F771" s="177">
        <v>2</v>
      </c>
      <c r="G771" s="57" t="s">
        <v>5069</v>
      </c>
      <c r="H771" s="57" t="s">
        <v>5070</v>
      </c>
      <c r="I771" s="57" t="s">
        <v>5071</v>
      </c>
      <c r="J771" s="57" t="s">
        <v>5072</v>
      </c>
      <c r="K771" s="57" t="s">
        <v>5073</v>
      </c>
      <c r="L771" s="57" t="s">
        <v>5074</v>
      </c>
      <c r="M771" s="57" t="s">
        <v>5075</v>
      </c>
    </row>
    <row r="772" ht="28" spans="1:13">
      <c r="A772" s="178" t="str">
        <f t="shared" si="12"/>
        <v>Analytical Thinking|Division Head|1</v>
      </c>
      <c r="B772" s="57" t="s">
        <v>448</v>
      </c>
      <c r="C772" s="177" t="s">
        <v>712</v>
      </c>
      <c r="D772" s="177">
        <v>1</v>
      </c>
      <c r="E772" s="177" t="s">
        <v>473</v>
      </c>
      <c r="F772" s="177">
        <v>3</v>
      </c>
      <c r="G772" s="57" t="s">
        <v>5076</v>
      </c>
      <c r="H772" s="57" t="s">
        <v>5077</v>
      </c>
      <c r="I772" s="57" t="s">
        <v>5078</v>
      </c>
      <c r="J772" s="57" t="s">
        <v>5079</v>
      </c>
      <c r="K772" s="57" t="s">
        <v>5080</v>
      </c>
      <c r="L772" s="57" t="s">
        <v>5081</v>
      </c>
      <c r="M772" s="57" t="s">
        <v>5082</v>
      </c>
    </row>
    <row r="773" ht="28" spans="1:13">
      <c r="A773" s="178" t="str">
        <f t="shared" si="12"/>
        <v>Analytical Thinking|Division Head|2</v>
      </c>
      <c r="B773" s="57" t="s">
        <v>448</v>
      </c>
      <c r="C773" s="177" t="s">
        <v>712</v>
      </c>
      <c r="D773" s="177">
        <v>2</v>
      </c>
      <c r="E773" s="177" t="s">
        <v>491</v>
      </c>
      <c r="F773" s="177">
        <v>1</v>
      </c>
      <c r="G773" s="57" t="s">
        <v>5083</v>
      </c>
      <c r="H773" s="57" t="s">
        <v>5084</v>
      </c>
      <c r="I773" s="57" t="s">
        <v>5085</v>
      </c>
      <c r="J773" s="57" t="s">
        <v>5086</v>
      </c>
      <c r="K773" s="57" t="s">
        <v>5087</v>
      </c>
      <c r="L773" s="57" t="s">
        <v>5088</v>
      </c>
      <c r="M773" s="57" t="s">
        <v>5089</v>
      </c>
    </row>
    <row r="774" ht="28" spans="1:13">
      <c r="A774" s="178" t="str">
        <f t="shared" si="12"/>
        <v>Analytical Thinking|Division Head|2</v>
      </c>
      <c r="B774" s="57" t="s">
        <v>448</v>
      </c>
      <c r="C774" s="177" t="s">
        <v>712</v>
      </c>
      <c r="D774" s="177">
        <v>2</v>
      </c>
      <c r="E774" s="177" t="s">
        <v>491</v>
      </c>
      <c r="F774" s="177">
        <v>2</v>
      </c>
      <c r="G774" s="57" t="s">
        <v>5090</v>
      </c>
      <c r="H774" s="57" t="s">
        <v>5091</v>
      </c>
      <c r="I774" s="57" t="s">
        <v>5092</v>
      </c>
      <c r="J774" s="57" t="s">
        <v>5093</v>
      </c>
      <c r="K774" s="57" t="s">
        <v>5094</v>
      </c>
      <c r="L774" s="57" t="s">
        <v>5095</v>
      </c>
      <c r="M774" s="57" t="s">
        <v>5096</v>
      </c>
    </row>
    <row r="775" ht="28" spans="1:13">
      <c r="A775" s="178" t="str">
        <f t="shared" si="12"/>
        <v>Analytical Thinking|Division Head|2</v>
      </c>
      <c r="B775" s="57" t="s">
        <v>448</v>
      </c>
      <c r="C775" s="177" t="s">
        <v>712</v>
      </c>
      <c r="D775" s="177">
        <v>2</v>
      </c>
      <c r="E775" s="177" t="s">
        <v>491</v>
      </c>
      <c r="F775" s="177">
        <v>3</v>
      </c>
      <c r="G775" s="57" t="s">
        <v>5097</v>
      </c>
      <c r="H775" s="57" t="s">
        <v>5098</v>
      </c>
      <c r="I775" s="57" t="s">
        <v>5099</v>
      </c>
      <c r="J775" s="57" t="s">
        <v>5100</v>
      </c>
      <c r="K775" s="57" t="s">
        <v>5101</v>
      </c>
      <c r="L775" s="57" t="s">
        <v>5102</v>
      </c>
      <c r="M775" s="57" t="s">
        <v>5103</v>
      </c>
    </row>
    <row r="776" ht="28" spans="1:13">
      <c r="A776" s="178" t="str">
        <f t="shared" si="12"/>
        <v>Analytical Thinking|Division Head|3</v>
      </c>
      <c r="B776" s="57" t="s">
        <v>448</v>
      </c>
      <c r="C776" s="177" t="s">
        <v>712</v>
      </c>
      <c r="D776" s="177">
        <v>3</v>
      </c>
      <c r="E776" s="177" t="s">
        <v>507</v>
      </c>
      <c r="F776" s="177">
        <v>1</v>
      </c>
      <c r="G776" s="57" t="s">
        <v>5104</v>
      </c>
      <c r="H776" s="57" t="s">
        <v>5105</v>
      </c>
      <c r="I776" s="57" t="s">
        <v>5106</v>
      </c>
      <c r="J776" s="57" t="s">
        <v>5107</v>
      </c>
      <c r="K776" s="57" t="s">
        <v>5108</v>
      </c>
      <c r="L776" s="57" t="s">
        <v>5109</v>
      </c>
      <c r="M776" s="57" t="s">
        <v>5110</v>
      </c>
    </row>
    <row r="777" ht="28" spans="1:13">
      <c r="A777" s="178" t="str">
        <f t="shared" si="12"/>
        <v>Analytical Thinking|Division Head|3</v>
      </c>
      <c r="B777" s="57" t="s">
        <v>448</v>
      </c>
      <c r="C777" s="177" t="s">
        <v>712</v>
      </c>
      <c r="D777" s="177">
        <v>3</v>
      </c>
      <c r="E777" s="177" t="s">
        <v>507</v>
      </c>
      <c r="F777" s="177">
        <v>2</v>
      </c>
      <c r="G777" s="57" t="s">
        <v>5111</v>
      </c>
      <c r="H777" s="57" t="s">
        <v>5112</v>
      </c>
      <c r="I777" s="57" t="s">
        <v>5113</v>
      </c>
      <c r="J777" s="57" t="s">
        <v>5114</v>
      </c>
      <c r="K777" s="57" t="s">
        <v>5115</v>
      </c>
      <c r="L777" s="57" t="s">
        <v>5116</v>
      </c>
      <c r="M777" s="57" t="s">
        <v>5117</v>
      </c>
    </row>
    <row r="778" ht="28" spans="1:13">
      <c r="A778" s="178" t="str">
        <f t="shared" si="12"/>
        <v>Analytical Thinking|Division Head|3</v>
      </c>
      <c r="B778" s="57" t="s">
        <v>448</v>
      </c>
      <c r="C778" s="177" t="s">
        <v>712</v>
      </c>
      <c r="D778" s="177">
        <v>3</v>
      </c>
      <c r="E778" s="177" t="s">
        <v>507</v>
      </c>
      <c r="F778" s="177">
        <v>3</v>
      </c>
      <c r="G778" s="57" t="s">
        <v>5118</v>
      </c>
      <c r="H778" s="57" t="s">
        <v>5119</v>
      </c>
      <c r="I778" s="57" t="s">
        <v>5120</v>
      </c>
      <c r="J778" s="57" t="s">
        <v>5121</v>
      </c>
      <c r="K778" s="57" t="s">
        <v>5122</v>
      </c>
      <c r="L778" s="57" t="s">
        <v>5123</v>
      </c>
      <c r="M778" s="57" t="s">
        <v>5124</v>
      </c>
    </row>
    <row r="779" ht="28" spans="1:13">
      <c r="A779" s="178" t="str">
        <f t="shared" si="12"/>
        <v>Analytical Thinking|Division Head|4</v>
      </c>
      <c r="B779" s="57" t="s">
        <v>448</v>
      </c>
      <c r="C779" s="177" t="s">
        <v>712</v>
      </c>
      <c r="D779" s="177">
        <v>4</v>
      </c>
      <c r="E779" s="177" t="s">
        <v>523</v>
      </c>
      <c r="F779" s="177">
        <v>1</v>
      </c>
      <c r="G779" s="57" t="s">
        <v>5125</v>
      </c>
      <c r="H779" s="57" t="s">
        <v>5126</v>
      </c>
      <c r="I779" s="57" t="s">
        <v>5127</v>
      </c>
      <c r="J779" s="57" t="s">
        <v>5128</v>
      </c>
      <c r="K779" s="57" t="s">
        <v>5129</v>
      </c>
      <c r="L779" s="57" t="s">
        <v>5130</v>
      </c>
      <c r="M779" s="57" t="s">
        <v>5131</v>
      </c>
    </row>
    <row r="780" ht="28" spans="1:13">
      <c r="A780" s="178" t="str">
        <f t="shared" si="12"/>
        <v>Analytical Thinking|Division Head|4</v>
      </c>
      <c r="B780" s="57" t="s">
        <v>448</v>
      </c>
      <c r="C780" s="177" t="s">
        <v>712</v>
      </c>
      <c r="D780" s="177">
        <v>4</v>
      </c>
      <c r="E780" s="177" t="s">
        <v>523</v>
      </c>
      <c r="F780" s="177">
        <v>2</v>
      </c>
      <c r="G780" s="57" t="s">
        <v>5132</v>
      </c>
      <c r="H780" s="57" t="s">
        <v>5133</v>
      </c>
      <c r="I780" s="57" t="s">
        <v>5134</v>
      </c>
      <c r="J780" s="57" t="s">
        <v>5135</v>
      </c>
      <c r="K780" s="57" t="s">
        <v>5136</v>
      </c>
      <c r="L780" s="57" t="s">
        <v>5137</v>
      </c>
      <c r="M780" s="57" t="s">
        <v>5138</v>
      </c>
    </row>
    <row r="781" ht="28" spans="1:13">
      <c r="A781" s="178" t="str">
        <f t="shared" si="12"/>
        <v>Analytical Thinking|Division Head|4</v>
      </c>
      <c r="B781" s="57" t="s">
        <v>448</v>
      </c>
      <c r="C781" s="177" t="s">
        <v>712</v>
      </c>
      <c r="D781" s="177">
        <v>4</v>
      </c>
      <c r="E781" s="177" t="s">
        <v>523</v>
      </c>
      <c r="F781" s="177">
        <v>3</v>
      </c>
      <c r="G781" s="57" t="s">
        <v>5139</v>
      </c>
      <c r="H781" s="57" t="s">
        <v>5140</v>
      </c>
      <c r="I781" s="57" t="s">
        <v>5141</v>
      </c>
      <c r="J781" s="57" t="s">
        <v>5142</v>
      </c>
      <c r="K781" s="57" t="s">
        <v>5143</v>
      </c>
      <c r="L781" s="57" t="s">
        <v>5144</v>
      </c>
      <c r="M781" s="57" t="s">
        <v>5145</v>
      </c>
    </row>
    <row r="782" ht="28" spans="1:13">
      <c r="A782" s="178" t="str">
        <f t="shared" si="12"/>
        <v>Analytical Thinking|Director|1</v>
      </c>
      <c r="B782" s="57" t="s">
        <v>448</v>
      </c>
      <c r="C782" s="177" t="s">
        <v>773</v>
      </c>
      <c r="D782" s="177">
        <v>1</v>
      </c>
      <c r="E782" s="177" t="s">
        <v>473</v>
      </c>
      <c r="F782" s="177">
        <v>1</v>
      </c>
      <c r="G782" s="57" t="s">
        <v>5146</v>
      </c>
      <c r="H782" s="57" t="s">
        <v>5147</v>
      </c>
      <c r="I782" s="57" t="s">
        <v>5148</v>
      </c>
      <c r="J782" s="57" t="s">
        <v>5149</v>
      </c>
      <c r="K782" s="57" t="s">
        <v>5150</v>
      </c>
      <c r="L782" s="57" t="s">
        <v>5151</v>
      </c>
      <c r="M782" s="57" t="s">
        <v>5152</v>
      </c>
    </row>
    <row r="783" ht="28" spans="1:13">
      <c r="A783" s="178" t="str">
        <f t="shared" si="12"/>
        <v>Analytical Thinking|Director|1</v>
      </c>
      <c r="B783" s="57" t="s">
        <v>448</v>
      </c>
      <c r="C783" s="177" t="s">
        <v>773</v>
      </c>
      <c r="D783" s="177">
        <v>1</v>
      </c>
      <c r="E783" s="177" t="s">
        <v>473</v>
      </c>
      <c r="F783" s="177">
        <v>2</v>
      </c>
      <c r="G783" s="57" t="s">
        <v>5153</v>
      </c>
      <c r="H783" s="57" t="s">
        <v>5154</v>
      </c>
      <c r="I783" s="57" t="s">
        <v>5155</v>
      </c>
      <c r="J783" s="57" t="s">
        <v>5156</v>
      </c>
      <c r="K783" s="57" t="s">
        <v>5157</v>
      </c>
      <c r="L783" s="57" t="s">
        <v>5158</v>
      </c>
      <c r="M783" s="57" t="s">
        <v>5159</v>
      </c>
    </row>
    <row r="784" ht="28" spans="1:13">
      <c r="A784" s="178" t="str">
        <f t="shared" si="12"/>
        <v>Analytical Thinking|Director|1</v>
      </c>
      <c r="B784" s="57" t="s">
        <v>448</v>
      </c>
      <c r="C784" s="177" t="s">
        <v>773</v>
      </c>
      <c r="D784" s="177">
        <v>1</v>
      </c>
      <c r="E784" s="177" t="s">
        <v>473</v>
      </c>
      <c r="F784" s="177">
        <v>3</v>
      </c>
      <c r="G784" s="57" t="s">
        <v>5160</v>
      </c>
      <c r="H784" s="57" t="s">
        <v>5161</v>
      </c>
      <c r="I784" s="57" t="s">
        <v>5162</v>
      </c>
      <c r="J784" s="57" t="s">
        <v>5163</v>
      </c>
      <c r="K784" s="57" t="s">
        <v>5164</v>
      </c>
      <c r="L784" s="57" t="s">
        <v>5165</v>
      </c>
      <c r="M784" s="57" t="s">
        <v>5166</v>
      </c>
    </row>
    <row r="785" ht="28" spans="1:13">
      <c r="A785" s="178" t="str">
        <f t="shared" si="12"/>
        <v>Analytical Thinking|Director|2</v>
      </c>
      <c r="B785" s="57" t="s">
        <v>448</v>
      </c>
      <c r="C785" s="177" t="s">
        <v>773</v>
      </c>
      <c r="D785" s="177">
        <v>2</v>
      </c>
      <c r="E785" s="177" t="s">
        <v>491</v>
      </c>
      <c r="F785" s="177">
        <v>1</v>
      </c>
      <c r="G785" s="57" t="s">
        <v>5167</v>
      </c>
      <c r="H785" s="57" t="s">
        <v>5168</v>
      </c>
      <c r="I785" s="57" t="s">
        <v>5169</v>
      </c>
      <c r="J785" s="57" t="s">
        <v>5170</v>
      </c>
      <c r="K785" s="57" t="s">
        <v>5171</v>
      </c>
      <c r="L785" s="57" t="s">
        <v>5172</v>
      </c>
      <c r="M785" s="57" t="s">
        <v>5173</v>
      </c>
    </row>
    <row r="786" ht="28" spans="1:13">
      <c r="A786" s="178" t="str">
        <f t="shared" si="12"/>
        <v>Analytical Thinking|Director|2</v>
      </c>
      <c r="B786" s="57" t="s">
        <v>448</v>
      </c>
      <c r="C786" s="177" t="s">
        <v>773</v>
      </c>
      <c r="D786" s="177">
        <v>2</v>
      </c>
      <c r="E786" s="177" t="s">
        <v>491</v>
      </c>
      <c r="F786" s="177">
        <v>2</v>
      </c>
      <c r="G786" s="57" t="s">
        <v>5174</v>
      </c>
      <c r="H786" s="57" t="s">
        <v>5175</v>
      </c>
      <c r="I786" s="57" t="s">
        <v>5176</v>
      </c>
      <c r="J786" s="57" t="s">
        <v>5177</v>
      </c>
      <c r="K786" s="57" t="s">
        <v>5178</v>
      </c>
      <c r="L786" s="57" t="s">
        <v>5179</v>
      </c>
      <c r="M786" s="57" t="s">
        <v>5180</v>
      </c>
    </row>
    <row r="787" ht="28" spans="1:13">
      <c r="A787" s="178" t="str">
        <f t="shared" si="12"/>
        <v>Analytical Thinking|Director|2</v>
      </c>
      <c r="B787" s="57" t="s">
        <v>448</v>
      </c>
      <c r="C787" s="177" t="s">
        <v>773</v>
      </c>
      <c r="D787" s="177">
        <v>2</v>
      </c>
      <c r="E787" s="177" t="s">
        <v>491</v>
      </c>
      <c r="F787" s="177">
        <v>3</v>
      </c>
      <c r="G787" s="57" t="s">
        <v>5181</v>
      </c>
      <c r="H787" s="57" t="s">
        <v>5182</v>
      </c>
      <c r="I787" s="57" t="s">
        <v>5183</v>
      </c>
      <c r="J787" s="57" t="s">
        <v>5184</v>
      </c>
      <c r="K787" s="57" t="s">
        <v>5185</v>
      </c>
      <c r="L787" s="57" t="s">
        <v>5186</v>
      </c>
      <c r="M787" s="57" t="s">
        <v>5187</v>
      </c>
    </row>
    <row r="788" ht="28" spans="1:13">
      <c r="A788" s="178" t="str">
        <f t="shared" si="12"/>
        <v>Analytical Thinking|Director|3</v>
      </c>
      <c r="B788" s="57" t="s">
        <v>448</v>
      </c>
      <c r="C788" s="177" t="s">
        <v>773</v>
      </c>
      <c r="D788" s="177">
        <v>3</v>
      </c>
      <c r="E788" s="177" t="s">
        <v>507</v>
      </c>
      <c r="F788" s="177">
        <v>1</v>
      </c>
      <c r="G788" s="57" t="s">
        <v>5188</v>
      </c>
      <c r="H788" s="57" t="s">
        <v>5189</v>
      </c>
      <c r="I788" s="57" t="s">
        <v>5190</v>
      </c>
      <c r="J788" s="57" t="s">
        <v>5191</v>
      </c>
      <c r="K788" s="57" t="s">
        <v>5192</v>
      </c>
      <c r="L788" s="57" t="s">
        <v>5193</v>
      </c>
      <c r="M788" s="57" t="s">
        <v>5194</v>
      </c>
    </row>
    <row r="789" ht="28" spans="1:13">
      <c r="A789" s="178" t="str">
        <f t="shared" si="12"/>
        <v>Analytical Thinking|Director|3</v>
      </c>
      <c r="B789" s="57" t="s">
        <v>448</v>
      </c>
      <c r="C789" s="177" t="s">
        <v>773</v>
      </c>
      <c r="D789" s="177">
        <v>3</v>
      </c>
      <c r="E789" s="177" t="s">
        <v>507</v>
      </c>
      <c r="F789" s="177">
        <v>2</v>
      </c>
      <c r="G789" s="57" t="s">
        <v>5195</v>
      </c>
      <c r="H789" s="57" t="s">
        <v>5196</v>
      </c>
      <c r="I789" s="57" t="s">
        <v>5197</v>
      </c>
      <c r="J789" s="57" t="s">
        <v>5198</v>
      </c>
      <c r="K789" s="57" t="s">
        <v>5199</v>
      </c>
      <c r="L789" s="57" t="s">
        <v>5200</v>
      </c>
      <c r="M789" s="57" t="s">
        <v>5201</v>
      </c>
    </row>
    <row r="790" ht="28" spans="1:13">
      <c r="A790" s="178" t="str">
        <f t="shared" si="12"/>
        <v>Analytical Thinking|Director|3</v>
      </c>
      <c r="B790" s="57" t="s">
        <v>448</v>
      </c>
      <c r="C790" s="177" t="s">
        <v>773</v>
      </c>
      <c r="D790" s="177">
        <v>3</v>
      </c>
      <c r="E790" s="177" t="s">
        <v>507</v>
      </c>
      <c r="F790" s="177">
        <v>3</v>
      </c>
      <c r="G790" s="57" t="s">
        <v>5202</v>
      </c>
      <c r="H790" s="57" t="s">
        <v>5203</v>
      </c>
      <c r="I790" s="57" t="s">
        <v>5204</v>
      </c>
      <c r="J790" s="57" t="s">
        <v>5205</v>
      </c>
      <c r="K790" s="57" t="s">
        <v>5206</v>
      </c>
      <c r="L790" s="57" t="s">
        <v>5207</v>
      </c>
      <c r="M790" s="57" t="s">
        <v>5208</v>
      </c>
    </row>
    <row r="791" ht="28" spans="1:13">
      <c r="A791" s="178" t="str">
        <f t="shared" si="12"/>
        <v>Analytical Thinking|Director|4</v>
      </c>
      <c r="B791" s="57" t="s">
        <v>448</v>
      </c>
      <c r="C791" s="177" t="s">
        <v>773</v>
      </c>
      <c r="D791" s="177">
        <v>4</v>
      </c>
      <c r="E791" s="177" t="s">
        <v>523</v>
      </c>
      <c r="F791" s="177">
        <v>1</v>
      </c>
      <c r="G791" s="57" t="s">
        <v>5209</v>
      </c>
      <c r="H791" s="57" t="s">
        <v>5210</v>
      </c>
      <c r="I791" s="57" t="s">
        <v>5211</v>
      </c>
      <c r="J791" s="57" t="s">
        <v>5212</v>
      </c>
      <c r="K791" s="57" t="s">
        <v>5213</v>
      </c>
      <c r="L791" s="57" t="s">
        <v>5214</v>
      </c>
      <c r="M791" s="57" t="s">
        <v>5215</v>
      </c>
    </row>
    <row r="792" ht="28" spans="1:13">
      <c r="A792" s="178" t="str">
        <f t="shared" si="12"/>
        <v>Analytical Thinking|Director|4</v>
      </c>
      <c r="B792" s="57" t="s">
        <v>448</v>
      </c>
      <c r="C792" s="177" t="s">
        <v>773</v>
      </c>
      <c r="D792" s="177">
        <v>4</v>
      </c>
      <c r="E792" s="177" t="s">
        <v>523</v>
      </c>
      <c r="F792" s="177">
        <v>2</v>
      </c>
      <c r="G792" s="57" t="s">
        <v>5216</v>
      </c>
      <c r="H792" s="57" t="s">
        <v>5217</v>
      </c>
      <c r="I792" s="57" t="s">
        <v>5218</v>
      </c>
      <c r="J792" s="57" t="s">
        <v>5219</v>
      </c>
      <c r="K792" s="57" t="s">
        <v>5220</v>
      </c>
      <c r="L792" s="57" t="s">
        <v>5221</v>
      </c>
      <c r="M792" s="57" t="s">
        <v>5222</v>
      </c>
    </row>
    <row r="793" ht="28" spans="1:13">
      <c r="A793" s="178" t="str">
        <f t="shared" si="12"/>
        <v>Analytical Thinking|Director|4</v>
      </c>
      <c r="B793" s="57" t="s">
        <v>448</v>
      </c>
      <c r="C793" s="177" t="s">
        <v>773</v>
      </c>
      <c r="D793" s="177">
        <v>4</v>
      </c>
      <c r="E793" s="177" t="s">
        <v>523</v>
      </c>
      <c r="F793" s="177">
        <v>3</v>
      </c>
      <c r="G793" s="57" t="s">
        <v>5223</v>
      </c>
      <c r="H793" s="57" t="s">
        <v>5224</v>
      </c>
      <c r="I793" s="57" t="s">
        <v>5225</v>
      </c>
      <c r="J793" s="57" t="s">
        <v>5226</v>
      </c>
      <c r="K793" s="57" t="s">
        <v>5227</v>
      </c>
      <c r="L793" s="57" t="s">
        <v>5228</v>
      </c>
      <c r="M793" s="57" t="s">
        <v>5229</v>
      </c>
    </row>
    <row r="794" ht="28" spans="1:13">
      <c r="A794" s="178" t="str">
        <f t="shared" si="12"/>
        <v>Managing Change|Officer|1</v>
      </c>
      <c r="B794" s="57" t="s">
        <v>449</v>
      </c>
      <c r="C794" s="177" t="s">
        <v>6</v>
      </c>
      <c r="D794" s="177">
        <v>1</v>
      </c>
      <c r="E794" s="177" t="s">
        <v>473</v>
      </c>
      <c r="F794" s="177">
        <v>1</v>
      </c>
      <c r="G794" s="57" t="s">
        <v>5230</v>
      </c>
      <c r="H794" s="57" t="s">
        <v>5231</v>
      </c>
      <c r="I794" s="57" t="s">
        <v>5232</v>
      </c>
      <c r="J794" s="57" t="s">
        <v>5233</v>
      </c>
      <c r="K794" s="57" t="s">
        <v>5234</v>
      </c>
      <c r="L794" s="57" t="s">
        <v>5235</v>
      </c>
      <c r="M794" s="57" t="s">
        <v>5236</v>
      </c>
    </row>
    <row r="795" ht="28" spans="1:13">
      <c r="A795" s="178" t="str">
        <f t="shared" si="12"/>
        <v>Managing Change|Officer|1</v>
      </c>
      <c r="B795" s="57" t="s">
        <v>449</v>
      </c>
      <c r="C795" s="177" t="s">
        <v>6</v>
      </c>
      <c r="D795" s="177">
        <v>1</v>
      </c>
      <c r="E795" s="177" t="s">
        <v>473</v>
      </c>
      <c r="F795" s="177">
        <v>2</v>
      </c>
      <c r="G795" s="57" t="s">
        <v>5237</v>
      </c>
      <c r="H795" s="57" t="s">
        <v>5238</v>
      </c>
      <c r="I795" s="57" t="s">
        <v>5239</v>
      </c>
      <c r="J795" s="57" t="s">
        <v>5240</v>
      </c>
      <c r="K795" s="57" t="s">
        <v>5241</v>
      </c>
      <c r="L795" s="57" t="s">
        <v>5242</v>
      </c>
      <c r="M795" s="57" t="s">
        <v>5243</v>
      </c>
    </row>
    <row r="796" ht="28" spans="1:13">
      <c r="A796" s="178" t="str">
        <f t="shared" si="12"/>
        <v>Managing Change|Officer|1</v>
      </c>
      <c r="B796" s="57" t="s">
        <v>449</v>
      </c>
      <c r="C796" s="177" t="s">
        <v>6</v>
      </c>
      <c r="D796" s="177">
        <v>1</v>
      </c>
      <c r="E796" s="177" t="s">
        <v>473</v>
      </c>
      <c r="F796" s="177">
        <v>3</v>
      </c>
      <c r="G796" s="57" t="s">
        <v>5244</v>
      </c>
      <c r="H796" s="57" t="s">
        <v>5245</v>
      </c>
      <c r="I796" s="57" t="s">
        <v>5246</v>
      </c>
      <c r="J796" s="57" t="s">
        <v>5247</v>
      </c>
      <c r="K796" s="57" t="s">
        <v>5248</v>
      </c>
      <c r="L796" s="57" t="s">
        <v>5249</v>
      </c>
      <c r="M796" s="57" t="s">
        <v>5250</v>
      </c>
    </row>
    <row r="797" ht="28" spans="1:13">
      <c r="A797" s="178" t="str">
        <f t="shared" si="12"/>
        <v>Managing Change|Officer|2</v>
      </c>
      <c r="B797" s="57" t="s">
        <v>449</v>
      </c>
      <c r="C797" s="177" t="s">
        <v>6</v>
      </c>
      <c r="D797" s="177">
        <v>2</v>
      </c>
      <c r="E797" s="177" t="s">
        <v>491</v>
      </c>
      <c r="F797" s="177">
        <v>1</v>
      </c>
      <c r="G797" s="57" t="s">
        <v>5251</v>
      </c>
      <c r="H797" s="57" t="s">
        <v>5252</v>
      </c>
      <c r="I797" s="57" t="s">
        <v>5253</v>
      </c>
      <c r="J797" s="57" t="s">
        <v>5254</v>
      </c>
      <c r="K797" s="57" t="s">
        <v>5255</v>
      </c>
      <c r="L797" s="57" t="s">
        <v>5256</v>
      </c>
      <c r="M797" s="57" t="s">
        <v>5257</v>
      </c>
    </row>
    <row r="798" ht="28" spans="1:13">
      <c r="A798" s="178" t="str">
        <f t="shared" si="12"/>
        <v>Managing Change|Officer|2</v>
      </c>
      <c r="B798" s="57" t="s">
        <v>449</v>
      </c>
      <c r="C798" s="177" t="s">
        <v>6</v>
      </c>
      <c r="D798" s="177">
        <v>2</v>
      </c>
      <c r="E798" s="177" t="s">
        <v>491</v>
      </c>
      <c r="F798" s="177">
        <v>2</v>
      </c>
      <c r="G798" s="57" t="s">
        <v>5258</v>
      </c>
      <c r="H798" s="57" t="s">
        <v>5259</v>
      </c>
      <c r="I798" s="57" t="s">
        <v>5260</v>
      </c>
      <c r="J798" s="57" t="s">
        <v>5261</v>
      </c>
      <c r="K798" s="57" t="s">
        <v>5262</v>
      </c>
      <c r="L798" s="57" t="s">
        <v>5263</v>
      </c>
      <c r="M798" s="57" t="s">
        <v>5264</v>
      </c>
    </row>
    <row r="799" ht="28" spans="1:13">
      <c r="A799" s="178" t="str">
        <f t="shared" si="12"/>
        <v>Managing Change|Officer|2</v>
      </c>
      <c r="B799" s="57" t="s">
        <v>449</v>
      </c>
      <c r="C799" s="177" t="s">
        <v>6</v>
      </c>
      <c r="D799" s="177">
        <v>2</v>
      </c>
      <c r="E799" s="177" t="s">
        <v>491</v>
      </c>
      <c r="F799" s="177">
        <v>3</v>
      </c>
      <c r="G799" s="57" t="s">
        <v>5265</v>
      </c>
      <c r="H799" s="57" t="s">
        <v>5266</v>
      </c>
      <c r="I799" s="57" t="s">
        <v>5267</v>
      </c>
      <c r="J799" s="57" t="s">
        <v>5268</v>
      </c>
      <c r="K799" s="57" t="s">
        <v>5269</v>
      </c>
      <c r="L799" s="57" t="s">
        <v>5270</v>
      </c>
      <c r="M799" s="57" t="s">
        <v>5271</v>
      </c>
    </row>
    <row r="800" ht="28" spans="1:13">
      <c r="A800" s="178" t="str">
        <f t="shared" si="12"/>
        <v>Managing Change|Officer|3</v>
      </c>
      <c r="B800" s="57" t="s">
        <v>449</v>
      </c>
      <c r="C800" s="177" t="s">
        <v>6</v>
      </c>
      <c r="D800" s="177">
        <v>3</v>
      </c>
      <c r="E800" s="177" t="s">
        <v>507</v>
      </c>
      <c r="F800" s="177">
        <v>1</v>
      </c>
      <c r="G800" s="57" t="s">
        <v>5272</v>
      </c>
      <c r="H800" s="57" t="s">
        <v>5273</v>
      </c>
      <c r="I800" s="57" t="s">
        <v>5274</v>
      </c>
      <c r="J800" s="57" t="s">
        <v>5275</v>
      </c>
      <c r="K800" s="57" t="s">
        <v>5276</v>
      </c>
      <c r="L800" s="57" t="s">
        <v>5277</v>
      </c>
      <c r="M800" s="57" t="s">
        <v>5278</v>
      </c>
    </row>
    <row r="801" ht="28" spans="1:13">
      <c r="A801" s="178" t="str">
        <f t="shared" si="12"/>
        <v>Managing Change|Officer|3</v>
      </c>
      <c r="B801" s="57" t="s">
        <v>449</v>
      </c>
      <c r="C801" s="177" t="s">
        <v>6</v>
      </c>
      <c r="D801" s="177">
        <v>3</v>
      </c>
      <c r="E801" s="177" t="s">
        <v>507</v>
      </c>
      <c r="F801" s="177">
        <v>2</v>
      </c>
      <c r="G801" s="57" t="s">
        <v>5279</v>
      </c>
      <c r="H801" s="57" t="s">
        <v>5280</v>
      </c>
      <c r="I801" s="57" t="s">
        <v>5281</v>
      </c>
      <c r="J801" s="57" t="s">
        <v>5282</v>
      </c>
      <c r="K801" s="57" t="s">
        <v>5283</v>
      </c>
      <c r="L801" s="57" t="s">
        <v>5284</v>
      </c>
      <c r="M801" s="57" t="s">
        <v>5285</v>
      </c>
    </row>
    <row r="802" ht="28" spans="1:13">
      <c r="A802" s="178" t="str">
        <f t="shared" si="12"/>
        <v>Managing Change|Officer|3</v>
      </c>
      <c r="B802" s="57" t="s">
        <v>449</v>
      </c>
      <c r="C802" s="177" t="s">
        <v>6</v>
      </c>
      <c r="D802" s="177">
        <v>3</v>
      </c>
      <c r="E802" s="177" t="s">
        <v>507</v>
      </c>
      <c r="F802" s="177">
        <v>3</v>
      </c>
      <c r="G802" s="57" t="s">
        <v>5286</v>
      </c>
      <c r="H802" s="57" t="s">
        <v>5287</v>
      </c>
      <c r="I802" s="57" t="s">
        <v>5288</v>
      </c>
      <c r="J802" s="57" t="s">
        <v>5289</v>
      </c>
      <c r="K802" s="57" t="s">
        <v>5290</v>
      </c>
      <c r="L802" s="57" t="s">
        <v>5291</v>
      </c>
      <c r="M802" s="57" t="s">
        <v>5292</v>
      </c>
    </row>
    <row r="803" ht="28" spans="1:13">
      <c r="A803" s="178" t="str">
        <f t="shared" si="12"/>
        <v>Managing Change|Officer|4</v>
      </c>
      <c r="B803" s="57" t="s">
        <v>449</v>
      </c>
      <c r="C803" s="177" t="s">
        <v>6</v>
      </c>
      <c r="D803" s="177">
        <v>4</v>
      </c>
      <c r="E803" s="177" t="s">
        <v>523</v>
      </c>
      <c r="F803" s="177">
        <v>1</v>
      </c>
      <c r="G803" s="57" t="s">
        <v>5293</v>
      </c>
      <c r="H803" s="57" t="s">
        <v>5294</v>
      </c>
      <c r="I803" s="57" t="s">
        <v>5295</v>
      </c>
      <c r="J803" s="57" t="s">
        <v>5296</v>
      </c>
      <c r="K803" s="57" t="s">
        <v>5297</v>
      </c>
      <c r="L803" s="57" t="s">
        <v>5298</v>
      </c>
      <c r="M803" s="57" t="s">
        <v>5299</v>
      </c>
    </row>
    <row r="804" ht="28" spans="1:13">
      <c r="A804" s="178" t="str">
        <f t="shared" si="12"/>
        <v>Managing Change|Officer|4</v>
      </c>
      <c r="B804" s="57" t="s">
        <v>449</v>
      </c>
      <c r="C804" s="177" t="s">
        <v>6</v>
      </c>
      <c r="D804" s="177">
        <v>4</v>
      </c>
      <c r="E804" s="177" t="s">
        <v>523</v>
      </c>
      <c r="F804" s="177">
        <v>2</v>
      </c>
      <c r="G804" s="57" t="s">
        <v>5300</v>
      </c>
      <c r="H804" s="57" t="s">
        <v>5301</v>
      </c>
      <c r="I804" s="57" t="s">
        <v>5302</v>
      </c>
      <c r="J804" s="57" t="s">
        <v>5303</v>
      </c>
      <c r="K804" s="57" t="s">
        <v>5304</v>
      </c>
      <c r="L804" s="57" t="s">
        <v>5305</v>
      </c>
      <c r="M804" s="57" t="s">
        <v>5306</v>
      </c>
    </row>
    <row r="805" ht="28" spans="1:13">
      <c r="A805" s="178" t="str">
        <f t="shared" si="12"/>
        <v>Managing Change|Officer|4</v>
      </c>
      <c r="B805" s="57" t="s">
        <v>449</v>
      </c>
      <c r="C805" s="177" t="s">
        <v>6</v>
      </c>
      <c r="D805" s="177">
        <v>4</v>
      </c>
      <c r="E805" s="177" t="s">
        <v>523</v>
      </c>
      <c r="F805" s="177">
        <v>3</v>
      </c>
      <c r="G805" s="57" t="s">
        <v>5307</v>
      </c>
      <c r="H805" s="57" t="s">
        <v>5308</v>
      </c>
      <c r="I805" s="57" t="s">
        <v>5309</v>
      </c>
      <c r="J805" s="57" t="s">
        <v>5310</v>
      </c>
      <c r="K805" s="57" t="s">
        <v>5311</v>
      </c>
      <c r="L805" s="57" t="s">
        <v>5312</v>
      </c>
      <c r="M805" s="57" t="s">
        <v>5313</v>
      </c>
    </row>
    <row r="806" ht="28" spans="1:13">
      <c r="A806" s="178" t="str">
        <f t="shared" si="12"/>
        <v>Managing Change|Analyst|1</v>
      </c>
      <c r="B806" s="57" t="s">
        <v>449</v>
      </c>
      <c r="C806" s="177" t="s">
        <v>8</v>
      </c>
      <c r="D806" s="177">
        <v>1</v>
      </c>
      <c r="E806" s="177" t="s">
        <v>473</v>
      </c>
      <c r="F806" s="177">
        <v>1</v>
      </c>
      <c r="G806" s="57" t="s">
        <v>5314</v>
      </c>
      <c r="H806" s="57" t="s">
        <v>5315</v>
      </c>
      <c r="I806" s="57" t="s">
        <v>5316</v>
      </c>
      <c r="J806" s="57" t="s">
        <v>5317</v>
      </c>
      <c r="K806" s="57" t="s">
        <v>5318</v>
      </c>
      <c r="L806" s="57" t="s">
        <v>5319</v>
      </c>
      <c r="M806" s="57" t="s">
        <v>5320</v>
      </c>
    </row>
    <row r="807" ht="28" spans="1:13">
      <c r="A807" s="178" t="str">
        <f t="shared" si="12"/>
        <v>Managing Change|Analyst|1</v>
      </c>
      <c r="B807" s="57" t="s">
        <v>449</v>
      </c>
      <c r="C807" s="177" t="s">
        <v>8</v>
      </c>
      <c r="D807" s="177">
        <v>1</v>
      </c>
      <c r="E807" s="177" t="s">
        <v>473</v>
      </c>
      <c r="F807" s="177">
        <v>2</v>
      </c>
      <c r="G807" s="57" t="s">
        <v>5321</v>
      </c>
      <c r="H807" s="57" t="s">
        <v>5322</v>
      </c>
      <c r="I807" s="57" t="s">
        <v>5323</v>
      </c>
      <c r="J807" s="57" t="s">
        <v>5324</v>
      </c>
      <c r="K807" s="57" t="s">
        <v>5325</v>
      </c>
      <c r="L807" s="57" t="s">
        <v>5326</v>
      </c>
      <c r="M807" s="57" t="s">
        <v>5327</v>
      </c>
    </row>
    <row r="808" ht="28" spans="1:13">
      <c r="A808" s="178" t="str">
        <f t="shared" si="12"/>
        <v>Managing Change|Analyst|1</v>
      </c>
      <c r="B808" s="57" t="s">
        <v>449</v>
      </c>
      <c r="C808" s="177" t="s">
        <v>8</v>
      </c>
      <c r="D808" s="177">
        <v>1</v>
      </c>
      <c r="E808" s="177" t="s">
        <v>473</v>
      </c>
      <c r="F808" s="177">
        <v>3</v>
      </c>
      <c r="G808" s="57" t="s">
        <v>5328</v>
      </c>
      <c r="H808" s="57" t="s">
        <v>5329</v>
      </c>
      <c r="I808" s="57" t="s">
        <v>5330</v>
      </c>
      <c r="J808" s="57" t="s">
        <v>5331</v>
      </c>
      <c r="K808" s="57" t="s">
        <v>5332</v>
      </c>
      <c r="L808" s="57" t="s">
        <v>5333</v>
      </c>
      <c r="M808" s="57" t="s">
        <v>5334</v>
      </c>
    </row>
    <row r="809" ht="28" spans="1:13">
      <c r="A809" s="178" t="str">
        <f t="shared" si="12"/>
        <v>Managing Change|Analyst|2</v>
      </c>
      <c r="B809" s="57" t="s">
        <v>449</v>
      </c>
      <c r="C809" s="177" t="s">
        <v>8</v>
      </c>
      <c r="D809" s="177">
        <v>2</v>
      </c>
      <c r="E809" s="177" t="s">
        <v>491</v>
      </c>
      <c r="F809" s="177">
        <v>1</v>
      </c>
      <c r="G809" s="57" t="s">
        <v>5335</v>
      </c>
      <c r="H809" s="57" t="s">
        <v>5336</v>
      </c>
      <c r="I809" s="57" t="s">
        <v>5337</v>
      </c>
      <c r="J809" s="57" t="s">
        <v>5338</v>
      </c>
      <c r="K809" s="57" t="s">
        <v>5339</v>
      </c>
      <c r="L809" s="57" t="s">
        <v>5340</v>
      </c>
      <c r="M809" s="57" t="s">
        <v>5341</v>
      </c>
    </row>
    <row r="810" ht="28" spans="1:13">
      <c r="A810" s="178" t="str">
        <f t="shared" si="12"/>
        <v>Managing Change|Analyst|2</v>
      </c>
      <c r="B810" s="57" t="s">
        <v>449</v>
      </c>
      <c r="C810" s="177" t="s">
        <v>8</v>
      </c>
      <c r="D810" s="177">
        <v>2</v>
      </c>
      <c r="E810" s="177" t="s">
        <v>491</v>
      </c>
      <c r="F810" s="177">
        <v>2</v>
      </c>
      <c r="G810" s="57" t="s">
        <v>5342</v>
      </c>
      <c r="H810" s="57" t="s">
        <v>5343</v>
      </c>
      <c r="I810" s="57" t="s">
        <v>5344</v>
      </c>
      <c r="J810" s="57" t="s">
        <v>5345</v>
      </c>
      <c r="K810" s="57" t="s">
        <v>5346</v>
      </c>
      <c r="L810" s="57" t="s">
        <v>5347</v>
      </c>
      <c r="M810" s="57" t="s">
        <v>5348</v>
      </c>
    </row>
    <row r="811" ht="28" spans="1:13">
      <c r="A811" s="178" t="str">
        <f t="shared" si="12"/>
        <v>Managing Change|Analyst|2</v>
      </c>
      <c r="B811" s="57" t="s">
        <v>449</v>
      </c>
      <c r="C811" s="177" t="s">
        <v>8</v>
      </c>
      <c r="D811" s="177">
        <v>2</v>
      </c>
      <c r="E811" s="177" t="s">
        <v>491</v>
      </c>
      <c r="F811" s="177">
        <v>3</v>
      </c>
      <c r="G811" s="57" t="s">
        <v>5349</v>
      </c>
      <c r="H811" s="57" t="s">
        <v>5350</v>
      </c>
      <c r="I811" s="57" t="s">
        <v>5351</v>
      </c>
      <c r="J811" s="57" t="s">
        <v>5352</v>
      </c>
      <c r="K811" s="57" t="s">
        <v>5353</v>
      </c>
      <c r="L811" s="57" t="s">
        <v>5354</v>
      </c>
      <c r="M811" s="57" t="s">
        <v>5355</v>
      </c>
    </row>
    <row r="812" ht="28" spans="1:13">
      <c r="A812" s="178" t="str">
        <f t="shared" si="12"/>
        <v>Managing Change|Analyst|3</v>
      </c>
      <c r="B812" s="57" t="s">
        <v>449</v>
      </c>
      <c r="C812" s="177" t="s">
        <v>8</v>
      </c>
      <c r="D812" s="177">
        <v>3</v>
      </c>
      <c r="E812" s="177" t="s">
        <v>507</v>
      </c>
      <c r="F812" s="177">
        <v>1</v>
      </c>
      <c r="G812" s="57" t="s">
        <v>5356</v>
      </c>
      <c r="H812" s="57" t="s">
        <v>5357</v>
      </c>
      <c r="I812" s="57" t="s">
        <v>5358</v>
      </c>
      <c r="J812" s="57" t="s">
        <v>5359</v>
      </c>
      <c r="K812" s="57" t="s">
        <v>5360</v>
      </c>
      <c r="L812" s="57" t="s">
        <v>5361</v>
      </c>
      <c r="M812" s="57" t="s">
        <v>5362</v>
      </c>
    </row>
    <row r="813" ht="28" spans="1:13">
      <c r="A813" s="178" t="str">
        <f t="shared" si="12"/>
        <v>Managing Change|Analyst|3</v>
      </c>
      <c r="B813" s="57" t="s">
        <v>449</v>
      </c>
      <c r="C813" s="177" t="s">
        <v>8</v>
      </c>
      <c r="D813" s="177">
        <v>3</v>
      </c>
      <c r="E813" s="177" t="s">
        <v>507</v>
      </c>
      <c r="F813" s="177">
        <v>2</v>
      </c>
      <c r="G813" s="57" t="s">
        <v>5363</v>
      </c>
      <c r="H813" s="57" t="s">
        <v>5364</v>
      </c>
      <c r="I813" s="57" t="s">
        <v>5365</v>
      </c>
      <c r="J813" s="57" t="s">
        <v>5366</v>
      </c>
      <c r="K813" s="57" t="s">
        <v>5367</v>
      </c>
      <c r="L813" s="57" t="s">
        <v>5368</v>
      </c>
      <c r="M813" s="57" t="s">
        <v>5369</v>
      </c>
    </row>
    <row r="814" ht="28" spans="1:13">
      <c r="A814" s="178" t="str">
        <f t="shared" si="12"/>
        <v>Managing Change|Analyst|3</v>
      </c>
      <c r="B814" s="57" t="s">
        <v>449</v>
      </c>
      <c r="C814" s="177" t="s">
        <v>8</v>
      </c>
      <c r="D814" s="177">
        <v>3</v>
      </c>
      <c r="E814" s="177" t="s">
        <v>507</v>
      </c>
      <c r="F814" s="177">
        <v>3</v>
      </c>
      <c r="G814" s="57" t="s">
        <v>5370</v>
      </c>
      <c r="H814" s="57" t="s">
        <v>5371</v>
      </c>
      <c r="I814" s="57" t="s">
        <v>5372</v>
      </c>
      <c r="J814" s="57" t="s">
        <v>5373</v>
      </c>
      <c r="K814" s="57" t="s">
        <v>5374</v>
      </c>
      <c r="L814" s="57" t="s">
        <v>5375</v>
      </c>
      <c r="M814" s="57" t="s">
        <v>5376</v>
      </c>
    </row>
    <row r="815" ht="28" spans="1:13">
      <c r="A815" s="178" t="str">
        <f t="shared" si="12"/>
        <v>Managing Change|Analyst|4</v>
      </c>
      <c r="B815" s="57" t="s">
        <v>449</v>
      </c>
      <c r="C815" s="177" t="s">
        <v>8</v>
      </c>
      <c r="D815" s="177">
        <v>4</v>
      </c>
      <c r="E815" s="177" t="s">
        <v>523</v>
      </c>
      <c r="F815" s="177">
        <v>1</v>
      </c>
      <c r="G815" s="57" t="s">
        <v>5377</v>
      </c>
      <c r="H815" s="57" t="s">
        <v>5378</v>
      </c>
      <c r="I815" s="57" t="s">
        <v>5379</v>
      </c>
      <c r="J815" s="57" t="s">
        <v>5380</v>
      </c>
      <c r="K815" s="57" t="s">
        <v>5381</v>
      </c>
      <c r="L815" s="57" t="s">
        <v>5382</v>
      </c>
      <c r="M815" s="57" t="s">
        <v>5383</v>
      </c>
    </row>
    <row r="816" ht="28" spans="1:13">
      <c r="A816" s="178" t="str">
        <f t="shared" si="12"/>
        <v>Managing Change|Analyst|4</v>
      </c>
      <c r="B816" s="57" t="s">
        <v>449</v>
      </c>
      <c r="C816" s="177" t="s">
        <v>8</v>
      </c>
      <c r="D816" s="177">
        <v>4</v>
      </c>
      <c r="E816" s="177" t="s">
        <v>523</v>
      </c>
      <c r="F816" s="177">
        <v>2</v>
      </c>
      <c r="G816" s="57" t="s">
        <v>5384</v>
      </c>
      <c r="H816" s="57" t="s">
        <v>5385</v>
      </c>
      <c r="I816" s="57" t="s">
        <v>5386</v>
      </c>
      <c r="J816" s="57" t="s">
        <v>5387</v>
      </c>
      <c r="K816" s="57" t="s">
        <v>5388</v>
      </c>
      <c r="L816" s="57" t="s">
        <v>5389</v>
      </c>
      <c r="M816" s="57" t="s">
        <v>5390</v>
      </c>
    </row>
    <row r="817" ht="28" spans="1:13">
      <c r="A817" s="178" t="str">
        <f t="shared" si="12"/>
        <v>Managing Change|Analyst|4</v>
      </c>
      <c r="B817" s="57" t="s">
        <v>449</v>
      </c>
      <c r="C817" s="177" t="s">
        <v>8</v>
      </c>
      <c r="D817" s="177">
        <v>4</v>
      </c>
      <c r="E817" s="177" t="s">
        <v>523</v>
      </c>
      <c r="F817" s="177">
        <v>3</v>
      </c>
      <c r="G817" s="57" t="s">
        <v>5391</v>
      </c>
      <c r="H817" s="57" t="s">
        <v>5392</v>
      </c>
      <c r="I817" s="57" t="s">
        <v>5393</v>
      </c>
      <c r="J817" s="57" t="s">
        <v>5394</v>
      </c>
      <c r="K817" s="57" t="s">
        <v>5395</v>
      </c>
      <c r="L817" s="57" t="s">
        <v>5396</v>
      </c>
      <c r="M817" s="57" t="s">
        <v>5397</v>
      </c>
    </row>
    <row r="818" ht="42" spans="1:13">
      <c r="A818" s="178" t="str">
        <f t="shared" si="12"/>
        <v>Managing Change|Unit Head/Specialist|1</v>
      </c>
      <c r="B818" s="57" t="s">
        <v>449</v>
      </c>
      <c r="C818" s="177" t="s">
        <v>18</v>
      </c>
      <c r="D818" s="177">
        <v>1</v>
      </c>
      <c r="E818" s="177" t="s">
        <v>473</v>
      </c>
      <c r="F818" s="177">
        <v>1</v>
      </c>
      <c r="G818" s="57" t="s">
        <v>5398</v>
      </c>
      <c r="H818" s="57" t="s">
        <v>5399</v>
      </c>
      <c r="I818" s="57" t="s">
        <v>5400</v>
      </c>
      <c r="J818" s="57" t="s">
        <v>5401</v>
      </c>
      <c r="K818" s="57" t="s">
        <v>5402</v>
      </c>
      <c r="L818" s="57" t="s">
        <v>5403</v>
      </c>
      <c r="M818" s="57" t="s">
        <v>5404</v>
      </c>
    </row>
    <row r="819" ht="42" spans="1:13">
      <c r="A819" s="178" t="str">
        <f t="shared" si="12"/>
        <v>Managing Change|Unit Head/Specialist|1</v>
      </c>
      <c r="B819" s="57" t="s">
        <v>449</v>
      </c>
      <c r="C819" s="177" t="s">
        <v>18</v>
      </c>
      <c r="D819" s="177">
        <v>1</v>
      </c>
      <c r="E819" s="177" t="s">
        <v>473</v>
      </c>
      <c r="F819" s="177">
        <v>2</v>
      </c>
      <c r="G819" s="57" t="s">
        <v>5405</v>
      </c>
      <c r="H819" s="57" t="s">
        <v>5406</v>
      </c>
      <c r="I819" s="57" t="s">
        <v>5407</v>
      </c>
      <c r="J819" s="57" t="s">
        <v>5408</v>
      </c>
      <c r="K819" s="57" t="s">
        <v>5409</v>
      </c>
      <c r="L819" s="57" t="s">
        <v>5410</v>
      </c>
      <c r="M819" s="57" t="s">
        <v>5411</v>
      </c>
    </row>
    <row r="820" ht="42" spans="1:13">
      <c r="A820" s="178" t="str">
        <f t="shared" si="12"/>
        <v>Managing Change|Unit Head/Specialist|1</v>
      </c>
      <c r="B820" s="57" t="s">
        <v>449</v>
      </c>
      <c r="C820" s="177" t="s">
        <v>18</v>
      </c>
      <c r="D820" s="177">
        <v>1</v>
      </c>
      <c r="E820" s="177" t="s">
        <v>473</v>
      </c>
      <c r="F820" s="177">
        <v>3</v>
      </c>
      <c r="G820" s="57" t="s">
        <v>5412</v>
      </c>
      <c r="H820" s="57" t="s">
        <v>5413</v>
      </c>
      <c r="I820" s="57" t="s">
        <v>5414</v>
      </c>
      <c r="J820" s="57" t="s">
        <v>5415</v>
      </c>
      <c r="K820" s="57" t="s">
        <v>5416</v>
      </c>
      <c r="L820" s="57" t="s">
        <v>5417</v>
      </c>
      <c r="M820" s="57" t="s">
        <v>5418</v>
      </c>
    </row>
    <row r="821" ht="42" spans="1:13">
      <c r="A821" s="178" t="str">
        <f t="shared" si="12"/>
        <v>Managing Change|Unit Head/Specialist|2</v>
      </c>
      <c r="B821" s="57" t="s">
        <v>449</v>
      </c>
      <c r="C821" s="177" t="s">
        <v>18</v>
      </c>
      <c r="D821" s="177">
        <v>2</v>
      </c>
      <c r="E821" s="177" t="s">
        <v>491</v>
      </c>
      <c r="F821" s="177">
        <v>1</v>
      </c>
      <c r="G821" s="57" t="s">
        <v>5419</v>
      </c>
      <c r="H821" s="57" t="s">
        <v>5420</v>
      </c>
      <c r="I821" s="57" t="s">
        <v>5421</v>
      </c>
      <c r="J821" s="57" t="s">
        <v>5422</v>
      </c>
      <c r="K821" s="57" t="s">
        <v>5423</v>
      </c>
      <c r="L821" s="57" t="s">
        <v>5424</v>
      </c>
      <c r="M821" s="57" t="s">
        <v>5425</v>
      </c>
    </row>
    <row r="822" ht="42" spans="1:13">
      <c r="A822" s="178" t="str">
        <f t="shared" si="12"/>
        <v>Managing Change|Unit Head/Specialist|2</v>
      </c>
      <c r="B822" s="57" t="s">
        <v>449</v>
      </c>
      <c r="C822" s="177" t="s">
        <v>18</v>
      </c>
      <c r="D822" s="177">
        <v>2</v>
      </c>
      <c r="E822" s="177" t="s">
        <v>491</v>
      </c>
      <c r="F822" s="177">
        <v>2</v>
      </c>
      <c r="G822" s="57" t="s">
        <v>5426</v>
      </c>
      <c r="H822" s="57" t="s">
        <v>5427</v>
      </c>
      <c r="I822" s="57" t="s">
        <v>5428</v>
      </c>
      <c r="J822" s="57" t="s">
        <v>5429</v>
      </c>
      <c r="K822" s="57" t="s">
        <v>5430</v>
      </c>
      <c r="L822" s="57" t="s">
        <v>5431</v>
      </c>
      <c r="M822" s="57" t="s">
        <v>5432</v>
      </c>
    </row>
    <row r="823" ht="42" spans="1:13">
      <c r="A823" s="178" t="str">
        <f t="shared" si="12"/>
        <v>Managing Change|Unit Head/Specialist|2</v>
      </c>
      <c r="B823" s="57" t="s">
        <v>449</v>
      </c>
      <c r="C823" s="177" t="s">
        <v>18</v>
      </c>
      <c r="D823" s="177">
        <v>2</v>
      </c>
      <c r="E823" s="177" t="s">
        <v>491</v>
      </c>
      <c r="F823" s="177">
        <v>3</v>
      </c>
      <c r="G823" s="57" t="s">
        <v>5433</v>
      </c>
      <c r="H823" s="57" t="s">
        <v>5434</v>
      </c>
      <c r="I823" s="57" t="s">
        <v>5435</v>
      </c>
      <c r="J823" s="57" t="s">
        <v>5436</v>
      </c>
      <c r="K823" s="57" t="s">
        <v>5437</v>
      </c>
      <c r="L823" s="57" t="s">
        <v>5438</v>
      </c>
      <c r="M823" s="57" t="s">
        <v>5439</v>
      </c>
    </row>
    <row r="824" ht="42" spans="1:13">
      <c r="A824" s="178" t="str">
        <f t="shared" si="12"/>
        <v>Managing Change|Unit Head/Specialist|3</v>
      </c>
      <c r="B824" s="57" t="s">
        <v>449</v>
      </c>
      <c r="C824" s="177" t="s">
        <v>18</v>
      </c>
      <c r="D824" s="177">
        <v>3</v>
      </c>
      <c r="E824" s="177" t="s">
        <v>507</v>
      </c>
      <c r="F824" s="177">
        <v>1</v>
      </c>
      <c r="G824" s="57" t="s">
        <v>5440</v>
      </c>
      <c r="H824" s="57" t="s">
        <v>5441</v>
      </c>
      <c r="I824" s="57" t="s">
        <v>5442</v>
      </c>
      <c r="J824" s="57" t="s">
        <v>5443</v>
      </c>
      <c r="K824" s="57" t="s">
        <v>5444</v>
      </c>
      <c r="L824" s="57" t="s">
        <v>5445</v>
      </c>
      <c r="M824" s="57" t="s">
        <v>5446</v>
      </c>
    </row>
    <row r="825" ht="42" spans="1:13">
      <c r="A825" s="178" t="str">
        <f t="shared" si="12"/>
        <v>Managing Change|Unit Head/Specialist|3</v>
      </c>
      <c r="B825" s="57" t="s">
        <v>449</v>
      </c>
      <c r="C825" s="177" t="s">
        <v>18</v>
      </c>
      <c r="D825" s="177">
        <v>3</v>
      </c>
      <c r="E825" s="177" t="s">
        <v>507</v>
      </c>
      <c r="F825" s="177">
        <v>2</v>
      </c>
      <c r="G825" s="57" t="s">
        <v>5447</v>
      </c>
      <c r="H825" s="57" t="s">
        <v>5448</v>
      </c>
      <c r="I825" s="57" t="s">
        <v>5449</v>
      </c>
      <c r="J825" s="57" t="s">
        <v>5450</v>
      </c>
      <c r="K825" s="57" t="s">
        <v>5451</v>
      </c>
      <c r="L825" s="57" t="s">
        <v>5452</v>
      </c>
      <c r="M825" s="57" t="s">
        <v>5453</v>
      </c>
    </row>
    <row r="826" ht="42" spans="1:13">
      <c r="A826" s="178" t="str">
        <f t="shared" si="12"/>
        <v>Managing Change|Unit Head/Specialist|3</v>
      </c>
      <c r="B826" s="57" t="s">
        <v>449</v>
      </c>
      <c r="C826" s="177" t="s">
        <v>18</v>
      </c>
      <c r="D826" s="177">
        <v>3</v>
      </c>
      <c r="E826" s="177" t="s">
        <v>507</v>
      </c>
      <c r="F826" s="177">
        <v>3</v>
      </c>
      <c r="G826" s="57" t="s">
        <v>5454</v>
      </c>
      <c r="H826" s="57" t="s">
        <v>5455</v>
      </c>
      <c r="I826" s="57" t="s">
        <v>5456</v>
      </c>
      <c r="J826" s="57" t="s">
        <v>5457</v>
      </c>
      <c r="K826" s="57" t="s">
        <v>5458</v>
      </c>
      <c r="L826" s="57" t="s">
        <v>5459</v>
      </c>
      <c r="M826" s="57" t="s">
        <v>5460</v>
      </c>
    </row>
    <row r="827" ht="42" spans="1:13">
      <c r="A827" s="178" t="str">
        <f t="shared" si="12"/>
        <v>Managing Change|Unit Head/Specialist|4</v>
      </c>
      <c r="B827" s="57" t="s">
        <v>449</v>
      </c>
      <c r="C827" s="177" t="s">
        <v>18</v>
      </c>
      <c r="D827" s="177">
        <v>4</v>
      </c>
      <c r="E827" s="177" t="s">
        <v>523</v>
      </c>
      <c r="F827" s="177">
        <v>1</v>
      </c>
      <c r="G827" s="57" t="s">
        <v>5461</v>
      </c>
      <c r="H827" s="57" t="s">
        <v>5462</v>
      </c>
      <c r="I827" s="57" t="s">
        <v>5463</v>
      </c>
      <c r="J827" s="57" t="s">
        <v>5464</v>
      </c>
      <c r="K827" s="57" t="s">
        <v>5465</v>
      </c>
      <c r="L827" s="57" t="s">
        <v>5466</v>
      </c>
      <c r="M827" s="57" t="s">
        <v>5467</v>
      </c>
    </row>
    <row r="828" ht="42" spans="1:13">
      <c r="A828" s="178" t="str">
        <f t="shared" si="12"/>
        <v>Managing Change|Unit Head/Specialist|4</v>
      </c>
      <c r="B828" s="57" t="s">
        <v>449</v>
      </c>
      <c r="C828" s="177" t="s">
        <v>18</v>
      </c>
      <c r="D828" s="177">
        <v>4</v>
      </c>
      <c r="E828" s="177" t="s">
        <v>523</v>
      </c>
      <c r="F828" s="177">
        <v>2</v>
      </c>
      <c r="G828" s="57" t="s">
        <v>5468</v>
      </c>
      <c r="H828" s="57" t="s">
        <v>5469</v>
      </c>
      <c r="I828" s="57" t="s">
        <v>5470</v>
      </c>
      <c r="J828" s="57" t="s">
        <v>5471</v>
      </c>
      <c r="K828" s="57" t="s">
        <v>5472</v>
      </c>
      <c r="L828" s="57" t="s">
        <v>5473</v>
      </c>
      <c r="M828" s="57" t="s">
        <v>5474</v>
      </c>
    </row>
    <row r="829" ht="42" spans="1:13">
      <c r="A829" s="178" t="str">
        <f t="shared" si="12"/>
        <v>Managing Change|Unit Head/Specialist|4</v>
      </c>
      <c r="B829" s="57" t="s">
        <v>449</v>
      </c>
      <c r="C829" s="177" t="s">
        <v>18</v>
      </c>
      <c r="D829" s="177">
        <v>4</v>
      </c>
      <c r="E829" s="177" t="s">
        <v>523</v>
      </c>
      <c r="F829" s="177">
        <v>3</v>
      </c>
      <c r="G829" s="57" t="s">
        <v>5475</v>
      </c>
      <c r="H829" s="57" t="s">
        <v>5476</v>
      </c>
      <c r="I829" s="57" t="s">
        <v>5477</v>
      </c>
      <c r="J829" s="57" t="s">
        <v>5478</v>
      </c>
      <c r="K829" s="57" t="s">
        <v>5479</v>
      </c>
      <c r="L829" s="57" t="s">
        <v>5480</v>
      </c>
      <c r="M829" s="57" t="s">
        <v>5481</v>
      </c>
    </row>
    <row r="830" ht="28" spans="1:13">
      <c r="A830" s="178" t="str">
        <f t="shared" si="12"/>
        <v>Managing Change|Department Head|1</v>
      </c>
      <c r="B830" s="57" t="s">
        <v>449</v>
      </c>
      <c r="C830" s="177" t="s">
        <v>655</v>
      </c>
      <c r="D830" s="177">
        <v>1</v>
      </c>
      <c r="E830" s="177" t="s">
        <v>473</v>
      </c>
      <c r="F830" s="177">
        <v>1</v>
      </c>
      <c r="G830" s="57" t="s">
        <v>5482</v>
      </c>
      <c r="H830" s="57" t="s">
        <v>5483</v>
      </c>
      <c r="I830" s="57" t="s">
        <v>5484</v>
      </c>
      <c r="J830" s="57" t="s">
        <v>5485</v>
      </c>
      <c r="K830" s="57" t="s">
        <v>5486</v>
      </c>
      <c r="L830" s="57" t="s">
        <v>5487</v>
      </c>
      <c r="M830" s="57" t="s">
        <v>5488</v>
      </c>
    </row>
    <row r="831" ht="28" spans="1:13">
      <c r="A831" s="178" t="str">
        <f t="shared" si="12"/>
        <v>Managing Change|Department Head|1</v>
      </c>
      <c r="B831" s="57" t="s">
        <v>449</v>
      </c>
      <c r="C831" s="177" t="s">
        <v>655</v>
      </c>
      <c r="D831" s="177">
        <v>1</v>
      </c>
      <c r="E831" s="177" t="s">
        <v>473</v>
      </c>
      <c r="F831" s="177">
        <v>2</v>
      </c>
      <c r="G831" s="57" t="s">
        <v>5489</v>
      </c>
      <c r="H831" s="57" t="s">
        <v>5490</v>
      </c>
      <c r="I831" s="57" t="s">
        <v>5491</v>
      </c>
      <c r="J831" s="57" t="s">
        <v>5492</v>
      </c>
      <c r="K831" s="57" t="s">
        <v>5493</v>
      </c>
      <c r="L831" s="57" t="s">
        <v>5494</v>
      </c>
      <c r="M831" s="57" t="s">
        <v>5495</v>
      </c>
    </row>
    <row r="832" ht="28" spans="1:13">
      <c r="A832" s="178" t="str">
        <f t="shared" si="12"/>
        <v>Managing Change|Department Head|1</v>
      </c>
      <c r="B832" s="57" t="s">
        <v>449</v>
      </c>
      <c r="C832" s="177" t="s">
        <v>655</v>
      </c>
      <c r="D832" s="177">
        <v>1</v>
      </c>
      <c r="E832" s="177" t="s">
        <v>473</v>
      </c>
      <c r="F832" s="177">
        <v>3</v>
      </c>
      <c r="G832" s="57" t="s">
        <v>5496</v>
      </c>
      <c r="H832" s="57" t="s">
        <v>5497</v>
      </c>
      <c r="I832" s="57" t="s">
        <v>5498</v>
      </c>
      <c r="J832" s="57" t="s">
        <v>5499</v>
      </c>
      <c r="K832" s="57" t="s">
        <v>5500</v>
      </c>
      <c r="L832" s="57" t="s">
        <v>5501</v>
      </c>
      <c r="M832" s="57" t="s">
        <v>5502</v>
      </c>
    </row>
    <row r="833" ht="28" spans="1:13">
      <c r="A833" s="178" t="str">
        <f t="shared" si="12"/>
        <v>Managing Change|Department Head|2</v>
      </c>
      <c r="B833" s="57" t="s">
        <v>449</v>
      </c>
      <c r="C833" s="177" t="s">
        <v>655</v>
      </c>
      <c r="D833" s="177">
        <v>2</v>
      </c>
      <c r="E833" s="177" t="s">
        <v>491</v>
      </c>
      <c r="F833" s="177">
        <v>1</v>
      </c>
      <c r="G833" s="57" t="s">
        <v>5503</v>
      </c>
      <c r="H833" s="57" t="s">
        <v>5504</v>
      </c>
      <c r="I833" s="57" t="s">
        <v>5505</v>
      </c>
      <c r="J833" s="57" t="s">
        <v>5506</v>
      </c>
      <c r="K833" s="57" t="s">
        <v>5507</v>
      </c>
      <c r="L833" s="57" t="s">
        <v>5508</v>
      </c>
      <c r="M833" s="57" t="s">
        <v>5509</v>
      </c>
    </row>
    <row r="834" ht="28" spans="1:13">
      <c r="A834" s="178" t="str">
        <f t="shared" si="12"/>
        <v>Managing Change|Department Head|2</v>
      </c>
      <c r="B834" s="57" t="s">
        <v>449</v>
      </c>
      <c r="C834" s="177" t="s">
        <v>655</v>
      </c>
      <c r="D834" s="177">
        <v>2</v>
      </c>
      <c r="E834" s="177" t="s">
        <v>491</v>
      </c>
      <c r="F834" s="177">
        <v>2</v>
      </c>
      <c r="G834" s="57" t="s">
        <v>5510</v>
      </c>
      <c r="H834" s="57" t="s">
        <v>5511</v>
      </c>
      <c r="I834" s="57" t="s">
        <v>5512</v>
      </c>
      <c r="J834" s="57" t="s">
        <v>5513</v>
      </c>
      <c r="K834" s="57" t="s">
        <v>5514</v>
      </c>
      <c r="L834" s="57" t="s">
        <v>5515</v>
      </c>
      <c r="M834" s="57" t="s">
        <v>5516</v>
      </c>
    </row>
    <row r="835" ht="28" spans="1:13">
      <c r="A835" s="178" t="str">
        <f t="shared" ref="A835:A898" si="13">B835&amp;"|"&amp;C835&amp;"|"&amp;D835</f>
        <v>Managing Change|Department Head|2</v>
      </c>
      <c r="B835" s="57" t="s">
        <v>449</v>
      </c>
      <c r="C835" s="177" t="s">
        <v>655</v>
      </c>
      <c r="D835" s="177">
        <v>2</v>
      </c>
      <c r="E835" s="177" t="s">
        <v>491</v>
      </c>
      <c r="F835" s="177">
        <v>3</v>
      </c>
      <c r="G835" s="57" t="s">
        <v>5517</v>
      </c>
      <c r="H835" s="57" t="s">
        <v>5518</v>
      </c>
      <c r="I835" s="57" t="s">
        <v>5519</v>
      </c>
      <c r="J835" s="57" t="s">
        <v>5520</v>
      </c>
      <c r="K835" s="57" t="s">
        <v>5521</v>
      </c>
      <c r="L835" s="57" t="s">
        <v>5522</v>
      </c>
      <c r="M835" s="57" t="s">
        <v>5523</v>
      </c>
    </row>
    <row r="836" ht="28" spans="1:13">
      <c r="A836" s="178" t="str">
        <f t="shared" si="13"/>
        <v>Managing Change|Department Head|3</v>
      </c>
      <c r="B836" s="57" t="s">
        <v>449</v>
      </c>
      <c r="C836" s="177" t="s">
        <v>655</v>
      </c>
      <c r="D836" s="177">
        <v>3</v>
      </c>
      <c r="E836" s="177" t="s">
        <v>507</v>
      </c>
      <c r="F836" s="177">
        <v>1</v>
      </c>
      <c r="G836" s="57" t="s">
        <v>5524</v>
      </c>
      <c r="H836" s="57" t="s">
        <v>5525</v>
      </c>
      <c r="I836" s="57" t="s">
        <v>5526</v>
      </c>
      <c r="J836" s="57" t="s">
        <v>5527</v>
      </c>
      <c r="K836" s="57" t="s">
        <v>5528</v>
      </c>
      <c r="L836" s="57" t="s">
        <v>5529</v>
      </c>
      <c r="M836" s="57" t="s">
        <v>5530</v>
      </c>
    </row>
    <row r="837" ht="28" spans="1:13">
      <c r="A837" s="178" t="str">
        <f t="shared" si="13"/>
        <v>Managing Change|Department Head|3</v>
      </c>
      <c r="B837" s="57" t="s">
        <v>449</v>
      </c>
      <c r="C837" s="177" t="s">
        <v>655</v>
      </c>
      <c r="D837" s="177">
        <v>3</v>
      </c>
      <c r="E837" s="177" t="s">
        <v>507</v>
      </c>
      <c r="F837" s="177">
        <v>2</v>
      </c>
      <c r="G837" s="57" t="s">
        <v>5531</v>
      </c>
      <c r="H837" s="57" t="s">
        <v>5532</v>
      </c>
      <c r="I837" s="57" t="s">
        <v>5533</v>
      </c>
      <c r="J837" s="57" t="s">
        <v>5534</v>
      </c>
      <c r="K837" s="57" t="s">
        <v>5535</v>
      </c>
      <c r="L837" s="57" t="s">
        <v>5536</v>
      </c>
      <c r="M837" s="57" t="s">
        <v>5537</v>
      </c>
    </row>
    <row r="838" ht="28" spans="1:13">
      <c r="A838" s="178" t="str">
        <f t="shared" si="13"/>
        <v>Managing Change|Department Head|3</v>
      </c>
      <c r="B838" s="57" t="s">
        <v>449</v>
      </c>
      <c r="C838" s="177" t="s">
        <v>655</v>
      </c>
      <c r="D838" s="177">
        <v>3</v>
      </c>
      <c r="E838" s="177" t="s">
        <v>507</v>
      </c>
      <c r="F838" s="177">
        <v>3</v>
      </c>
      <c r="G838" s="57" t="s">
        <v>5538</v>
      </c>
      <c r="H838" s="57" t="s">
        <v>5539</v>
      </c>
      <c r="I838" s="57" t="s">
        <v>5540</v>
      </c>
      <c r="J838" s="57" t="s">
        <v>5541</v>
      </c>
      <c r="K838" s="57" t="s">
        <v>5542</v>
      </c>
      <c r="L838" s="57" t="s">
        <v>5543</v>
      </c>
      <c r="M838" s="57" t="s">
        <v>5544</v>
      </c>
    </row>
    <row r="839" ht="28" spans="1:13">
      <c r="A839" s="178" t="str">
        <f t="shared" si="13"/>
        <v>Managing Change|Department Head|4</v>
      </c>
      <c r="B839" s="57" t="s">
        <v>449</v>
      </c>
      <c r="C839" s="177" t="s">
        <v>655</v>
      </c>
      <c r="D839" s="177">
        <v>4</v>
      </c>
      <c r="E839" s="177" t="s">
        <v>523</v>
      </c>
      <c r="F839" s="177">
        <v>1</v>
      </c>
      <c r="G839" s="57" t="s">
        <v>5545</v>
      </c>
      <c r="H839" s="57" t="s">
        <v>5546</v>
      </c>
      <c r="I839" s="57" t="s">
        <v>5547</v>
      </c>
      <c r="J839" s="57" t="s">
        <v>5548</v>
      </c>
      <c r="K839" s="57" t="s">
        <v>5549</v>
      </c>
      <c r="L839" s="57" t="s">
        <v>5550</v>
      </c>
      <c r="M839" s="57" t="s">
        <v>5551</v>
      </c>
    </row>
    <row r="840" ht="28" spans="1:13">
      <c r="A840" s="178" t="str">
        <f t="shared" si="13"/>
        <v>Managing Change|Department Head|4</v>
      </c>
      <c r="B840" s="57" t="s">
        <v>449</v>
      </c>
      <c r="C840" s="177" t="s">
        <v>655</v>
      </c>
      <c r="D840" s="177">
        <v>4</v>
      </c>
      <c r="E840" s="177" t="s">
        <v>523</v>
      </c>
      <c r="F840" s="177">
        <v>2</v>
      </c>
      <c r="G840" s="57" t="s">
        <v>5552</v>
      </c>
      <c r="H840" s="57" t="s">
        <v>5553</v>
      </c>
      <c r="I840" s="57" t="s">
        <v>5554</v>
      </c>
      <c r="J840" s="57" t="s">
        <v>5555</v>
      </c>
      <c r="K840" s="57" t="s">
        <v>5556</v>
      </c>
      <c r="L840" s="57" t="s">
        <v>5557</v>
      </c>
      <c r="M840" s="57" t="s">
        <v>5558</v>
      </c>
    </row>
    <row r="841" ht="28" spans="1:13">
      <c r="A841" s="178" t="str">
        <f t="shared" si="13"/>
        <v>Managing Change|Department Head|4</v>
      </c>
      <c r="B841" s="57" t="s">
        <v>449</v>
      </c>
      <c r="C841" s="177" t="s">
        <v>655</v>
      </c>
      <c r="D841" s="177">
        <v>4</v>
      </c>
      <c r="E841" s="177" t="s">
        <v>523</v>
      </c>
      <c r="F841" s="177">
        <v>3</v>
      </c>
      <c r="G841" s="57" t="s">
        <v>5559</v>
      </c>
      <c r="H841" s="57" t="s">
        <v>5560</v>
      </c>
      <c r="I841" s="57" t="s">
        <v>5561</v>
      </c>
      <c r="J841" s="57" t="s">
        <v>5562</v>
      </c>
      <c r="K841" s="57" t="s">
        <v>5563</v>
      </c>
      <c r="L841" s="57" t="s">
        <v>5564</v>
      </c>
      <c r="M841" s="57" t="s">
        <v>5565</v>
      </c>
    </row>
    <row r="842" ht="28" spans="1:13">
      <c r="A842" s="178" t="str">
        <f t="shared" si="13"/>
        <v>Managing Change|Division Head|1</v>
      </c>
      <c r="B842" s="57" t="s">
        <v>449</v>
      </c>
      <c r="C842" s="177" t="s">
        <v>712</v>
      </c>
      <c r="D842" s="177">
        <v>1</v>
      </c>
      <c r="E842" s="177" t="s">
        <v>473</v>
      </c>
      <c r="F842" s="177">
        <v>1</v>
      </c>
      <c r="G842" s="57" t="s">
        <v>5566</v>
      </c>
      <c r="H842" s="57" t="s">
        <v>5567</v>
      </c>
      <c r="I842" s="57" t="s">
        <v>5568</v>
      </c>
      <c r="J842" s="57" t="s">
        <v>5569</v>
      </c>
      <c r="K842" s="57" t="s">
        <v>5570</v>
      </c>
      <c r="L842" s="57" t="s">
        <v>5571</v>
      </c>
      <c r="M842" s="57" t="s">
        <v>5572</v>
      </c>
    </row>
    <row r="843" ht="28" spans="1:13">
      <c r="A843" s="178" t="str">
        <f t="shared" si="13"/>
        <v>Managing Change|Division Head|1</v>
      </c>
      <c r="B843" s="57" t="s">
        <v>449</v>
      </c>
      <c r="C843" s="177" t="s">
        <v>712</v>
      </c>
      <c r="D843" s="177">
        <v>1</v>
      </c>
      <c r="E843" s="177" t="s">
        <v>473</v>
      </c>
      <c r="F843" s="177">
        <v>2</v>
      </c>
      <c r="G843" s="57" t="s">
        <v>5573</v>
      </c>
      <c r="H843" s="57" t="s">
        <v>5574</v>
      </c>
      <c r="I843" s="57" t="s">
        <v>5575</v>
      </c>
      <c r="J843" s="57" t="s">
        <v>5576</v>
      </c>
      <c r="K843" s="57" t="s">
        <v>5577</v>
      </c>
      <c r="L843" s="57" t="s">
        <v>5578</v>
      </c>
      <c r="M843" s="57" t="s">
        <v>5579</v>
      </c>
    </row>
    <row r="844" ht="28" spans="1:13">
      <c r="A844" s="178" t="str">
        <f t="shared" si="13"/>
        <v>Managing Change|Division Head|1</v>
      </c>
      <c r="B844" s="57" t="s">
        <v>449</v>
      </c>
      <c r="C844" s="177" t="s">
        <v>712</v>
      </c>
      <c r="D844" s="177">
        <v>1</v>
      </c>
      <c r="E844" s="177" t="s">
        <v>473</v>
      </c>
      <c r="F844" s="177">
        <v>3</v>
      </c>
      <c r="G844" s="57" t="s">
        <v>5580</v>
      </c>
      <c r="H844" s="57" t="s">
        <v>5581</v>
      </c>
      <c r="I844" s="57" t="s">
        <v>5582</v>
      </c>
      <c r="J844" s="57" t="s">
        <v>5583</v>
      </c>
      <c r="K844" s="57" t="s">
        <v>5584</v>
      </c>
      <c r="L844" s="57" t="s">
        <v>5585</v>
      </c>
      <c r="M844" s="57" t="s">
        <v>5586</v>
      </c>
    </row>
    <row r="845" ht="28" spans="1:13">
      <c r="A845" s="178" t="str">
        <f t="shared" si="13"/>
        <v>Managing Change|Division Head|2</v>
      </c>
      <c r="B845" s="57" t="s">
        <v>449</v>
      </c>
      <c r="C845" s="177" t="s">
        <v>712</v>
      </c>
      <c r="D845" s="177">
        <v>2</v>
      </c>
      <c r="E845" s="177" t="s">
        <v>491</v>
      </c>
      <c r="F845" s="177">
        <v>1</v>
      </c>
      <c r="G845" s="57" t="s">
        <v>5587</v>
      </c>
      <c r="H845" s="57" t="s">
        <v>5588</v>
      </c>
      <c r="I845" s="57" t="s">
        <v>5589</v>
      </c>
      <c r="J845" s="57" t="s">
        <v>5590</v>
      </c>
      <c r="K845" s="57" t="s">
        <v>5591</v>
      </c>
      <c r="L845" s="57" t="s">
        <v>5592</v>
      </c>
      <c r="M845" s="57" t="s">
        <v>5593</v>
      </c>
    </row>
    <row r="846" ht="28" spans="1:13">
      <c r="A846" s="178" t="str">
        <f t="shared" si="13"/>
        <v>Managing Change|Division Head|2</v>
      </c>
      <c r="B846" s="57" t="s">
        <v>449</v>
      </c>
      <c r="C846" s="177" t="s">
        <v>712</v>
      </c>
      <c r="D846" s="177">
        <v>2</v>
      </c>
      <c r="E846" s="177" t="s">
        <v>491</v>
      </c>
      <c r="F846" s="177">
        <v>2</v>
      </c>
      <c r="G846" s="57" t="s">
        <v>5594</v>
      </c>
      <c r="H846" s="57" t="s">
        <v>5595</v>
      </c>
      <c r="I846" s="57" t="s">
        <v>5596</v>
      </c>
      <c r="J846" s="57" t="s">
        <v>5597</v>
      </c>
      <c r="K846" s="57" t="s">
        <v>5598</v>
      </c>
      <c r="L846" s="57" t="s">
        <v>5599</v>
      </c>
      <c r="M846" s="57" t="s">
        <v>5600</v>
      </c>
    </row>
    <row r="847" ht="28" spans="1:13">
      <c r="A847" s="178" t="str">
        <f t="shared" si="13"/>
        <v>Managing Change|Division Head|2</v>
      </c>
      <c r="B847" s="57" t="s">
        <v>449</v>
      </c>
      <c r="C847" s="177" t="s">
        <v>712</v>
      </c>
      <c r="D847" s="177">
        <v>2</v>
      </c>
      <c r="E847" s="177" t="s">
        <v>491</v>
      </c>
      <c r="F847" s="177">
        <v>3</v>
      </c>
      <c r="G847" s="57" t="s">
        <v>5601</v>
      </c>
      <c r="H847" s="57" t="s">
        <v>5602</v>
      </c>
      <c r="I847" s="57" t="s">
        <v>5603</v>
      </c>
      <c r="J847" s="57" t="s">
        <v>5604</v>
      </c>
      <c r="K847" s="57" t="s">
        <v>5605</v>
      </c>
      <c r="L847" s="57" t="s">
        <v>5606</v>
      </c>
      <c r="M847" s="57" t="s">
        <v>5607</v>
      </c>
    </row>
    <row r="848" ht="28" spans="1:13">
      <c r="A848" s="178" t="str">
        <f t="shared" si="13"/>
        <v>Managing Change|Division Head|3</v>
      </c>
      <c r="B848" s="57" t="s">
        <v>449</v>
      </c>
      <c r="C848" s="177" t="s">
        <v>712</v>
      </c>
      <c r="D848" s="177">
        <v>3</v>
      </c>
      <c r="E848" s="177" t="s">
        <v>507</v>
      </c>
      <c r="F848" s="177">
        <v>1</v>
      </c>
      <c r="G848" s="57" t="s">
        <v>5608</v>
      </c>
      <c r="H848" s="57" t="s">
        <v>5609</v>
      </c>
      <c r="I848" s="57" t="s">
        <v>5610</v>
      </c>
      <c r="J848" s="57" t="s">
        <v>5611</v>
      </c>
      <c r="K848" s="57" t="s">
        <v>5612</v>
      </c>
      <c r="L848" s="57" t="s">
        <v>5613</v>
      </c>
      <c r="M848" s="57" t="s">
        <v>5614</v>
      </c>
    </row>
    <row r="849" ht="28" spans="1:13">
      <c r="A849" s="178" t="str">
        <f t="shared" si="13"/>
        <v>Managing Change|Division Head|3</v>
      </c>
      <c r="B849" s="57" t="s">
        <v>449</v>
      </c>
      <c r="C849" s="177" t="s">
        <v>712</v>
      </c>
      <c r="D849" s="177">
        <v>3</v>
      </c>
      <c r="E849" s="177" t="s">
        <v>507</v>
      </c>
      <c r="F849" s="177">
        <v>2</v>
      </c>
      <c r="G849" s="57" t="s">
        <v>5615</v>
      </c>
      <c r="H849" s="57" t="s">
        <v>5616</v>
      </c>
      <c r="I849" s="57" t="s">
        <v>5617</v>
      </c>
      <c r="J849" s="57" t="s">
        <v>5618</v>
      </c>
      <c r="K849" s="57" t="s">
        <v>5619</v>
      </c>
      <c r="L849" s="57" t="s">
        <v>5620</v>
      </c>
      <c r="M849" s="57" t="s">
        <v>5621</v>
      </c>
    </row>
    <row r="850" ht="28" spans="1:13">
      <c r="A850" s="178" t="str">
        <f t="shared" si="13"/>
        <v>Managing Change|Division Head|3</v>
      </c>
      <c r="B850" s="57" t="s">
        <v>449</v>
      </c>
      <c r="C850" s="177" t="s">
        <v>712</v>
      </c>
      <c r="D850" s="177">
        <v>3</v>
      </c>
      <c r="E850" s="177" t="s">
        <v>507</v>
      </c>
      <c r="F850" s="177">
        <v>3</v>
      </c>
      <c r="G850" s="57" t="s">
        <v>5622</v>
      </c>
      <c r="H850" s="57" t="s">
        <v>5623</v>
      </c>
      <c r="I850" s="57" t="s">
        <v>5624</v>
      </c>
      <c r="J850" s="57" t="s">
        <v>5625</v>
      </c>
      <c r="K850" s="57" t="s">
        <v>5626</v>
      </c>
      <c r="L850" s="57" t="s">
        <v>5627</v>
      </c>
      <c r="M850" s="57" t="s">
        <v>5628</v>
      </c>
    </row>
    <row r="851" ht="28" spans="1:13">
      <c r="A851" s="178" t="str">
        <f t="shared" si="13"/>
        <v>Managing Change|Division Head|4</v>
      </c>
      <c r="B851" s="57" t="s">
        <v>449</v>
      </c>
      <c r="C851" s="177" t="s">
        <v>712</v>
      </c>
      <c r="D851" s="177">
        <v>4</v>
      </c>
      <c r="E851" s="177" t="s">
        <v>523</v>
      </c>
      <c r="F851" s="177">
        <v>1</v>
      </c>
      <c r="G851" s="57" t="s">
        <v>5629</v>
      </c>
      <c r="H851" s="57" t="s">
        <v>5630</v>
      </c>
      <c r="I851" s="57" t="s">
        <v>5631</v>
      </c>
      <c r="J851" s="57" t="s">
        <v>5632</v>
      </c>
      <c r="K851" s="57" t="s">
        <v>5633</v>
      </c>
      <c r="L851" s="57" t="s">
        <v>5634</v>
      </c>
      <c r="M851" s="57" t="s">
        <v>5635</v>
      </c>
    </row>
    <row r="852" ht="28" spans="1:13">
      <c r="A852" s="178" t="str">
        <f t="shared" si="13"/>
        <v>Managing Change|Division Head|4</v>
      </c>
      <c r="B852" s="57" t="s">
        <v>449</v>
      </c>
      <c r="C852" s="177" t="s">
        <v>712</v>
      </c>
      <c r="D852" s="177">
        <v>4</v>
      </c>
      <c r="E852" s="177" t="s">
        <v>523</v>
      </c>
      <c r="F852" s="177">
        <v>2</v>
      </c>
      <c r="G852" s="57" t="s">
        <v>5636</v>
      </c>
      <c r="H852" s="57" t="s">
        <v>5637</v>
      </c>
      <c r="I852" s="57" t="s">
        <v>5638</v>
      </c>
      <c r="J852" s="57" t="s">
        <v>5639</v>
      </c>
      <c r="K852" s="57" t="s">
        <v>5640</v>
      </c>
      <c r="L852" s="57" t="s">
        <v>5641</v>
      </c>
      <c r="M852" s="57" t="s">
        <v>5642</v>
      </c>
    </row>
    <row r="853" ht="28" spans="1:13">
      <c r="A853" s="178" t="str">
        <f t="shared" si="13"/>
        <v>Managing Change|Division Head|4</v>
      </c>
      <c r="B853" s="57" t="s">
        <v>449</v>
      </c>
      <c r="C853" s="177" t="s">
        <v>712</v>
      </c>
      <c r="D853" s="177">
        <v>4</v>
      </c>
      <c r="E853" s="177" t="s">
        <v>523</v>
      </c>
      <c r="F853" s="177">
        <v>3</v>
      </c>
      <c r="G853" s="57" t="s">
        <v>5643</v>
      </c>
      <c r="H853" s="57" t="s">
        <v>5644</v>
      </c>
      <c r="I853" s="57" t="s">
        <v>5645</v>
      </c>
      <c r="J853" s="57" t="s">
        <v>5646</v>
      </c>
      <c r="K853" s="57" t="s">
        <v>5647</v>
      </c>
      <c r="L853" s="57" t="s">
        <v>5648</v>
      </c>
      <c r="M853" s="57" t="s">
        <v>5649</v>
      </c>
    </row>
    <row r="854" ht="28" spans="1:13">
      <c r="A854" s="178" t="str">
        <f t="shared" si="13"/>
        <v>Managing Change|Director|1</v>
      </c>
      <c r="B854" s="57" t="s">
        <v>449</v>
      </c>
      <c r="C854" s="177" t="s">
        <v>773</v>
      </c>
      <c r="D854" s="177">
        <v>1</v>
      </c>
      <c r="E854" s="177" t="s">
        <v>473</v>
      </c>
      <c r="F854" s="177">
        <v>1</v>
      </c>
      <c r="G854" s="57" t="s">
        <v>5650</v>
      </c>
      <c r="H854" s="57" t="s">
        <v>5651</v>
      </c>
      <c r="I854" s="57" t="s">
        <v>5652</v>
      </c>
      <c r="J854" s="57" t="s">
        <v>5653</v>
      </c>
      <c r="K854" s="57" t="s">
        <v>5654</v>
      </c>
      <c r="L854" s="57" t="s">
        <v>5655</v>
      </c>
      <c r="M854" s="57" t="s">
        <v>5656</v>
      </c>
    </row>
    <row r="855" ht="28" spans="1:13">
      <c r="A855" s="178" t="str">
        <f t="shared" si="13"/>
        <v>Managing Change|Director|1</v>
      </c>
      <c r="B855" s="57" t="s">
        <v>449</v>
      </c>
      <c r="C855" s="177" t="s">
        <v>773</v>
      </c>
      <c r="D855" s="177">
        <v>1</v>
      </c>
      <c r="E855" s="177" t="s">
        <v>473</v>
      </c>
      <c r="F855" s="177">
        <v>2</v>
      </c>
      <c r="G855" s="57" t="s">
        <v>5657</v>
      </c>
      <c r="H855" s="57" t="s">
        <v>5658</v>
      </c>
      <c r="I855" s="57" t="s">
        <v>5659</v>
      </c>
      <c r="J855" s="57" t="s">
        <v>5660</v>
      </c>
      <c r="K855" s="57" t="s">
        <v>5661</v>
      </c>
      <c r="L855" s="57" t="s">
        <v>5662</v>
      </c>
      <c r="M855" s="57" t="s">
        <v>5663</v>
      </c>
    </row>
    <row r="856" ht="28" spans="1:13">
      <c r="A856" s="178" t="str">
        <f t="shared" si="13"/>
        <v>Managing Change|Director|1</v>
      </c>
      <c r="B856" s="57" t="s">
        <v>449</v>
      </c>
      <c r="C856" s="177" t="s">
        <v>773</v>
      </c>
      <c r="D856" s="177">
        <v>1</v>
      </c>
      <c r="E856" s="177" t="s">
        <v>473</v>
      </c>
      <c r="F856" s="177">
        <v>3</v>
      </c>
      <c r="G856" s="57" t="s">
        <v>5664</v>
      </c>
      <c r="H856" s="57" t="s">
        <v>5665</v>
      </c>
      <c r="I856" s="57" t="s">
        <v>5666</v>
      </c>
      <c r="J856" s="57" t="s">
        <v>5667</v>
      </c>
      <c r="K856" s="57" t="s">
        <v>5668</v>
      </c>
      <c r="L856" s="57" t="s">
        <v>5669</v>
      </c>
      <c r="M856" s="57" t="s">
        <v>5670</v>
      </c>
    </row>
    <row r="857" ht="28" spans="1:13">
      <c r="A857" s="178" t="str">
        <f t="shared" si="13"/>
        <v>Managing Change|Director|2</v>
      </c>
      <c r="B857" s="57" t="s">
        <v>449</v>
      </c>
      <c r="C857" s="177" t="s">
        <v>773</v>
      </c>
      <c r="D857" s="177">
        <v>2</v>
      </c>
      <c r="E857" s="177" t="s">
        <v>491</v>
      </c>
      <c r="F857" s="177">
        <v>1</v>
      </c>
      <c r="G857" s="57" t="s">
        <v>5671</v>
      </c>
      <c r="H857" s="57" t="s">
        <v>5672</v>
      </c>
      <c r="I857" s="57" t="s">
        <v>5673</v>
      </c>
      <c r="J857" s="57" t="s">
        <v>5674</v>
      </c>
      <c r="K857" s="57" t="s">
        <v>5675</v>
      </c>
      <c r="L857" s="57" t="s">
        <v>5676</v>
      </c>
      <c r="M857" s="57" t="s">
        <v>5677</v>
      </c>
    </row>
    <row r="858" ht="28" spans="1:13">
      <c r="A858" s="178" t="str">
        <f t="shared" si="13"/>
        <v>Managing Change|Director|2</v>
      </c>
      <c r="B858" s="57" t="s">
        <v>449</v>
      </c>
      <c r="C858" s="177" t="s">
        <v>773</v>
      </c>
      <c r="D858" s="177">
        <v>2</v>
      </c>
      <c r="E858" s="177" t="s">
        <v>491</v>
      </c>
      <c r="F858" s="177">
        <v>2</v>
      </c>
      <c r="G858" s="57" t="s">
        <v>5678</v>
      </c>
      <c r="H858" s="57" t="s">
        <v>5679</v>
      </c>
      <c r="I858" s="57" t="s">
        <v>5680</v>
      </c>
      <c r="J858" s="57" t="s">
        <v>5681</v>
      </c>
      <c r="K858" s="57" t="s">
        <v>5682</v>
      </c>
      <c r="L858" s="57" t="s">
        <v>5683</v>
      </c>
      <c r="M858" s="57" t="s">
        <v>5684</v>
      </c>
    </row>
    <row r="859" ht="28" spans="1:13">
      <c r="A859" s="178" t="str">
        <f t="shared" si="13"/>
        <v>Managing Change|Director|2</v>
      </c>
      <c r="B859" s="57" t="s">
        <v>449</v>
      </c>
      <c r="C859" s="177" t="s">
        <v>773</v>
      </c>
      <c r="D859" s="177">
        <v>2</v>
      </c>
      <c r="E859" s="177" t="s">
        <v>491</v>
      </c>
      <c r="F859" s="177">
        <v>3</v>
      </c>
      <c r="G859" s="57" t="s">
        <v>5685</v>
      </c>
      <c r="H859" s="57" t="s">
        <v>5686</v>
      </c>
      <c r="I859" s="57" t="s">
        <v>5687</v>
      </c>
      <c r="J859" s="57" t="s">
        <v>5688</v>
      </c>
      <c r="K859" s="57" t="s">
        <v>5689</v>
      </c>
      <c r="L859" s="57" t="s">
        <v>5690</v>
      </c>
      <c r="M859" s="57" t="s">
        <v>5691</v>
      </c>
    </row>
    <row r="860" ht="28" spans="1:13">
      <c r="A860" s="178" t="str">
        <f t="shared" si="13"/>
        <v>Managing Change|Director|3</v>
      </c>
      <c r="B860" s="57" t="s">
        <v>449</v>
      </c>
      <c r="C860" s="177" t="s">
        <v>773</v>
      </c>
      <c r="D860" s="177">
        <v>3</v>
      </c>
      <c r="E860" s="177" t="s">
        <v>507</v>
      </c>
      <c r="F860" s="177">
        <v>1</v>
      </c>
      <c r="G860" s="57" t="s">
        <v>5692</v>
      </c>
      <c r="H860" s="57" t="s">
        <v>5693</v>
      </c>
      <c r="I860" s="57" t="s">
        <v>5694</v>
      </c>
      <c r="J860" s="57" t="s">
        <v>5695</v>
      </c>
      <c r="K860" s="57" t="s">
        <v>5696</v>
      </c>
      <c r="L860" s="57" t="s">
        <v>5697</v>
      </c>
      <c r="M860" s="57" t="s">
        <v>5698</v>
      </c>
    </row>
    <row r="861" ht="28" spans="1:13">
      <c r="A861" s="178" t="str">
        <f t="shared" si="13"/>
        <v>Managing Change|Director|3</v>
      </c>
      <c r="B861" s="57" t="s">
        <v>449</v>
      </c>
      <c r="C861" s="177" t="s">
        <v>773</v>
      </c>
      <c r="D861" s="177">
        <v>3</v>
      </c>
      <c r="E861" s="177" t="s">
        <v>507</v>
      </c>
      <c r="F861" s="177">
        <v>2</v>
      </c>
      <c r="G861" s="57" t="s">
        <v>5699</v>
      </c>
      <c r="H861" s="57" t="s">
        <v>5700</v>
      </c>
      <c r="I861" s="57" t="s">
        <v>5701</v>
      </c>
      <c r="J861" s="57" t="s">
        <v>5702</v>
      </c>
      <c r="K861" s="57" t="s">
        <v>5703</v>
      </c>
      <c r="L861" s="57" t="s">
        <v>5704</v>
      </c>
      <c r="M861" s="57" t="s">
        <v>5705</v>
      </c>
    </row>
    <row r="862" ht="28" spans="1:13">
      <c r="A862" s="178" t="str">
        <f t="shared" si="13"/>
        <v>Managing Change|Director|3</v>
      </c>
      <c r="B862" s="57" t="s">
        <v>449</v>
      </c>
      <c r="C862" s="177" t="s">
        <v>773</v>
      </c>
      <c r="D862" s="177">
        <v>3</v>
      </c>
      <c r="E862" s="177" t="s">
        <v>507</v>
      </c>
      <c r="F862" s="177">
        <v>3</v>
      </c>
      <c r="G862" s="57" t="s">
        <v>5706</v>
      </c>
      <c r="H862" s="57" t="s">
        <v>5707</v>
      </c>
      <c r="I862" s="57" t="s">
        <v>5708</v>
      </c>
      <c r="J862" s="57" t="s">
        <v>5709</v>
      </c>
      <c r="K862" s="57" t="s">
        <v>5710</v>
      </c>
      <c r="L862" s="57" t="s">
        <v>5711</v>
      </c>
      <c r="M862" s="57" t="s">
        <v>5712</v>
      </c>
    </row>
    <row r="863" ht="28" spans="1:13">
      <c r="A863" s="178" t="str">
        <f t="shared" si="13"/>
        <v>Managing Change|Director|4</v>
      </c>
      <c r="B863" s="57" t="s">
        <v>449</v>
      </c>
      <c r="C863" s="177" t="s">
        <v>773</v>
      </c>
      <c r="D863" s="177">
        <v>4</v>
      </c>
      <c r="E863" s="177" t="s">
        <v>523</v>
      </c>
      <c r="F863" s="177">
        <v>1</v>
      </c>
      <c r="G863" s="57" t="s">
        <v>5713</v>
      </c>
      <c r="H863" s="57" t="s">
        <v>5714</v>
      </c>
      <c r="I863" s="57" t="s">
        <v>5715</v>
      </c>
      <c r="J863" s="57" t="s">
        <v>5716</v>
      </c>
      <c r="K863" s="57" t="s">
        <v>5717</v>
      </c>
      <c r="L863" s="57" t="s">
        <v>5718</v>
      </c>
      <c r="M863" s="57" t="s">
        <v>5719</v>
      </c>
    </row>
    <row r="864" ht="28" spans="1:13">
      <c r="A864" s="178" t="str">
        <f t="shared" si="13"/>
        <v>Managing Change|Director|4</v>
      </c>
      <c r="B864" s="57" t="s">
        <v>449</v>
      </c>
      <c r="C864" s="177" t="s">
        <v>773</v>
      </c>
      <c r="D864" s="177">
        <v>4</v>
      </c>
      <c r="E864" s="177" t="s">
        <v>523</v>
      </c>
      <c r="F864" s="177">
        <v>2</v>
      </c>
      <c r="G864" s="57" t="s">
        <v>5720</v>
      </c>
      <c r="H864" s="57" t="s">
        <v>5721</v>
      </c>
      <c r="I864" s="57" t="s">
        <v>5722</v>
      </c>
      <c r="J864" s="57" t="s">
        <v>5723</v>
      </c>
      <c r="K864" s="57" t="s">
        <v>5724</v>
      </c>
      <c r="L864" s="57" t="s">
        <v>5725</v>
      </c>
      <c r="M864" s="57" t="s">
        <v>5726</v>
      </c>
    </row>
    <row r="865" ht="28" spans="1:13">
      <c r="A865" s="178" t="str">
        <f t="shared" si="13"/>
        <v>Managing Change|Director|4</v>
      </c>
      <c r="B865" s="57" t="s">
        <v>449</v>
      </c>
      <c r="C865" s="177" t="s">
        <v>773</v>
      </c>
      <c r="D865" s="177">
        <v>4</v>
      </c>
      <c r="E865" s="177" t="s">
        <v>523</v>
      </c>
      <c r="F865" s="177">
        <v>3</v>
      </c>
      <c r="G865" s="57" t="s">
        <v>5727</v>
      </c>
      <c r="H865" s="57" t="s">
        <v>5728</v>
      </c>
      <c r="I865" s="57" t="s">
        <v>5729</v>
      </c>
      <c r="J865" s="57" t="s">
        <v>5730</v>
      </c>
      <c r="K865" s="57" t="s">
        <v>5731</v>
      </c>
      <c r="L865" s="57" t="s">
        <v>5732</v>
      </c>
      <c r="M865" s="57" t="s">
        <v>5733</v>
      </c>
    </row>
    <row r="866" ht="28" spans="1:13">
      <c r="A866" s="178" t="str">
        <f t="shared" si="13"/>
        <v>Strategic Thinking|Officer|1</v>
      </c>
      <c r="B866" s="57" t="s">
        <v>450</v>
      </c>
      <c r="C866" s="177" t="s">
        <v>6</v>
      </c>
      <c r="D866" s="177">
        <v>1</v>
      </c>
      <c r="E866" s="177" t="s">
        <v>473</v>
      </c>
      <c r="F866" s="177">
        <v>1</v>
      </c>
      <c r="G866" s="57" t="s">
        <v>5734</v>
      </c>
      <c r="H866" s="57" t="s">
        <v>5735</v>
      </c>
      <c r="I866" s="57" t="s">
        <v>5736</v>
      </c>
      <c r="J866" s="57" t="s">
        <v>5737</v>
      </c>
      <c r="K866" s="57" t="s">
        <v>5738</v>
      </c>
      <c r="L866" s="57" t="s">
        <v>5739</v>
      </c>
      <c r="M866" s="57" t="s">
        <v>5740</v>
      </c>
    </row>
    <row r="867" ht="28" spans="1:13">
      <c r="A867" s="178" t="str">
        <f t="shared" si="13"/>
        <v>Strategic Thinking|Officer|1</v>
      </c>
      <c r="B867" s="57" t="s">
        <v>450</v>
      </c>
      <c r="C867" s="177" t="s">
        <v>6</v>
      </c>
      <c r="D867" s="177">
        <v>1</v>
      </c>
      <c r="E867" s="177" t="s">
        <v>473</v>
      </c>
      <c r="F867" s="177">
        <v>2</v>
      </c>
      <c r="G867" s="57" t="s">
        <v>5741</v>
      </c>
      <c r="H867" s="57" t="s">
        <v>5742</v>
      </c>
      <c r="I867" s="57" t="s">
        <v>5743</v>
      </c>
      <c r="J867" s="57" t="s">
        <v>5744</v>
      </c>
      <c r="K867" s="57" t="s">
        <v>5745</v>
      </c>
      <c r="L867" s="57" t="s">
        <v>5746</v>
      </c>
      <c r="M867" s="57" t="s">
        <v>5747</v>
      </c>
    </row>
    <row r="868" ht="28" spans="1:13">
      <c r="A868" s="178" t="str">
        <f t="shared" si="13"/>
        <v>Strategic Thinking|Officer|1</v>
      </c>
      <c r="B868" s="57" t="s">
        <v>450</v>
      </c>
      <c r="C868" s="177" t="s">
        <v>6</v>
      </c>
      <c r="D868" s="177">
        <v>1</v>
      </c>
      <c r="E868" s="177" t="s">
        <v>473</v>
      </c>
      <c r="F868" s="177">
        <v>3</v>
      </c>
      <c r="G868" s="57" t="s">
        <v>5748</v>
      </c>
      <c r="H868" s="57" t="s">
        <v>5749</v>
      </c>
      <c r="I868" s="57" t="s">
        <v>5750</v>
      </c>
      <c r="J868" s="57" t="s">
        <v>5751</v>
      </c>
      <c r="K868" s="57" t="s">
        <v>5752</v>
      </c>
      <c r="L868" s="57" t="s">
        <v>5753</v>
      </c>
      <c r="M868" s="57" t="s">
        <v>5754</v>
      </c>
    </row>
    <row r="869" ht="28" spans="1:13">
      <c r="A869" s="178" t="str">
        <f t="shared" si="13"/>
        <v>Strategic Thinking|Officer|2</v>
      </c>
      <c r="B869" s="57" t="s">
        <v>450</v>
      </c>
      <c r="C869" s="177" t="s">
        <v>6</v>
      </c>
      <c r="D869" s="177">
        <v>2</v>
      </c>
      <c r="E869" s="177" t="s">
        <v>491</v>
      </c>
      <c r="F869" s="177">
        <v>1</v>
      </c>
      <c r="G869" s="57" t="s">
        <v>5755</v>
      </c>
      <c r="H869" s="57" t="s">
        <v>5756</v>
      </c>
      <c r="I869" s="57" t="s">
        <v>5757</v>
      </c>
      <c r="J869" s="57" t="s">
        <v>5758</v>
      </c>
      <c r="K869" s="57" t="s">
        <v>5759</v>
      </c>
      <c r="L869" s="57" t="s">
        <v>5760</v>
      </c>
      <c r="M869" s="57" t="s">
        <v>5761</v>
      </c>
    </row>
    <row r="870" ht="28" spans="1:13">
      <c r="A870" s="178" t="str">
        <f t="shared" si="13"/>
        <v>Strategic Thinking|Officer|2</v>
      </c>
      <c r="B870" s="57" t="s">
        <v>450</v>
      </c>
      <c r="C870" s="177" t="s">
        <v>6</v>
      </c>
      <c r="D870" s="177">
        <v>2</v>
      </c>
      <c r="E870" s="177" t="s">
        <v>491</v>
      </c>
      <c r="F870" s="177">
        <v>2</v>
      </c>
      <c r="G870" s="57" t="s">
        <v>5762</v>
      </c>
      <c r="H870" s="57" t="s">
        <v>5763</v>
      </c>
      <c r="I870" s="57" t="s">
        <v>5764</v>
      </c>
      <c r="J870" s="57" t="s">
        <v>5765</v>
      </c>
      <c r="K870" s="57" t="s">
        <v>5766</v>
      </c>
      <c r="L870" s="57" t="s">
        <v>5767</v>
      </c>
      <c r="M870" s="57" t="s">
        <v>5768</v>
      </c>
    </row>
    <row r="871" ht="28" spans="1:13">
      <c r="A871" s="178" t="str">
        <f t="shared" si="13"/>
        <v>Strategic Thinking|Officer|2</v>
      </c>
      <c r="B871" s="57" t="s">
        <v>450</v>
      </c>
      <c r="C871" s="177" t="s">
        <v>6</v>
      </c>
      <c r="D871" s="177">
        <v>2</v>
      </c>
      <c r="E871" s="177" t="s">
        <v>491</v>
      </c>
      <c r="F871" s="177">
        <v>3</v>
      </c>
      <c r="G871" s="57" t="s">
        <v>5769</v>
      </c>
      <c r="H871" s="57" t="s">
        <v>5770</v>
      </c>
      <c r="I871" s="57" t="s">
        <v>5771</v>
      </c>
      <c r="J871" s="57" t="s">
        <v>5772</v>
      </c>
      <c r="K871" s="57" t="s">
        <v>5773</v>
      </c>
      <c r="L871" s="57" t="s">
        <v>5774</v>
      </c>
      <c r="M871" s="57" t="s">
        <v>5775</v>
      </c>
    </row>
    <row r="872" ht="28" spans="1:13">
      <c r="A872" s="178" t="str">
        <f t="shared" si="13"/>
        <v>Strategic Thinking|Officer|3</v>
      </c>
      <c r="B872" s="57" t="s">
        <v>450</v>
      </c>
      <c r="C872" s="177" t="s">
        <v>6</v>
      </c>
      <c r="D872" s="177">
        <v>3</v>
      </c>
      <c r="E872" s="177" t="s">
        <v>507</v>
      </c>
      <c r="F872" s="177">
        <v>1</v>
      </c>
      <c r="G872" s="57" t="s">
        <v>5776</v>
      </c>
      <c r="H872" s="57" t="s">
        <v>5777</v>
      </c>
      <c r="I872" s="57" t="s">
        <v>5778</v>
      </c>
      <c r="J872" s="57" t="s">
        <v>5779</v>
      </c>
      <c r="K872" s="57" t="s">
        <v>5780</v>
      </c>
      <c r="L872" s="57" t="s">
        <v>5781</v>
      </c>
      <c r="M872" s="57" t="s">
        <v>5782</v>
      </c>
    </row>
    <row r="873" ht="28" spans="1:13">
      <c r="A873" s="178" t="str">
        <f t="shared" si="13"/>
        <v>Strategic Thinking|Officer|3</v>
      </c>
      <c r="B873" s="57" t="s">
        <v>450</v>
      </c>
      <c r="C873" s="177" t="s">
        <v>6</v>
      </c>
      <c r="D873" s="177">
        <v>3</v>
      </c>
      <c r="E873" s="177" t="s">
        <v>507</v>
      </c>
      <c r="F873" s="177">
        <v>2</v>
      </c>
      <c r="G873" s="57" t="s">
        <v>5783</v>
      </c>
      <c r="H873" s="57" t="s">
        <v>5784</v>
      </c>
      <c r="I873" s="57" t="s">
        <v>5785</v>
      </c>
      <c r="J873" s="57" t="s">
        <v>5786</v>
      </c>
      <c r="K873" s="57" t="s">
        <v>5787</v>
      </c>
      <c r="L873" s="57" t="s">
        <v>5788</v>
      </c>
      <c r="M873" s="57" t="s">
        <v>5789</v>
      </c>
    </row>
    <row r="874" ht="28" spans="1:13">
      <c r="A874" s="178" t="str">
        <f t="shared" si="13"/>
        <v>Strategic Thinking|Officer|3</v>
      </c>
      <c r="B874" s="57" t="s">
        <v>450</v>
      </c>
      <c r="C874" s="177" t="s">
        <v>6</v>
      </c>
      <c r="D874" s="177">
        <v>3</v>
      </c>
      <c r="E874" s="177" t="s">
        <v>507</v>
      </c>
      <c r="F874" s="177">
        <v>3</v>
      </c>
      <c r="G874" s="57" t="s">
        <v>5790</v>
      </c>
      <c r="H874" s="57" t="s">
        <v>5791</v>
      </c>
      <c r="I874" s="57" t="s">
        <v>5792</v>
      </c>
      <c r="J874" s="57" t="s">
        <v>5793</v>
      </c>
      <c r="K874" s="57" t="s">
        <v>5794</v>
      </c>
      <c r="L874" s="57" t="s">
        <v>5795</v>
      </c>
      <c r="M874" s="57" t="s">
        <v>5796</v>
      </c>
    </row>
    <row r="875" ht="28" spans="1:13">
      <c r="A875" s="178" t="str">
        <f t="shared" si="13"/>
        <v>Strategic Thinking|Officer|4</v>
      </c>
      <c r="B875" s="57" t="s">
        <v>450</v>
      </c>
      <c r="C875" s="177" t="s">
        <v>6</v>
      </c>
      <c r="D875" s="177">
        <v>4</v>
      </c>
      <c r="E875" s="177" t="s">
        <v>523</v>
      </c>
      <c r="F875" s="177">
        <v>1</v>
      </c>
      <c r="G875" s="57" t="s">
        <v>5797</v>
      </c>
      <c r="H875" s="57" t="s">
        <v>5798</v>
      </c>
      <c r="I875" s="57" t="s">
        <v>5799</v>
      </c>
      <c r="J875" s="57" t="s">
        <v>5800</v>
      </c>
      <c r="K875" s="57" t="s">
        <v>5801</v>
      </c>
      <c r="L875" s="57" t="s">
        <v>5802</v>
      </c>
      <c r="M875" s="57" t="s">
        <v>5803</v>
      </c>
    </row>
    <row r="876" ht="28" spans="1:13">
      <c r="A876" s="178" t="str">
        <f t="shared" si="13"/>
        <v>Strategic Thinking|Officer|4</v>
      </c>
      <c r="B876" s="57" t="s">
        <v>450</v>
      </c>
      <c r="C876" s="177" t="s">
        <v>6</v>
      </c>
      <c r="D876" s="177">
        <v>4</v>
      </c>
      <c r="E876" s="177" t="s">
        <v>523</v>
      </c>
      <c r="F876" s="177">
        <v>2</v>
      </c>
      <c r="G876" s="57" t="s">
        <v>5804</v>
      </c>
      <c r="H876" s="57" t="s">
        <v>5805</v>
      </c>
      <c r="I876" s="57" t="s">
        <v>5806</v>
      </c>
      <c r="J876" s="57" t="s">
        <v>5807</v>
      </c>
      <c r="K876" s="57" t="s">
        <v>5808</v>
      </c>
      <c r="L876" s="57" t="s">
        <v>5809</v>
      </c>
      <c r="M876" s="57" t="s">
        <v>5810</v>
      </c>
    </row>
    <row r="877" ht="28" spans="1:13">
      <c r="A877" s="178" t="str">
        <f t="shared" si="13"/>
        <v>Strategic Thinking|Officer|4</v>
      </c>
      <c r="B877" s="57" t="s">
        <v>450</v>
      </c>
      <c r="C877" s="177" t="s">
        <v>6</v>
      </c>
      <c r="D877" s="177">
        <v>4</v>
      </c>
      <c r="E877" s="177" t="s">
        <v>523</v>
      </c>
      <c r="F877" s="177">
        <v>3</v>
      </c>
      <c r="G877" s="57" t="s">
        <v>5811</v>
      </c>
      <c r="H877" s="57" t="s">
        <v>5812</v>
      </c>
      <c r="I877" s="57" t="s">
        <v>5813</v>
      </c>
      <c r="J877" s="57" t="s">
        <v>5814</v>
      </c>
      <c r="K877" s="57" t="s">
        <v>5815</v>
      </c>
      <c r="L877" s="57" t="s">
        <v>5816</v>
      </c>
      <c r="M877" s="57" t="s">
        <v>5817</v>
      </c>
    </row>
    <row r="878" ht="28" spans="1:13">
      <c r="A878" s="178" t="str">
        <f t="shared" si="13"/>
        <v>Strategic Thinking|Analyst|1</v>
      </c>
      <c r="B878" s="57" t="s">
        <v>450</v>
      </c>
      <c r="C878" s="177" t="s">
        <v>8</v>
      </c>
      <c r="D878" s="177">
        <v>1</v>
      </c>
      <c r="E878" s="177" t="s">
        <v>473</v>
      </c>
      <c r="F878" s="177">
        <v>1</v>
      </c>
      <c r="G878" s="57" t="s">
        <v>5818</v>
      </c>
      <c r="H878" s="57" t="s">
        <v>5819</v>
      </c>
      <c r="I878" s="57" t="s">
        <v>5820</v>
      </c>
      <c r="J878" s="57" t="s">
        <v>5821</v>
      </c>
      <c r="K878" s="57" t="s">
        <v>5822</v>
      </c>
      <c r="L878" s="57" t="s">
        <v>5823</v>
      </c>
      <c r="M878" s="57" t="s">
        <v>5824</v>
      </c>
    </row>
    <row r="879" ht="28" spans="1:13">
      <c r="A879" s="178" t="str">
        <f t="shared" si="13"/>
        <v>Strategic Thinking|Analyst|1</v>
      </c>
      <c r="B879" s="57" t="s">
        <v>450</v>
      </c>
      <c r="C879" s="177" t="s">
        <v>8</v>
      </c>
      <c r="D879" s="177">
        <v>1</v>
      </c>
      <c r="E879" s="177" t="s">
        <v>473</v>
      </c>
      <c r="F879" s="177">
        <v>2</v>
      </c>
      <c r="G879" s="57" t="s">
        <v>5825</v>
      </c>
      <c r="H879" s="57" t="s">
        <v>5826</v>
      </c>
      <c r="I879" s="57" t="s">
        <v>5827</v>
      </c>
      <c r="J879" s="57" t="s">
        <v>5828</v>
      </c>
      <c r="K879" s="57" t="s">
        <v>5829</v>
      </c>
      <c r="L879" s="57" t="s">
        <v>5830</v>
      </c>
      <c r="M879" s="57" t="s">
        <v>5831</v>
      </c>
    </row>
    <row r="880" ht="28" spans="1:13">
      <c r="A880" s="178" t="str">
        <f t="shared" si="13"/>
        <v>Strategic Thinking|Analyst|1</v>
      </c>
      <c r="B880" s="57" t="s">
        <v>450</v>
      </c>
      <c r="C880" s="177" t="s">
        <v>8</v>
      </c>
      <c r="D880" s="177">
        <v>1</v>
      </c>
      <c r="E880" s="177" t="s">
        <v>473</v>
      </c>
      <c r="F880" s="177">
        <v>3</v>
      </c>
      <c r="G880" s="57" t="s">
        <v>5832</v>
      </c>
      <c r="H880" s="57" t="s">
        <v>5833</v>
      </c>
      <c r="I880" s="57" t="s">
        <v>5834</v>
      </c>
      <c r="J880" s="57" t="s">
        <v>5835</v>
      </c>
      <c r="K880" s="57" t="s">
        <v>5836</v>
      </c>
      <c r="L880" s="57" t="s">
        <v>5837</v>
      </c>
      <c r="M880" s="57" t="s">
        <v>5838</v>
      </c>
    </row>
    <row r="881" ht="28" spans="1:13">
      <c r="A881" s="178" t="str">
        <f t="shared" si="13"/>
        <v>Strategic Thinking|Analyst|2</v>
      </c>
      <c r="B881" s="57" t="s">
        <v>450</v>
      </c>
      <c r="C881" s="177" t="s">
        <v>8</v>
      </c>
      <c r="D881" s="177">
        <v>2</v>
      </c>
      <c r="E881" s="177" t="s">
        <v>491</v>
      </c>
      <c r="F881" s="177">
        <v>1</v>
      </c>
      <c r="G881" s="57" t="s">
        <v>5839</v>
      </c>
      <c r="H881" s="57" t="s">
        <v>5840</v>
      </c>
      <c r="I881" s="57" t="s">
        <v>5841</v>
      </c>
      <c r="J881" s="57" t="s">
        <v>5842</v>
      </c>
      <c r="K881" s="57" t="s">
        <v>5843</v>
      </c>
      <c r="L881" s="57" t="s">
        <v>5844</v>
      </c>
      <c r="M881" s="57" t="s">
        <v>5845</v>
      </c>
    </row>
    <row r="882" ht="28" spans="1:13">
      <c r="A882" s="178" t="str">
        <f t="shared" si="13"/>
        <v>Strategic Thinking|Analyst|2</v>
      </c>
      <c r="B882" s="57" t="s">
        <v>450</v>
      </c>
      <c r="C882" s="177" t="s">
        <v>8</v>
      </c>
      <c r="D882" s="177">
        <v>2</v>
      </c>
      <c r="E882" s="177" t="s">
        <v>491</v>
      </c>
      <c r="F882" s="177">
        <v>2</v>
      </c>
      <c r="G882" s="57" t="s">
        <v>5846</v>
      </c>
      <c r="H882" s="57" t="s">
        <v>5847</v>
      </c>
      <c r="I882" s="57" t="s">
        <v>5848</v>
      </c>
      <c r="J882" s="57" t="s">
        <v>5849</v>
      </c>
      <c r="K882" s="57" t="s">
        <v>5850</v>
      </c>
      <c r="L882" s="57" t="s">
        <v>5851</v>
      </c>
      <c r="M882" s="57" t="s">
        <v>5852</v>
      </c>
    </row>
    <row r="883" ht="28" spans="1:13">
      <c r="A883" s="178" t="str">
        <f t="shared" si="13"/>
        <v>Strategic Thinking|Analyst|2</v>
      </c>
      <c r="B883" s="57" t="s">
        <v>450</v>
      </c>
      <c r="C883" s="177" t="s">
        <v>8</v>
      </c>
      <c r="D883" s="177">
        <v>2</v>
      </c>
      <c r="E883" s="177" t="s">
        <v>491</v>
      </c>
      <c r="F883" s="177">
        <v>3</v>
      </c>
      <c r="G883" s="57" t="s">
        <v>5853</v>
      </c>
      <c r="H883" s="57" t="s">
        <v>5854</v>
      </c>
      <c r="I883" s="57" t="s">
        <v>5855</v>
      </c>
      <c r="J883" s="57" t="s">
        <v>5856</v>
      </c>
      <c r="K883" s="57" t="s">
        <v>5857</v>
      </c>
      <c r="L883" s="57" t="s">
        <v>5858</v>
      </c>
      <c r="M883" s="57" t="s">
        <v>5859</v>
      </c>
    </row>
    <row r="884" ht="28" spans="1:13">
      <c r="A884" s="178" t="str">
        <f t="shared" si="13"/>
        <v>Strategic Thinking|Analyst|3</v>
      </c>
      <c r="B884" s="57" t="s">
        <v>450</v>
      </c>
      <c r="C884" s="177" t="s">
        <v>8</v>
      </c>
      <c r="D884" s="177">
        <v>3</v>
      </c>
      <c r="E884" s="177" t="s">
        <v>507</v>
      </c>
      <c r="F884" s="177">
        <v>1</v>
      </c>
      <c r="G884" s="57" t="s">
        <v>5860</v>
      </c>
      <c r="H884" s="57" t="s">
        <v>5861</v>
      </c>
      <c r="I884" s="57" t="s">
        <v>5862</v>
      </c>
      <c r="J884" s="57" t="s">
        <v>5863</v>
      </c>
      <c r="K884" s="57" t="s">
        <v>5864</v>
      </c>
      <c r="L884" s="57" t="s">
        <v>5865</v>
      </c>
      <c r="M884" s="57" t="s">
        <v>5866</v>
      </c>
    </row>
    <row r="885" ht="28" spans="1:13">
      <c r="A885" s="178" t="str">
        <f t="shared" si="13"/>
        <v>Strategic Thinking|Analyst|3</v>
      </c>
      <c r="B885" s="57" t="s">
        <v>450</v>
      </c>
      <c r="C885" s="177" t="s">
        <v>8</v>
      </c>
      <c r="D885" s="177">
        <v>3</v>
      </c>
      <c r="E885" s="177" t="s">
        <v>507</v>
      </c>
      <c r="F885" s="177">
        <v>2</v>
      </c>
      <c r="G885" s="57" t="s">
        <v>5867</v>
      </c>
      <c r="H885" s="57" t="s">
        <v>5868</v>
      </c>
      <c r="I885" s="57" t="s">
        <v>5869</v>
      </c>
      <c r="J885" s="57" t="s">
        <v>5870</v>
      </c>
      <c r="K885" s="57" t="s">
        <v>5871</v>
      </c>
      <c r="L885" s="57" t="s">
        <v>5872</v>
      </c>
      <c r="M885" s="57" t="s">
        <v>5873</v>
      </c>
    </row>
    <row r="886" ht="28" spans="1:13">
      <c r="A886" s="178" t="str">
        <f t="shared" si="13"/>
        <v>Strategic Thinking|Analyst|3</v>
      </c>
      <c r="B886" s="57" t="s">
        <v>450</v>
      </c>
      <c r="C886" s="177" t="s">
        <v>8</v>
      </c>
      <c r="D886" s="177">
        <v>3</v>
      </c>
      <c r="E886" s="177" t="s">
        <v>507</v>
      </c>
      <c r="F886" s="177">
        <v>3</v>
      </c>
      <c r="G886" s="57" t="s">
        <v>5874</v>
      </c>
      <c r="H886" s="57" t="s">
        <v>5875</v>
      </c>
      <c r="I886" s="57" t="s">
        <v>5876</v>
      </c>
      <c r="J886" s="57" t="s">
        <v>5877</v>
      </c>
      <c r="K886" s="57" t="s">
        <v>5878</v>
      </c>
      <c r="L886" s="57" t="s">
        <v>5879</v>
      </c>
      <c r="M886" s="57" t="s">
        <v>5880</v>
      </c>
    </row>
    <row r="887" ht="28" spans="1:13">
      <c r="A887" s="178" t="str">
        <f t="shared" si="13"/>
        <v>Strategic Thinking|Analyst|4</v>
      </c>
      <c r="B887" s="57" t="s">
        <v>450</v>
      </c>
      <c r="C887" s="177" t="s">
        <v>8</v>
      </c>
      <c r="D887" s="177">
        <v>4</v>
      </c>
      <c r="E887" s="177" t="s">
        <v>523</v>
      </c>
      <c r="F887" s="177">
        <v>1</v>
      </c>
      <c r="G887" s="57" t="s">
        <v>5881</v>
      </c>
      <c r="H887" s="57" t="s">
        <v>5882</v>
      </c>
      <c r="I887" s="57" t="s">
        <v>5883</v>
      </c>
      <c r="J887" s="57" t="s">
        <v>5884</v>
      </c>
      <c r="K887" s="57" t="s">
        <v>5885</v>
      </c>
      <c r="L887" s="57" t="s">
        <v>5886</v>
      </c>
      <c r="M887" s="57" t="s">
        <v>5887</v>
      </c>
    </row>
    <row r="888" ht="28" spans="1:13">
      <c r="A888" s="178" t="str">
        <f t="shared" si="13"/>
        <v>Strategic Thinking|Analyst|4</v>
      </c>
      <c r="B888" s="57" t="s">
        <v>450</v>
      </c>
      <c r="C888" s="177" t="s">
        <v>8</v>
      </c>
      <c r="D888" s="177">
        <v>4</v>
      </c>
      <c r="E888" s="177" t="s">
        <v>523</v>
      </c>
      <c r="F888" s="177">
        <v>2</v>
      </c>
      <c r="G888" s="57" t="s">
        <v>5888</v>
      </c>
      <c r="H888" s="57" t="s">
        <v>5889</v>
      </c>
      <c r="I888" s="57" t="s">
        <v>5890</v>
      </c>
      <c r="J888" s="57" t="s">
        <v>5891</v>
      </c>
      <c r="K888" s="57" t="s">
        <v>5892</v>
      </c>
      <c r="L888" s="57" t="s">
        <v>5893</v>
      </c>
      <c r="M888" s="57" t="s">
        <v>5894</v>
      </c>
    </row>
    <row r="889" ht="28" spans="1:13">
      <c r="A889" s="178" t="str">
        <f t="shared" si="13"/>
        <v>Strategic Thinking|Analyst|4</v>
      </c>
      <c r="B889" s="57" t="s">
        <v>450</v>
      </c>
      <c r="C889" s="177" t="s">
        <v>8</v>
      </c>
      <c r="D889" s="177">
        <v>4</v>
      </c>
      <c r="E889" s="177" t="s">
        <v>523</v>
      </c>
      <c r="F889" s="177">
        <v>3</v>
      </c>
      <c r="G889" s="57" t="s">
        <v>5895</v>
      </c>
      <c r="H889" s="57" t="s">
        <v>5896</v>
      </c>
      <c r="I889" s="57" t="s">
        <v>5897</v>
      </c>
      <c r="J889" s="57" t="s">
        <v>5898</v>
      </c>
      <c r="K889" s="57" t="s">
        <v>5899</v>
      </c>
      <c r="L889" s="57" t="s">
        <v>5900</v>
      </c>
      <c r="M889" s="57" t="s">
        <v>5901</v>
      </c>
    </row>
    <row r="890" ht="42" spans="1:13">
      <c r="A890" s="178" t="str">
        <f t="shared" si="13"/>
        <v>Strategic Thinking|Unit Head/Specialist|1</v>
      </c>
      <c r="B890" s="57" t="s">
        <v>450</v>
      </c>
      <c r="C890" s="177" t="s">
        <v>18</v>
      </c>
      <c r="D890" s="177">
        <v>1</v>
      </c>
      <c r="E890" s="177" t="s">
        <v>473</v>
      </c>
      <c r="F890" s="177">
        <v>1</v>
      </c>
      <c r="G890" s="57" t="s">
        <v>5902</v>
      </c>
      <c r="H890" s="57" t="s">
        <v>5903</v>
      </c>
      <c r="I890" s="57" t="s">
        <v>5904</v>
      </c>
      <c r="J890" s="57" t="s">
        <v>5905</v>
      </c>
      <c r="K890" s="57" t="s">
        <v>5906</v>
      </c>
      <c r="L890" s="57" t="s">
        <v>5907</v>
      </c>
      <c r="M890" s="57" t="s">
        <v>5908</v>
      </c>
    </row>
    <row r="891" ht="42" spans="1:13">
      <c r="A891" s="178" t="str">
        <f t="shared" si="13"/>
        <v>Strategic Thinking|Unit Head/Specialist|1</v>
      </c>
      <c r="B891" s="57" t="s">
        <v>450</v>
      </c>
      <c r="C891" s="177" t="s">
        <v>18</v>
      </c>
      <c r="D891" s="177">
        <v>1</v>
      </c>
      <c r="E891" s="177" t="s">
        <v>473</v>
      </c>
      <c r="F891" s="177">
        <v>2</v>
      </c>
      <c r="G891" s="57" t="s">
        <v>5909</v>
      </c>
      <c r="H891" s="57" t="s">
        <v>5910</v>
      </c>
      <c r="I891" s="57" t="s">
        <v>5911</v>
      </c>
      <c r="J891" s="57" t="s">
        <v>5912</v>
      </c>
      <c r="K891" s="57" t="s">
        <v>5913</v>
      </c>
      <c r="L891" s="57" t="s">
        <v>5914</v>
      </c>
      <c r="M891" s="57" t="s">
        <v>5915</v>
      </c>
    </row>
    <row r="892" ht="42" spans="1:13">
      <c r="A892" s="178" t="str">
        <f t="shared" si="13"/>
        <v>Strategic Thinking|Unit Head/Specialist|1</v>
      </c>
      <c r="B892" s="57" t="s">
        <v>450</v>
      </c>
      <c r="C892" s="177" t="s">
        <v>18</v>
      </c>
      <c r="D892" s="177">
        <v>1</v>
      </c>
      <c r="E892" s="177" t="s">
        <v>473</v>
      </c>
      <c r="F892" s="177">
        <v>3</v>
      </c>
      <c r="G892" s="57" t="s">
        <v>5916</v>
      </c>
      <c r="H892" s="57" t="s">
        <v>5917</v>
      </c>
      <c r="I892" s="57" t="s">
        <v>5918</v>
      </c>
      <c r="J892" s="57" t="s">
        <v>5919</v>
      </c>
      <c r="K892" s="57" t="s">
        <v>5920</v>
      </c>
      <c r="L892" s="57" t="s">
        <v>5921</v>
      </c>
      <c r="M892" s="57" t="s">
        <v>5922</v>
      </c>
    </row>
    <row r="893" ht="42" spans="1:13">
      <c r="A893" s="178" t="str">
        <f t="shared" si="13"/>
        <v>Strategic Thinking|Unit Head/Specialist|2</v>
      </c>
      <c r="B893" s="57" t="s">
        <v>450</v>
      </c>
      <c r="C893" s="177" t="s">
        <v>18</v>
      </c>
      <c r="D893" s="177">
        <v>2</v>
      </c>
      <c r="E893" s="177" t="s">
        <v>491</v>
      </c>
      <c r="F893" s="177">
        <v>1</v>
      </c>
      <c r="G893" s="57" t="s">
        <v>5923</v>
      </c>
      <c r="H893" s="57" t="s">
        <v>5924</v>
      </c>
      <c r="I893" s="57" t="s">
        <v>5925</v>
      </c>
      <c r="J893" s="57" t="s">
        <v>5926</v>
      </c>
      <c r="K893" s="57" t="s">
        <v>5927</v>
      </c>
      <c r="L893" s="57" t="s">
        <v>5928</v>
      </c>
      <c r="M893" s="57" t="s">
        <v>5929</v>
      </c>
    </row>
    <row r="894" ht="42" spans="1:13">
      <c r="A894" s="178" t="str">
        <f t="shared" si="13"/>
        <v>Strategic Thinking|Unit Head/Specialist|2</v>
      </c>
      <c r="B894" s="57" t="s">
        <v>450</v>
      </c>
      <c r="C894" s="177" t="s">
        <v>18</v>
      </c>
      <c r="D894" s="177">
        <v>2</v>
      </c>
      <c r="E894" s="177" t="s">
        <v>491</v>
      </c>
      <c r="F894" s="177">
        <v>2</v>
      </c>
      <c r="G894" s="57" t="s">
        <v>5930</v>
      </c>
      <c r="H894" s="57" t="s">
        <v>5931</v>
      </c>
      <c r="I894" s="57" t="s">
        <v>5932</v>
      </c>
      <c r="J894" s="57" t="s">
        <v>5933</v>
      </c>
      <c r="K894" s="57" t="s">
        <v>5934</v>
      </c>
      <c r="L894" s="57" t="s">
        <v>5935</v>
      </c>
      <c r="M894" s="57" t="s">
        <v>5936</v>
      </c>
    </row>
    <row r="895" ht="42" spans="1:13">
      <c r="A895" s="178" t="str">
        <f t="shared" si="13"/>
        <v>Strategic Thinking|Unit Head/Specialist|2</v>
      </c>
      <c r="B895" s="57" t="s">
        <v>450</v>
      </c>
      <c r="C895" s="177" t="s">
        <v>18</v>
      </c>
      <c r="D895" s="177">
        <v>2</v>
      </c>
      <c r="E895" s="177" t="s">
        <v>491</v>
      </c>
      <c r="F895" s="177">
        <v>3</v>
      </c>
      <c r="G895" s="57" t="s">
        <v>5937</v>
      </c>
      <c r="H895" s="57" t="s">
        <v>5938</v>
      </c>
      <c r="I895" s="57" t="s">
        <v>5939</v>
      </c>
      <c r="J895" s="57" t="s">
        <v>5940</v>
      </c>
      <c r="K895" s="57" t="s">
        <v>5941</v>
      </c>
      <c r="L895" s="57" t="s">
        <v>5942</v>
      </c>
      <c r="M895" s="57" t="s">
        <v>5943</v>
      </c>
    </row>
    <row r="896" ht="42" spans="1:13">
      <c r="A896" s="178" t="str">
        <f t="shared" si="13"/>
        <v>Strategic Thinking|Unit Head/Specialist|3</v>
      </c>
      <c r="B896" s="57" t="s">
        <v>450</v>
      </c>
      <c r="C896" s="177" t="s">
        <v>18</v>
      </c>
      <c r="D896" s="177">
        <v>3</v>
      </c>
      <c r="E896" s="177" t="s">
        <v>507</v>
      </c>
      <c r="F896" s="177">
        <v>1</v>
      </c>
      <c r="G896" s="57" t="s">
        <v>5944</v>
      </c>
      <c r="H896" s="57" t="s">
        <v>5945</v>
      </c>
      <c r="I896" s="57" t="s">
        <v>5946</v>
      </c>
      <c r="J896" s="57" t="s">
        <v>5947</v>
      </c>
      <c r="K896" s="57" t="s">
        <v>5948</v>
      </c>
      <c r="L896" s="57" t="s">
        <v>5949</v>
      </c>
      <c r="M896" s="57" t="s">
        <v>5950</v>
      </c>
    </row>
    <row r="897" ht="42" spans="1:13">
      <c r="A897" s="178" t="str">
        <f t="shared" si="13"/>
        <v>Strategic Thinking|Unit Head/Specialist|3</v>
      </c>
      <c r="B897" s="57" t="s">
        <v>450</v>
      </c>
      <c r="C897" s="177" t="s">
        <v>18</v>
      </c>
      <c r="D897" s="177">
        <v>3</v>
      </c>
      <c r="E897" s="177" t="s">
        <v>507</v>
      </c>
      <c r="F897" s="177">
        <v>2</v>
      </c>
      <c r="G897" s="57" t="s">
        <v>5951</v>
      </c>
      <c r="H897" s="57" t="s">
        <v>5952</v>
      </c>
      <c r="I897" s="57" t="s">
        <v>5953</v>
      </c>
      <c r="J897" s="57" t="s">
        <v>5954</v>
      </c>
      <c r="K897" s="57" t="s">
        <v>5955</v>
      </c>
      <c r="L897" s="57" t="s">
        <v>5956</v>
      </c>
      <c r="M897" s="57" t="s">
        <v>5957</v>
      </c>
    </row>
    <row r="898" ht="42" spans="1:13">
      <c r="A898" s="178" t="str">
        <f t="shared" si="13"/>
        <v>Strategic Thinking|Unit Head/Specialist|3</v>
      </c>
      <c r="B898" s="57" t="s">
        <v>450</v>
      </c>
      <c r="C898" s="177" t="s">
        <v>18</v>
      </c>
      <c r="D898" s="177">
        <v>3</v>
      </c>
      <c r="E898" s="177" t="s">
        <v>507</v>
      </c>
      <c r="F898" s="177">
        <v>3</v>
      </c>
      <c r="G898" s="57" t="s">
        <v>5958</v>
      </c>
      <c r="H898" s="57" t="s">
        <v>5959</v>
      </c>
      <c r="I898" s="57" t="s">
        <v>5960</v>
      </c>
      <c r="J898" s="57" t="s">
        <v>5961</v>
      </c>
      <c r="K898" s="57" t="s">
        <v>5962</v>
      </c>
      <c r="L898" s="57" t="s">
        <v>5963</v>
      </c>
      <c r="M898" s="57" t="s">
        <v>5964</v>
      </c>
    </row>
    <row r="899" ht="42" spans="1:13">
      <c r="A899" s="178" t="str">
        <f t="shared" ref="A899:A962" si="14">B899&amp;"|"&amp;C899&amp;"|"&amp;D899</f>
        <v>Strategic Thinking|Unit Head/Specialist|4</v>
      </c>
      <c r="B899" s="57" t="s">
        <v>450</v>
      </c>
      <c r="C899" s="177" t="s">
        <v>18</v>
      </c>
      <c r="D899" s="177">
        <v>4</v>
      </c>
      <c r="E899" s="177" t="s">
        <v>523</v>
      </c>
      <c r="F899" s="177">
        <v>1</v>
      </c>
      <c r="G899" s="57" t="s">
        <v>5965</v>
      </c>
      <c r="H899" s="57" t="s">
        <v>5966</v>
      </c>
      <c r="I899" s="57" t="s">
        <v>5967</v>
      </c>
      <c r="J899" s="57" t="s">
        <v>5968</v>
      </c>
      <c r="K899" s="57" t="s">
        <v>5969</v>
      </c>
      <c r="L899" s="57" t="s">
        <v>5970</v>
      </c>
      <c r="M899" s="57" t="s">
        <v>5971</v>
      </c>
    </row>
    <row r="900" ht="42" spans="1:13">
      <c r="A900" s="178" t="str">
        <f t="shared" si="14"/>
        <v>Strategic Thinking|Unit Head/Specialist|4</v>
      </c>
      <c r="B900" s="57" t="s">
        <v>450</v>
      </c>
      <c r="C900" s="177" t="s">
        <v>18</v>
      </c>
      <c r="D900" s="177">
        <v>4</v>
      </c>
      <c r="E900" s="177" t="s">
        <v>523</v>
      </c>
      <c r="F900" s="177">
        <v>2</v>
      </c>
      <c r="G900" s="57" t="s">
        <v>5972</v>
      </c>
      <c r="H900" s="57" t="s">
        <v>5973</v>
      </c>
      <c r="I900" s="57" t="s">
        <v>5974</v>
      </c>
      <c r="J900" s="57" t="s">
        <v>5975</v>
      </c>
      <c r="K900" s="57" t="s">
        <v>5976</v>
      </c>
      <c r="L900" s="57" t="s">
        <v>5977</v>
      </c>
      <c r="M900" s="57" t="s">
        <v>5978</v>
      </c>
    </row>
    <row r="901" ht="42" spans="1:13">
      <c r="A901" s="178" t="str">
        <f t="shared" si="14"/>
        <v>Strategic Thinking|Unit Head/Specialist|4</v>
      </c>
      <c r="B901" s="57" t="s">
        <v>450</v>
      </c>
      <c r="C901" s="177" t="s">
        <v>18</v>
      </c>
      <c r="D901" s="177">
        <v>4</v>
      </c>
      <c r="E901" s="177" t="s">
        <v>523</v>
      </c>
      <c r="F901" s="177">
        <v>3</v>
      </c>
      <c r="G901" s="57" t="s">
        <v>5979</v>
      </c>
      <c r="H901" s="57" t="s">
        <v>5980</v>
      </c>
      <c r="I901" s="57" t="s">
        <v>5981</v>
      </c>
      <c r="J901" s="57" t="s">
        <v>5982</v>
      </c>
      <c r="K901" s="57" t="s">
        <v>5983</v>
      </c>
      <c r="L901" s="57" t="s">
        <v>5984</v>
      </c>
      <c r="M901" s="57" t="s">
        <v>5985</v>
      </c>
    </row>
    <row r="902" ht="28" spans="1:13">
      <c r="A902" s="178" t="str">
        <f t="shared" si="14"/>
        <v>Strategic Thinking|Department Head|1</v>
      </c>
      <c r="B902" s="57" t="s">
        <v>450</v>
      </c>
      <c r="C902" s="177" t="s">
        <v>655</v>
      </c>
      <c r="D902" s="177">
        <v>1</v>
      </c>
      <c r="E902" s="177" t="s">
        <v>473</v>
      </c>
      <c r="F902" s="177">
        <v>1</v>
      </c>
      <c r="G902" s="57" t="s">
        <v>5986</v>
      </c>
      <c r="H902" s="57" t="s">
        <v>5987</v>
      </c>
      <c r="I902" s="57" t="s">
        <v>5988</v>
      </c>
      <c r="J902" s="57" t="s">
        <v>5989</v>
      </c>
      <c r="K902" s="57" t="s">
        <v>5990</v>
      </c>
      <c r="L902" s="57" t="s">
        <v>5991</v>
      </c>
      <c r="M902" s="57" t="s">
        <v>5992</v>
      </c>
    </row>
    <row r="903" ht="28" spans="1:13">
      <c r="A903" s="178" t="str">
        <f t="shared" si="14"/>
        <v>Strategic Thinking|Department Head|1</v>
      </c>
      <c r="B903" s="57" t="s">
        <v>450</v>
      </c>
      <c r="C903" s="177" t="s">
        <v>655</v>
      </c>
      <c r="D903" s="177">
        <v>1</v>
      </c>
      <c r="E903" s="177" t="s">
        <v>473</v>
      </c>
      <c r="F903" s="177">
        <v>2</v>
      </c>
      <c r="G903" s="57" t="s">
        <v>5993</v>
      </c>
      <c r="H903" s="57" t="s">
        <v>5994</v>
      </c>
      <c r="I903" s="57" t="s">
        <v>5995</v>
      </c>
      <c r="J903" s="57" t="s">
        <v>5996</v>
      </c>
      <c r="K903" s="57" t="s">
        <v>5997</v>
      </c>
      <c r="L903" s="57" t="s">
        <v>5998</v>
      </c>
      <c r="M903" s="57" t="s">
        <v>5999</v>
      </c>
    </row>
    <row r="904" ht="28" spans="1:13">
      <c r="A904" s="178" t="str">
        <f t="shared" si="14"/>
        <v>Strategic Thinking|Department Head|1</v>
      </c>
      <c r="B904" s="57" t="s">
        <v>450</v>
      </c>
      <c r="C904" s="177" t="s">
        <v>655</v>
      </c>
      <c r="D904" s="177">
        <v>1</v>
      </c>
      <c r="E904" s="177" t="s">
        <v>473</v>
      </c>
      <c r="F904" s="177">
        <v>3</v>
      </c>
      <c r="G904" s="57" t="s">
        <v>6000</v>
      </c>
      <c r="H904" s="57" t="s">
        <v>6001</v>
      </c>
      <c r="I904" s="57" t="s">
        <v>6002</v>
      </c>
      <c r="J904" s="57" t="s">
        <v>6003</v>
      </c>
      <c r="K904" s="57" t="s">
        <v>6004</v>
      </c>
      <c r="L904" s="57" t="s">
        <v>6005</v>
      </c>
      <c r="M904" s="57" t="s">
        <v>6006</v>
      </c>
    </row>
    <row r="905" ht="28" spans="1:13">
      <c r="A905" s="178" t="str">
        <f t="shared" si="14"/>
        <v>Strategic Thinking|Department Head|2</v>
      </c>
      <c r="B905" s="57" t="s">
        <v>450</v>
      </c>
      <c r="C905" s="177" t="s">
        <v>655</v>
      </c>
      <c r="D905" s="177">
        <v>2</v>
      </c>
      <c r="E905" s="177" t="s">
        <v>491</v>
      </c>
      <c r="F905" s="177">
        <v>1</v>
      </c>
      <c r="G905" s="57" t="s">
        <v>6007</v>
      </c>
      <c r="H905" s="57" t="s">
        <v>6008</v>
      </c>
      <c r="I905" s="57" t="s">
        <v>6009</v>
      </c>
      <c r="J905" s="57" t="s">
        <v>6010</v>
      </c>
      <c r="K905" s="57" t="s">
        <v>6011</v>
      </c>
      <c r="L905" s="57" t="s">
        <v>6012</v>
      </c>
      <c r="M905" s="57" t="s">
        <v>6013</v>
      </c>
    </row>
    <row r="906" ht="28" spans="1:13">
      <c r="A906" s="178" t="str">
        <f t="shared" si="14"/>
        <v>Strategic Thinking|Department Head|2</v>
      </c>
      <c r="B906" s="57" t="s">
        <v>450</v>
      </c>
      <c r="C906" s="177" t="s">
        <v>655</v>
      </c>
      <c r="D906" s="177">
        <v>2</v>
      </c>
      <c r="E906" s="177" t="s">
        <v>491</v>
      </c>
      <c r="F906" s="177">
        <v>2</v>
      </c>
      <c r="G906" s="57" t="s">
        <v>6014</v>
      </c>
      <c r="H906" s="57" t="s">
        <v>6015</v>
      </c>
      <c r="I906" s="57" t="s">
        <v>6016</v>
      </c>
      <c r="J906" s="57" t="s">
        <v>6017</v>
      </c>
      <c r="K906" s="57" t="s">
        <v>6018</v>
      </c>
      <c r="L906" s="57" t="s">
        <v>6019</v>
      </c>
      <c r="M906" s="57" t="s">
        <v>6020</v>
      </c>
    </row>
    <row r="907" ht="28" spans="1:13">
      <c r="A907" s="178" t="str">
        <f t="shared" si="14"/>
        <v>Strategic Thinking|Department Head|2</v>
      </c>
      <c r="B907" s="57" t="s">
        <v>450</v>
      </c>
      <c r="C907" s="177" t="s">
        <v>655</v>
      </c>
      <c r="D907" s="177">
        <v>2</v>
      </c>
      <c r="E907" s="177" t="s">
        <v>491</v>
      </c>
      <c r="F907" s="177">
        <v>3</v>
      </c>
      <c r="G907" s="57" t="s">
        <v>6021</v>
      </c>
      <c r="H907" s="57" t="s">
        <v>6022</v>
      </c>
      <c r="I907" s="57" t="s">
        <v>6023</v>
      </c>
      <c r="J907" s="57" t="s">
        <v>6024</v>
      </c>
      <c r="K907" s="57" t="s">
        <v>6025</v>
      </c>
      <c r="L907" s="57" t="s">
        <v>6026</v>
      </c>
      <c r="M907" s="57" t="s">
        <v>6027</v>
      </c>
    </row>
    <row r="908" ht="28" spans="1:13">
      <c r="A908" s="178" t="str">
        <f t="shared" si="14"/>
        <v>Strategic Thinking|Department Head|3</v>
      </c>
      <c r="B908" s="57" t="s">
        <v>450</v>
      </c>
      <c r="C908" s="177" t="s">
        <v>655</v>
      </c>
      <c r="D908" s="177">
        <v>3</v>
      </c>
      <c r="E908" s="177" t="s">
        <v>507</v>
      </c>
      <c r="F908" s="177">
        <v>1</v>
      </c>
      <c r="G908" s="57" t="s">
        <v>6028</v>
      </c>
      <c r="H908" s="57" t="s">
        <v>6029</v>
      </c>
      <c r="I908" s="57" t="s">
        <v>6030</v>
      </c>
      <c r="J908" s="57" t="s">
        <v>6031</v>
      </c>
      <c r="K908" s="57" t="s">
        <v>6032</v>
      </c>
      <c r="L908" s="57" t="s">
        <v>6033</v>
      </c>
      <c r="M908" s="57" t="s">
        <v>6034</v>
      </c>
    </row>
    <row r="909" ht="28" spans="1:13">
      <c r="A909" s="178" t="str">
        <f t="shared" si="14"/>
        <v>Strategic Thinking|Department Head|3</v>
      </c>
      <c r="B909" s="57" t="s">
        <v>450</v>
      </c>
      <c r="C909" s="177" t="s">
        <v>655</v>
      </c>
      <c r="D909" s="177">
        <v>3</v>
      </c>
      <c r="E909" s="177" t="s">
        <v>507</v>
      </c>
      <c r="F909" s="177">
        <v>2</v>
      </c>
      <c r="G909" s="57" t="s">
        <v>6035</v>
      </c>
      <c r="H909" s="57" t="s">
        <v>6036</v>
      </c>
      <c r="I909" s="57" t="s">
        <v>6037</v>
      </c>
      <c r="J909" s="57" t="s">
        <v>6038</v>
      </c>
      <c r="K909" s="57" t="s">
        <v>6039</v>
      </c>
      <c r="L909" s="57" t="s">
        <v>6040</v>
      </c>
      <c r="M909" s="57" t="s">
        <v>6041</v>
      </c>
    </row>
    <row r="910" ht="28" spans="1:13">
      <c r="A910" s="178" t="str">
        <f t="shared" si="14"/>
        <v>Strategic Thinking|Department Head|3</v>
      </c>
      <c r="B910" s="57" t="s">
        <v>450</v>
      </c>
      <c r="C910" s="177" t="s">
        <v>655</v>
      </c>
      <c r="D910" s="177">
        <v>3</v>
      </c>
      <c r="E910" s="177" t="s">
        <v>507</v>
      </c>
      <c r="F910" s="177">
        <v>3</v>
      </c>
      <c r="G910" s="57" t="s">
        <v>6042</v>
      </c>
      <c r="H910" s="57" t="s">
        <v>6043</v>
      </c>
      <c r="I910" s="57" t="s">
        <v>6044</v>
      </c>
      <c r="J910" s="57" t="s">
        <v>6045</v>
      </c>
      <c r="K910" s="57" t="s">
        <v>6046</v>
      </c>
      <c r="L910" s="57" t="s">
        <v>6047</v>
      </c>
      <c r="M910" s="57" t="s">
        <v>6048</v>
      </c>
    </row>
    <row r="911" ht="28" spans="1:13">
      <c r="A911" s="178" t="str">
        <f t="shared" si="14"/>
        <v>Strategic Thinking|Department Head|4</v>
      </c>
      <c r="B911" s="57" t="s">
        <v>450</v>
      </c>
      <c r="C911" s="177" t="s">
        <v>655</v>
      </c>
      <c r="D911" s="177">
        <v>4</v>
      </c>
      <c r="E911" s="177" t="s">
        <v>523</v>
      </c>
      <c r="F911" s="177">
        <v>1</v>
      </c>
      <c r="G911" s="57" t="s">
        <v>6049</v>
      </c>
      <c r="H911" s="57" t="s">
        <v>6050</v>
      </c>
      <c r="I911" s="57" t="s">
        <v>6051</v>
      </c>
      <c r="J911" s="57" t="s">
        <v>6052</v>
      </c>
      <c r="K911" s="57" t="s">
        <v>6053</v>
      </c>
      <c r="L911" s="57" t="s">
        <v>6054</v>
      </c>
      <c r="M911" s="57" t="s">
        <v>6055</v>
      </c>
    </row>
    <row r="912" ht="28" spans="1:13">
      <c r="A912" s="178" t="str">
        <f t="shared" si="14"/>
        <v>Strategic Thinking|Department Head|4</v>
      </c>
      <c r="B912" s="57" t="s">
        <v>450</v>
      </c>
      <c r="C912" s="177" t="s">
        <v>655</v>
      </c>
      <c r="D912" s="177">
        <v>4</v>
      </c>
      <c r="E912" s="177" t="s">
        <v>523</v>
      </c>
      <c r="F912" s="177">
        <v>2</v>
      </c>
      <c r="G912" s="57" t="s">
        <v>6056</v>
      </c>
      <c r="H912" s="57" t="s">
        <v>6057</v>
      </c>
      <c r="I912" s="57" t="s">
        <v>6058</v>
      </c>
      <c r="J912" s="57" t="s">
        <v>6059</v>
      </c>
      <c r="K912" s="57" t="s">
        <v>6060</v>
      </c>
      <c r="L912" s="57" t="s">
        <v>6061</v>
      </c>
      <c r="M912" s="57" t="s">
        <v>6062</v>
      </c>
    </row>
    <row r="913" ht="28" spans="1:13">
      <c r="A913" s="178" t="str">
        <f t="shared" si="14"/>
        <v>Strategic Thinking|Department Head|4</v>
      </c>
      <c r="B913" s="57" t="s">
        <v>450</v>
      </c>
      <c r="C913" s="177" t="s">
        <v>655</v>
      </c>
      <c r="D913" s="177">
        <v>4</v>
      </c>
      <c r="E913" s="177" t="s">
        <v>523</v>
      </c>
      <c r="F913" s="177">
        <v>3</v>
      </c>
      <c r="G913" s="57" t="s">
        <v>6063</v>
      </c>
      <c r="H913" s="57" t="s">
        <v>6064</v>
      </c>
      <c r="I913" s="57" t="s">
        <v>6065</v>
      </c>
      <c r="J913" s="57" t="s">
        <v>6066</v>
      </c>
      <c r="K913" s="57" t="s">
        <v>6067</v>
      </c>
      <c r="L913" s="57" t="s">
        <v>6068</v>
      </c>
      <c r="M913" s="57" t="s">
        <v>6069</v>
      </c>
    </row>
    <row r="914" ht="28" spans="1:13">
      <c r="A914" s="178" t="str">
        <f t="shared" si="14"/>
        <v>Strategic Thinking|Division Head|1</v>
      </c>
      <c r="B914" s="57" t="s">
        <v>450</v>
      </c>
      <c r="C914" s="177" t="s">
        <v>712</v>
      </c>
      <c r="D914" s="177">
        <v>1</v>
      </c>
      <c r="E914" s="177" t="s">
        <v>473</v>
      </c>
      <c r="F914" s="177">
        <v>1</v>
      </c>
      <c r="G914" s="57" t="s">
        <v>6070</v>
      </c>
      <c r="H914" s="57" t="s">
        <v>6071</v>
      </c>
      <c r="I914" s="57" t="s">
        <v>6072</v>
      </c>
      <c r="J914" s="57" t="s">
        <v>6073</v>
      </c>
      <c r="K914" s="57" t="s">
        <v>6074</v>
      </c>
      <c r="L914" s="57" t="s">
        <v>6075</v>
      </c>
      <c r="M914" s="57" t="s">
        <v>6076</v>
      </c>
    </row>
    <row r="915" ht="28" spans="1:13">
      <c r="A915" s="178" t="str">
        <f t="shared" si="14"/>
        <v>Strategic Thinking|Division Head|1</v>
      </c>
      <c r="B915" s="57" t="s">
        <v>450</v>
      </c>
      <c r="C915" s="177" t="s">
        <v>712</v>
      </c>
      <c r="D915" s="177">
        <v>1</v>
      </c>
      <c r="E915" s="177" t="s">
        <v>473</v>
      </c>
      <c r="F915" s="177">
        <v>2</v>
      </c>
      <c r="G915" s="57" t="s">
        <v>6077</v>
      </c>
      <c r="H915" s="57" t="s">
        <v>6078</v>
      </c>
      <c r="I915" s="57" t="s">
        <v>6079</v>
      </c>
      <c r="J915" s="57" t="s">
        <v>6080</v>
      </c>
      <c r="K915" s="57" t="s">
        <v>6081</v>
      </c>
      <c r="L915" s="57" t="s">
        <v>6082</v>
      </c>
      <c r="M915" s="57" t="s">
        <v>6083</v>
      </c>
    </row>
    <row r="916" ht="28" spans="1:13">
      <c r="A916" s="178" t="str">
        <f t="shared" si="14"/>
        <v>Strategic Thinking|Division Head|1</v>
      </c>
      <c r="B916" s="57" t="s">
        <v>450</v>
      </c>
      <c r="C916" s="177" t="s">
        <v>712</v>
      </c>
      <c r="D916" s="177">
        <v>1</v>
      </c>
      <c r="E916" s="177" t="s">
        <v>473</v>
      </c>
      <c r="F916" s="177">
        <v>3</v>
      </c>
      <c r="G916" s="57" t="s">
        <v>6084</v>
      </c>
      <c r="H916" s="57" t="s">
        <v>6085</v>
      </c>
      <c r="I916" s="57" t="s">
        <v>6086</v>
      </c>
      <c r="J916" s="57" t="s">
        <v>6087</v>
      </c>
      <c r="K916" s="57" t="s">
        <v>6088</v>
      </c>
      <c r="L916" s="57" t="s">
        <v>6089</v>
      </c>
      <c r="M916" s="57" t="s">
        <v>6090</v>
      </c>
    </row>
    <row r="917" ht="28" spans="1:13">
      <c r="A917" s="178" t="str">
        <f t="shared" si="14"/>
        <v>Strategic Thinking|Division Head|2</v>
      </c>
      <c r="B917" s="57" t="s">
        <v>450</v>
      </c>
      <c r="C917" s="177" t="s">
        <v>712</v>
      </c>
      <c r="D917" s="177">
        <v>2</v>
      </c>
      <c r="E917" s="177" t="s">
        <v>491</v>
      </c>
      <c r="F917" s="177">
        <v>1</v>
      </c>
      <c r="G917" s="57" t="s">
        <v>6091</v>
      </c>
      <c r="H917" s="57" t="s">
        <v>6092</v>
      </c>
      <c r="I917" s="57" t="s">
        <v>6093</v>
      </c>
      <c r="J917" s="57" t="s">
        <v>6094</v>
      </c>
      <c r="K917" s="57" t="s">
        <v>6095</v>
      </c>
      <c r="L917" s="57" t="s">
        <v>6096</v>
      </c>
      <c r="M917" s="57" t="s">
        <v>6097</v>
      </c>
    </row>
    <row r="918" ht="28" spans="1:13">
      <c r="A918" s="178" t="str">
        <f t="shared" si="14"/>
        <v>Strategic Thinking|Division Head|2</v>
      </c>
      <c r="B918" s="57" t="s">
        <v>450</v>
      </c>
      <c r="C918" s="177" t="s">
        <v>712</v>
      </c>
      <c r="D918" s="177">
        <v>2</v>
      </c>
      <c r="E918" s="177" t="s">
        <v>491</v>
      </c>
      <c r="F918" s="177">
        <v>2</v>
      </c>
      <c r="G918" s="57" t="s">
        <v>6098</v>
      </c>
      <c r="H918" s="57" t="s">
        <v>6099</v>
      </c>
      <c r="I918" s="57" t="s">
        <v>6100</v>
      </c>
      <c r="J918" s="57" t="s">
        <v>6101</v>
      </c>
      <c r="K918" s="57" t="s">
        <v>6102</v>
      </c>
      <c r="L918" s="57" t="s">
        <v>6103</v>
      </c>
      <c r="M918" s="57" t="s">
        <v>6104</v>
      </c>
    </row>
    <row r="919" ht="28" spans="1:13">
      <c r="A919" s="178" t="str">
        <f t="shared" si="14"/>
        <v>Strategic Thinking|Division Head|2</v>
      </c>
      <c r="B919" s="57" t="s">
        <v>450</v>
      </c>
      <c r="C919" s="177" t="s">
        <v>712</v>
      </c>
      <c r="D919" s="177">
        <v>2</v>
      </c>
      <c r="E919" s="177" t="s">
        <v>491</v>
      </c>
      <c r="F919" s="177">
        <v>3</v>
      </c>
      <c r="G919" s="57" t="s">
        <v>6105</v>
      </c>
      <c r="H919" s="57" t="s">
        <v>6106</v>
      </c>
      <c r="I919" s="57" t="s">
        <v>6107</v>
      </c>
      <c r="J919" s="57" t="s">
        <v>6108</v>
      </c>
      <c r="K919" s="57" t="s">
        <v>6109</v>
      </c>
      <c r="L919" s="57" t="s">
        <v>6110</v>
      </c>
      <c r="M919" s="57" t="s">
        <v>6111</v>
      </c>
    </row>
    <row r="920" ht="28" spans="1:13">
      <c r="A920" s="178" t="str">
        <f t="shared" si="14"/>
        <v>Strategic Thinking|Division Head|3</v>
      </c>
      <c r="B920" s="57" t="s">
        <v>450</v>
      </c>
      <c r="C920" s="177" t="s">
        <v>712</v>
      </c>
      <c r="D920" s="177">
        <v>3</v>
      </c>
      <c r="E920" s="177" t="s">
        <v>507</v>
      </c>
      <c r="F920" s="177">
        <v>1</v>
      </c>
      <c r="G920" s="57" t="s">
        <v>6112</v>
      </c>
      <c r="H920" s="57" t="s">
        <v>6113</v>
      </c>
      <c r="I920" s="57" t="s">
        <v>6114</v>
      </c>
      <c r="J920" s="57" t="s">
        <v>6115</v>
      </c>
      <c r="K920" s="57" t="s">
        <v>6116</v>
      </c>
      <c r="L920" s="57" t="s">
        <v>6117</v>
      </c>
      <c r="M920" s="57" t="s">
        <v>6118</v>
      </c>
    </row>
    <row r="921" ht="28" spans="1:13">
      <c r="A921" s="178" t="str">
        <f t="shared" si="14"/>
        <v>Strategic Thinking|Division Head|3</v>
      </c>
      <c r="B921" s="57" t="s">
        <v>450</v>
      </c>
      <c r="C921" s="177" t="s">
        <v>712</v>
      </c>
      <c r="D921" s="177">
        <v>3</v>
      </c>
      <c r="E921" s="177" t="s">
        <v>507</v>
      </c>
      <c r="F921" s="177">
        <v>2</v>
      </c>
      <c r="G921" s="57" t="s">
        <v>6119</v>
      </c>
      <c r="H921" s="57" t="s">
        <v>6120</v>
      </c>
      <c r="I921" s="57" t="s">
        <v>6121</v>
      </c>
      <c r="J921" s="57" t="s">
        <v>6122</v>
      </c>
      <c r="K921" s="57" t="s">
        <v>6123</v>
      </c>
      <c r="L921" s="57" t="s">
        <v>6124</v>
      </c>
      <c r="M921" s="57" t="s">
        <v>6125</v>
      </c>
    </row>
    <row r="922" ht="28" spans="1:13">
      <c r="A922" s="178" t="str">
        <f t="shared" si="14"/>
        <v>Strategic Thinking|Division Head|3</v>
      </c>
      <c r="B922" s="57" t="s">
        <v>450</v>
      </c>
      <c r="C922" s="177" t="s">
        <v>712</v>
      </c>
      <c r="D922" s="177">
        <v>3</v>
      </c>
      <c r="E922" s="177" t="s">
        <v>507</v>
      </c>
      <c r="F922" s="177">
        <v>3</v>
      </c>
      <c r="G922" s="57" t="s">
        <v>6126</v>
      </c>
      <c r="H922" s="57" t="s">
        <v>6127</v>
      </c>
      <c r="I922" s="57" t="s">
        <v>6128</v>
      </c>
      <c r="J922" s="57" t="s">
        <v>6129</v>
      </c>
      <c r="K922" s="57" t="s">
        <v>6130</v>
      </c>
      <c r="L922" s="57" t="s">
        <v>6131</v>
      </c>
      <c r="M922" s="57" t="s">
        <v>6132</v>
      </c>
    </row>
    <row r="923" ht="28" spans="1:13">
      <c r="A923" s="178" t="str">
        <f t="shared" si="14"/>
        <v>Strategic Thinking|Division Head|4</v>
      </c>
      <c r="B923" s="57" t="s">
        <v>450</v>
      </c>
      <c r="C923" s="177" t="s">
        <v>712</v>
      </c>
      <c r="D923" s="177">
        <v>4</v>
      </c>
      <c r="E923" s="177" t="s">
        <v>523</v>
      </c>
      <c r="F923" s="177">
        <v>1</v>
      </c>
      <c r="G923" s="57" t="s">
        <v>6133</v>
      </c>
      <c r="H923" s="57" t="s">
        <v>6134</v>
      </c>
      <c r="I923" s="57" t="s">
        <v>6135</v>
      </c>
      <c r="J923" s="57" t="s">
        <v>6136</v>
      </c>
      <c r="K923" s="57" t="s">
        <v>6137</v>
      </c>
      <c r="L923" s="57" t="s">
        <v>6138</v>
      </c>
      <c r="M923" s="57" t="s">
        <v>6139</v>
      </c>
    </row>
    <row r="924" ht="28" spans="1:13">
      <c r="A924" s="178" t="str">
        <f t="shared" si="14"/>
        <v>Strategic Thinking|Division Head|4</v>
      </c>
      <c r="B924" s="57" t="s">
        <v>450</v>
      </c>
      <c r="C924" s="177" t="s">
        <v>712</v>
      </c>
      <c r="D924" s="177">
        <v>4</v>
      </c>
      <c r="E924" s="177" t="s">
        <v>523</v>
      </c>
      <c r="F924" s="177">
        <v>2</v>
      </c>
      <c r="G924" s="57" t="s">
        <v>6140</v>
      </c>
      <c r="H924" s="57" t="s">
        <v>6141</v>
      </c>
      <c r="I924" s="57" t="s">
        <v>6142</v>
      </c>
      <c r="J924" s="57" t="s">
        <v>6143</v>
      </c>
      <c r="K924" s="57" t="s">
        <v>6144</v>
      </c>
      <c r="L924" s="57" t="s">
        <v>6145</v>
      </c>
      <c r="M924" s="57" t="s">
        <v>6146</v>
      </c>
    </row>
    <row r="925" ht="28" spans="1:13">
      <c r="A925" s="178" t="str">
        <f t="shared" si="14"/>
        <v>Strategic Thinking|Division Head|4</v>
      </c>
      <c r="B925" s="57" t="s">
        <v>450</v>
      </c>
      <c r="C925" s="177" t="s">
        <v>712</v>
      </c>
      <c r="D925" s="177">
        <v>4</v>
      </c>
      <c r="E925" s="177" t="s">
        <v>523</v>
      </c>
      <c r="F925" s="177">
        <v>3</v>
      </c>
      <c r="G925" s="57" t="s">
        <v>6147</v>
      </c>
      <c r="H925" s="57" t="s">
        <v>6148</v>
      </c>
      <c r="I925" s="57" t="s">
        <v>6149</v>
      </c>
      <c r="J925" s="57" t="s">
        <v>6150</v>
      </c>
      <c r="K925" s="57" t="s">
        <v>6151</v>
      </c>
      <c r="L925" s="57" t="s">
        <v>6152</v>
      </c>
      <c r="M925" s="57" t="s">
        <v>6153</v>
      </c>
    </row>
    <row r="926" ht="28" spans="1:13">
      <c r="A926" s="178" t="str">
        <f t="shared" si="14"/>
        <v>Strategic Thinking|Director|1</v>
      </c>
      <c r="B926" s="57" t="s">
        <v>450</v>
      </c>
      <c r="C926" s="177" t="s">
        <v>773</v>
      </c>
      <c r="D926" s="177">
        <v>1</v>
      </c>
      <c r="E926" s="177" t="s">
        <v>473</v>
      </c>
      <c r="F926" s="177">
        <v>1</v>
      </c>
      <c r="G926" s="57" t="s">
        <v>6154</v>
      </c>
      <c r="H926" s="57" t="s">
        <v>6155</v>
      </c>
      <c r="I926" s="57" t="s">
        <v>6156</v>
      </c>
      <c r="J926" s="57" t="s">
        <v>6157</v>
      </c>
      <c r="K926" s="57" t="s">
        <v>6158</v>
      </c>
      <c r="L926" s="57" t="s">
        <v>6159</v>
      </c>
      <c r="M926" s="57" t="s">
        <v>6160</v>
      </c>
    </row>
    <row r="927" ht="28" spans="1:13">
      <c r="A927" s="178" t="str">
        <f t="shared" si="14"/>
        <v>Strategic Thinking|Director|1</v>
      </c>
      <c r="B927" s="57" t="s">
        <v>450</v>
      </c>
      <c r="C927" s="177" t="s">
        <v>773</v>
      </c>
      <c r="D927" s="177">
        <v>1</v>
      </c>
      <c r="E927" s="177" t="s">
        <v>473</v>
      </c>
      <c r="F927" s="177">
        <v>2</v>
      </c>
      <c r="G927" s="57" t="s">
        <v>6161</v>
      </c>
      <c r="H927" s="57" t="s">
        <v>6162</v>
      </c>
      <c r="I927" s="57" t="s">
        <v>6163</v>
      </c>
      <c r="J927" s="57" t="s">
        <v>6164</v>
      </c>
      <c r="K927" s="57" t="s">
        <v>6165</v>
      </c>
      <c r="L927" s="57" t="s">
        <v>6166</v>
      </c>
      <c r="M927" s="57" t="s">
        <v>6167</v>
      </c>
    </row>
    <row r="928" ht="28" spans="1:13">
      <c r="A928" s="178" t="str">
        <f t="shared" si="14"/>
        <v>Strategic Thinking|Director|1</v>
      </c>
      <c r="B928" s="57" t="s">
        <v>450</v>
      </c>
      <c r="C928" s="177" t="s">
        <v>773</v>
      </c>
      <c r="D928" s="177">
        <v>1</v>
      </c>
      <c r="E928" s="177" t="s">
        <v>473</v>
      </c>
      <c r="F928" s="177">
        <v>3</v>
      </c>
      <c r="G928" s="57" t="s">
        <v>6168</v>
      </c>
      <c r="H928" s="57" t="s">
        <v>6169</v>
      </c>
      <c r="I928" s="57" t="s">
        <v>6170</v>
      </c>
      <c r="J928" s="57" t="s">
        <v>6171</v>
      </c>
      <c r="K928" s="57" t="s">
        <v>6172</v>
      </c>
      <c r="L928" s="57" t="s">
        <v>6173</v>
      </c>
      <c r="M928" s="57" t="s">
        <v>6174</v>
      </c>
    </row>
    <row r="929" ht="28" spans="1:13">
      <c r="A929" s="178" t="str">
        <f t="shared" si="14"/>
        <v>Strategic Thinking|Director|2</v>
      </c>
      <c r="B929" s="57" t="s">
        <v>450</v>
      </c>
      <c r="C929" s="177" t="s">
        <v>773</v>
      </c>
      <c r="D929" s="177">
        <v>2</v>
      </c>
      <c r="E929" s="177" t="s">
        <v>491</v>
      </c>
      <c r="F929" s="177">
        <v>1</v>
      </c>
      <c r="G929" s="57" t="s">
        <v>6175</v>
      </c>
      <c r="H929" s="57" t="s">
        <v>6176</v>
      </c>
      <c r="I929" s="57" t="s">
        <v>6177</v>
      </c>
      <c r="J929" s="57" t="s">
        <v>6178</v>
      </c>
      <c r="K929" s="57" t="s">
        <v>6179</v>
      </c>
      <c r="L929" s="57" t="s">
        <v>6180</v>
      </c>
      <c r="M929" s="57" t="s">
        <v>6181</v>
      </c>
    </row>
    <row r="930" ht="28" spans="1:13">
      <c r="A930" s="178" t="str">
        <f t="shared" si="14"/>
        <v>Strategic Thinking|Director|2</v>
      </c>
      <c r="B930" s="57" t="s">
        <v>450</v>
      </c>
      <c r="C930" s="177" t="s">
        <v>773</v>
      </c>
      <c r="D930" s="177">
        <v>2</v>
      </c>
      <c r="E930" s="177" t="s">
        <v>491</v>
      </c>
      <c r="F930" s="177">
        <v>2</v>
      </c>
      <c r="G930" s="57" t="s">
        <v>6182</v>
      </c>
      <c r="H930" s="57" t="s">
        <v>6183</v>
      </c>
      <c r="I930" s="57" t="s">
        <v>6184</v>
      </c>
      <c r="J930" s="57" t="s">
        <v>6185</v>
      </c>
      <c r="K930" s="57" t="s">
        <v>6186</v>
      </c>
      <c r="L930" s="57" t="s">
        <v>6187</v>
      </c>
      <c r="M930" s="57" t="s">
        <v>6188</v>
      </c>
    </row>
    <row r="931" ht="28" spans="1:13">
      <c r="A931" s="178" t="str">
        <f t="shared" si="14"/>
        <v>Strategic Thinking|Director|2</v>
      </c>
      <c r="B931" s="57" t="s">
        <v>450</v>
      </c>
      <c r="C931" s="177" t="s">
        <v>773</v>
      </c>
      <c r="D931" s="177">
        <v>2</v>
      </c>
      <c r="E931" s="177" t="s">
        <v>491</v>
      </c>
      <c r="F931" s="177">
        <v>3</v>
      </c>
      <c r="G931" s="57" t="s">
        <v>6189</v>
      </c>
      <c r="H931" s="57" t="s">
        <v>6190</v>
      </c>
      <c r="I931" s="57" t="s">
        <v>6191</v>
      </c>
      <c r="J931" s="57" t="s">
        <v>6192</v>
      </c>
      <c r="K931" s="57" t="s">
        <v>6193</v>
      </c>
      <c r="L931" s="57" t="s">
        <v>6194</v>
      </c>
      <c r="M931" s="57" t="s">
        <v>6195</v>
      </c>
    </row>
    <row r="932" ht="28" spans="1:13">
      <c r="A932" s="178" t="str">
        <f t="shared" si="14"/>
        <v>Strategic Thinking|Director|3</v>
      </c>
      <c r="B932" s="57" t="s">
        <v>450</v>
      </c>
      <c r="C932" s="177" t="s">
        <v>773</v>
      </c>
      <c r="D932" s="177">
        <v>3</v>
      </c>
      <c r="E932" s="177" t="s">
        <v>507</v>
      </c>
      <c r="F932" s="177">
        <v>1</v>
      </c>
      <c r="G932" s="57" t="s">
        <v>6196</v>
      </c>
      <c r="H932" s="57" t="s">
        <v>6197</v>
      </c>
      <c r="I932" s="57" t="s">
        <v>6198</v>
      </c>
      <c r="J932" s="57" t="s">
        <v>6199</v>
      </c>
      <c r="K932" s="57" t="s">
        <v>6200</v>
      </c>
      <c r="L932" s="57" t="s">
        <v>6201</v>
      </c>
      <c r="M932" s="57" t="s">
        <v>6202</v>
      </c>
    </row>
    <row r="933" ht="28" spans="1:13">
      <c r="A933" s="178" t="str">
        <f t="shared" si="14"/>
        <v>Strategic Thinking|Director|3</v>
      </c>
      <c r="B933" s="57" t="s">
        <v>450</v>
      </c>
      <c r="C933" s="177" t="s">
        <v>773</v>
      </c>
      <c r="D933" s="177">
        <v>3</v>
      </c>
      <c r="E933" s="177" t="s">
        <v>507</v>
      </c>
      <c r="F933" s="177">
        <v>2</v>
      </c>
      <c r="G933" s="57" t="s">
        <v>6203</v>
      </c>
      <c r="H933" s="57" t="s">
        <v>6204</v>
      </c>
      <c r="I933" s="57" t="s">
        <v>6205</v>
      </c>
      <c r="J933" s="57" t="s">
        <v>6206</v>
      </c>
      <c r="K933" s="57" t="s">
        <v>6207</v>
      </c>
      <c r="L933" s="57" t="s">
        <v>6208</v>
      </c>
      <c r="M933" s="57" t="s">
        <v>6209</v>
      </c>
    </row>
    <row r="934" ht="28" spans="1:13">
      <c r="A934" s="178" t="str">
        <f t="shared" si="14"/>
        <v>Strategic Thinking|Director|3</v>
      </c>
      <c r="B934" s="57" t="s">
        <v>450</v>
      </c>
      <c r="C934" s="177" t="s">
        <v>773</v>
      </c>
      <c r="D934" s="177">
        <v>3</v>
      </c>
      <c r="E934" s="177" t="s">
        <v>507</v>
      </c>
      <c r="F934" s="177">
        <v>3</v>
      </c>
      <c r="G934" s="57" t="s">
        <v>6210</v>
      </c>
      <c r="H934" s="57" t="s">
        <v>6211</v>
      </c>
      <c r="I934" s="57" t="s">
        <v>6212</v>
      </c>
      <c r="J934" s="57" t="s">
        <v>6213</v>
      </c>
      <c r="K934" s="57" t="s">
        <v>6214</v>
      </c>
      <c r="L934" s="57" t="s">
        <v>6215</v>
      </c>
      <c r="M934" s="57" t="s">
        <v>6216</v>
      </c>
    </row>
    <row r="935" ht="28" spans="1:13">
      <c r="A935" s="178" t="str">
        <f t="shared" si="14"/>
        <v>Strategic Thinking|Director|4</v>
      </c>
      <c r="B935" s="57" t="s">
        <v>450</v>
      </c>
      <c r="C935" s="177" t="s">
        <v>773</v>
      </c>
      <c r="D935" s="177">
        <v>4</v>
      </c>
      <c r="E935" s="177" t="s">
        <v>523</v>
      </c>
      <c r="F935" s="177">
        <v>1</v>
      </c>
      <c r="G935" s="57" t="s">
        <v>6217</v>
      </c>
      <c r="H935" s="57" t="s">
        <v>6218</v>
      </c>
      <c r="I935" s="57" t="s">
        <v>6219</v>
      </c>
      <c r="J935" s="57" t="s">
        <v>6220</v>
      </c>
      <c r="K935" s="57" t="s">
        <v>6221</v>
      </c>
      <c r="L935" s="57" t="s">
        <v>6222</v>
      </c>
      <c r="M935" s="57" t="s">
        <v>6223</v>
      </c>
    </row>
    <row r="936" ht="28" spans="1:13">
      <c r="A936" s="178" t="str">
        <f t="shared" si="14"/>
        <v>Strategic Thinking|Director|4</v>
      </c>
      <c r="B936" s="57" t="s">
        <v>450</v>
      </c>
      <c r="C936" s="177" t="s">
        <v>773</v>
      </c>
      <c r="D936" s="177">
        <v>4</v>
      </c>
      <c r="E936" s="177" t="s">
        <v>523</v>
      </c>
      <c r="F936" s="177">
        <v>2</v>
      </c>
      <c r="G936" s="57" t="s">
        <v>6224</v>
      </c>
      <c r="H936" s="57" t="s">
        <v>6225</v>
      </c>
      <c r="I936" s="57" t="s">
        <v>6226</v>
      </c>
      <c r="J936" s="57" t="s">
        <v>6227</v>
      </c>
      <c r="K936" s="57" t="s">
        <v>6228</v>
      </c>
      <c r="L936" s="57" t="s">
        <v>6229</v>
      </c>
      <c r="M936" s="57" t="s">
        <v>6230</v>
      </c>
    </row>
    <row r="937" ht="28" spans="1:13">
      <c r="A937" s="178" t="str">
        <f t="shared" si="14"/>
        <v>Strategic Thinking|Director|4</v>
      </c>
      <c r="B937" s="57" t="s">
        <v>450</v>
      </c>
      <c r="C937" s="177" t="s">
        <v>773</v>
      </c>
      <c r="D937" s="177">
        <v>4</v>
      </c>
      <c r="E937" s="177" t="s">
        <v>523</v>
      </c>
      <c r="F937" s="177">
        <v>3</v>
      </c>
      <c r="G937" s="57" t="s">
        <v>6231</v>
      </c>
      <c r="H937" s="57" t="s">
        <v>6232</v>
      </c>
      <c r="I937" s="57" t="s">
        <v>6233</v>
      </c>
      <c r="J937" s="57" t="s">
        <v>6234</v>
      </c>
      <c r="K937" s="57" t="s">
        <v>6235</v>
      </c>
      <c r="L937" s="57" t="s">
        <v>6236</v>
      </c>
      <c r="M937" s="57" t="s">
        <v>6237</v>
      </c>
    </row>
    <row r="938" ht="28" spans="1:13">
      <c r="A938" s="178" t="str">
        <f t="shared" si="14"/>
        <v>Conceptual Thinking|Officer|1</v>
      </c>
      <c r="B938" s="57" t="s">
        <v>451</v>
      </c>
      <c r="C938" s="177" t="s">
        <v>6</v>
      </c>
      <c r="D938" s="177">
        <v>1</v>
      </c>
      <c r="E938" s="177" t="s">
        <v>473</v>
      </c>
      <c r="F938" s="177">
        <v>1</v>
      </c>
      <c r="G938" s="57" t="s">
        <v>6238</v>
      </c>
      <c r="H938" s="57" t="s">
        <v>6239</v>
      </c>
      <c r="I938" s="57" t="s">
        <v>6240</v>
      </c>
      <c r="J938" s="57" t="s">
        <v>6241</v>
      </c>
      <c r="K938" s="57" t="s">
        <v>6242</v>
      </c>
      <c r="L938" s="57" t="s">
        <v>6243</v>
      </c>
      <c r="M938" s="57" t="s">
        <v>6244</v>
      </c>
    </row>
    <row r="939" ht="28" spans="1:13">
      <c r="A939" s="178" t="str">
        <f t="shared" si="14"/>
        <v>Conceptual Thinking|Officer|1</v>
      </c>
      <c r="B939" s="57" t="s">
        <v>451</v>
      </c>
      <c r="C939" s="177" t="s">
        <v>6</v>
      </c>
      <c r="D939" s="177">
        <v>1</v>
      </c>
      <c r="E939" s="177" t="s">
        <v>473</v>
      </c>
      <c r="F939" s="177">
        <v>2</v>
      </c>
      <c r="G939" s="57" t="s">
        <v>6245</v>
      </c>
      <c r="H939" s="57" t="s">
        <v>6246</v>
      </c>
      <c r="I939" s="57" t="s">
        <v>6247</v>
      </c>
      <c r="J939" s="57" t="s">
        <v>6248</v>
      </c>
      <c r="K939" s="57" t="s">
        <v>6249</v>
      </c>
      <c r="L939" s="57" t="s">
        <v>6250</v>
      </c>
      <c r="M939" s="57" t="s">
        <v>6251</v>
      </c>
    </row>
    <row r="940" ht="28" spans="1:13">
      <c r="A940" s="178" t="str">
        <f t="shared" si="14"/>
        <v>Conceptual Thinking|Officer|1</v>
      </c>
      <c r="B940" s="57" t="s">
        <v>451</v>
      </c>
      <c r="C940" s="177" t="s">
        <v>6</v>
      </c>
      <c r="D940" s="177">
        <v>1</v>
      </c>
      <c r="E940" s="177" t="s">
        <v>473</v>
      </c>
      <c r="F940" s="177">
        <v>3</v>
      </c>
      <c r="G940" s="57" t="s">
        <v>6252</v>
      </c>
      <c r="H940" s="57" t="s">
        <v>6253</v>
      </c>
      <c r="I940" s="57" t="s">
        <v>6254</v>
      </c>
      <c r="J940" s="57" t="s">
        <v>6255</v>
      </c>
      <c r="K940" s="57" t="s">
        <v>6256</v>
      </c>
      <c r="L940" s="57" t="s">
        <v>6257</v>
      </c>
      <c r="M940" s="57" t="s">
        <v>6258</v>
      </c>
    </row>
    <row r="941" ht="28" spans="1:13">
      <c r="A941" s="178" t="str">
        <f t="shared" si="14"/>
        <v>Conceptual Thinking|Officer|2</v>
      </c>
      <c r="B941" s="57" t="s">
        <v>451</v>
      </c>
      <c r="C941" s="177" t="s">
        <v>6</v>
      </c>
      <c r="D941" s="177">
        <v>2</v>
      </c>
      <c r="E941" s="177" t="s">
        <v>491</v>
      </c>
      <c r="F941" s="177">
        <v>1</v>
      </c>
      <c r="G941" s="57" t="s">
        <v>6259</v>
      </c>
      <c r="H941" s="57" t="s">
        <v>6260</v>
      </c>
      <c r="I941" s="57" t="s">
        <v>6261</v>
      </c>
      <c r="J941" s="57" t="s">
        <v>6262</v>
      </c>
      <c r="K941" s="57" t="s">
        <v>6263</v>
      </c>
      <c r="L941" s="57" t="s">
        <v>6264</v>
      </c>
      <c r="M941" s="57" t="s">
        <v>6265</v>
      </c>
    </row>
    <row r="942" ht="28" spans="1:13">
      <c r="A942" s="178" t="str">
        <f t="shared" si="14"/>
        <v>Conceptual Thinking|Officer|2</v>
      </c>
      <c r="B942" s="57" t="s">
        <v>451</v>
      </c>
      <c r="C942" s="177" t="s">
        <v>6</v>
      </c>
      <c r="D942" s="177">
        <v>2</v>
      </c>
      <c r="E942" s="177" t="s">
        <v>491</v>
      </c>
      <c r="F942" s="177">
        <v>2</v>
      </c>
      <c r="G942" s="57" t="s">
        <v>6266</v>
      </c>
      <c r="H942" s="57" t="s">
        <v>6267</v>
      </c>
      <c r="I942" s="57" t="s">
        <v>6268</v>
      </c>
      <c r="J942" s="57" t="s">
        <v>6269</v>
      </c>
      <c r="K942" s="57" t="s">
        <v>6270</v>
      </c>
      <c r="L942" s="57" t="s">
        <v>6271</v>
      </c>
      <c r="M942" s="57" t="s">
        <v>6272</v>
      </c>
    </row>
    <row r="943" ht="28" spans="1:13">
      <c r="A943" s="178" t="str">
        <f t="shared" si="14"/>
        <v>Conceptual Thinking|Officer|2</v>
      </c>
      <c r="B943" s="57" t="s">
        <v>451</v>
      </c>
      <c r="C943" s="177" t="s">
        <v>6</v>
      </c>
      <c r="D943" s="177">
        <v>2</v>
      </c>
      <c r="E943" s="177" t="s">
        <v>491</v>
      </c>
      <c r="F943" s="177">
        <v>3</v>
      </c>
      <c r="G943" s="57" t="s">
        <v>6273</v>
      </c>
      <c r="H943" s="57" t="s">
        <v>6274</v>
      </c>
      <c r="I943" s="57" t="s">
        <v>6275</v>
      </c>
      <c r="J943" s="57" t="s">
        <v>6276</v>
      </c>
      <c r="K943" s="57" t="s">
        <v>6277</v>
      </c>
      <c r="L943" s="57" t="s">
        <v>6278</v>
      </c>
      <c r="M943" s="57" t="s">
        <v>6279</v>
      </c>
    </row>
    <row r="944" ht="28" spans="1:13">
      <c r="A944" s="178" t="str">
        <f t="shared" si="14"/>
        <v>Conceptual Thinking|Officer|3</v>
      </c>
      <c r="B944" s="57" t="s">
        <v>451</v>
      </c>
      <c r="C944" s="177" t="s">
        <v>6</v>
      </c>
      <c r="D944" s="177">
        <v>3</v>
      </c>
      <c r="E944" s="177" t="s">
        <v>507</v>
      </c>
      <c r="F944" s="177">
        <v>1</v>
      </c>
      <c r="G944" s="57" t="s">
        <v>6280</v>
      </c>
      <c r="H944" s="57" t="s">
        <v>6281</v>
      </c>
      <c r="I944" s="57" t="s">
        <v>6282</v>
      </c>
      <c r="J944" s="57" t="s">
        <v>6283</v>
      </c>
      <c r="K944" s="57" t="s">
        <v>6284</v>
      </c>
      <c r="L944" s="57" t="s">
        <v>6285</v>
      </c>
      <c r="M944" s="57" t="s">
        <v>6286</v>
      </c>
    </row>
    <row r="945" ht="28" spans="1:13">
      <c r="A945" s="178" t="str">
        <f t="shared" si="14"/>
        <v>Conceptual Thinking|Officer|3</v>
      </c>
      <c r="B945" s="57" t="s">
        <v>451</v>
      </c>
      <c r="C945" s="177" t="s">
        <v>6</v>
      </c>
      <c r="D945" s="177">
        <v>3</v>
      </c>
      <c r="E945" s="177" t="s">
        <v>507</v>
      </c>
      <c r="F945" s="177">
        <v>2</v>
      </c>
      <c r="G945" s="57" t="s">
        <v>6287</v>
      </c>
      <c r="H945" s="57" t="s">
        <v>6288</v>
      </c>
      <c r="I945" s="57" t="s">
        <v>6289</v>
      </c>
      <c r="J945" s="57" t="s">
        <v>6290</v>
      </c>
      <c r="K945" s="57" t="s">
        <v>6291</v>
      </c>
      <c r="L945" s="57" t="s">
        <v>6292</v>
      </c>
      <c r="M945" s="57" t="s">
        <v>6293</v>
      </c>
    </row>
    <row r="946" ht="28" spans="1:13">
      <c r="A946" s="178" t="str">
        <f t="shared" si="14"/>
        <v>Conceptual Thinking|Officer|3</v>
      </c>
      <c r="B946" s="57" t="s">
        <v>451</v>
      </c>
      <c r="C946" s="177" t="s">
        <v>6</v>
      </c>
      <c r="D946" s="177">
        <v>3</v>
      </c>
      <c r="E946" s="177" t="s">
        <v>507</v>
      </c>
      <c r="F946" s="177">
        <v>3</v>
      </c>
      <c r="G946" s="57" t="s">
        <v>6294</v>
      </c>
      <c r="H946" s="57" t="s">
        <v>6295</v>
      </c>
      <c r="I946" s="57" t="s">
        <v>6296</v>
      </c>
      <c r="J946" s="57" t="s">
        <v>6297</v>
      </c>
      <c r="K946" s="57" t="s">
        <v>6298</v>
      </c>
      <c r="L946" s="57" t="s">
        <v>6299</v>
      </c>
      <c r="M946" s="57" t="s">
        <v>6300</v>
      </c>
    </row>
    <row r="947" ht="28" spans="1:13">
      <c r="A947" s="178" t="str">
        <f t="shared" si="14"/>
        <v>Conceptual Thinking|Officer|4</v>
      </c>
      <c r="B947" s="57" t="s">
        <v>451</v>
      </c>
      <c r="C947" s="177" t="s">
        <v>6</v>
      </c>
      <c r="D947" s="177">
        <v>4</v>
      </c>
      <c r="E947" s="177" t="s">
        <v>523</v>
      </c>
      <c r="F947" s="177">
        <v>1</v>
      </c>
      <c r="G947" s="57" t="s">
        <v>6301</v>
      </c>
      <c r="H947" s="57" t="s">
        <v>6302</v>
      </c>
      <c r="I947" s="57" t="s">
        <v>6303</v>
      </c>
      <c r="J947" s="57" t="s">
        <v>6304</v>
      </c>
      <c r="K947" s="57" t="s">
        <v>6305</v>
      </c>
      <c r="L947" s="57" t="s">
        <v>6306</v>
      </c>
      <c r="M947" s="57" t="s">
        <v>6307</v>
      </c>
    </row>
    <row r="948" ht="28" spans="1:13">
      <c r="A948" s="178" t="str">
        <f t="shared" si="14"/>
        <v>Conceptual Thinking|Officer|4</v>
      </c>
      <c r="B948" s="57" t="s">
        <v>451</v>
      </c>
      <c r="C948" s="177" t="s">
        <v>6</v>
      </c>
      <c r="D948" s="177">
        <v>4</v>
      </c>
      <c r="E948" s="177" t="s">
        <v>523</v>
      </c>
      <c r="F948" s="177">
        <v>2</v>
      </c>
      <c r="G948" s="57" t="s">
        <v>6308</v>
      </c>
      <c r="H948" s="57" t="s">
        <v>6309</v>
      </c>
      <c r="I948" s="57" t="s">
        <v>6310</v>
      </c>
      <c r="J948" s="57" t="s">
        <v>6311</v>
      </c>
      <c r="K948" s="57" t="s">
        <v>6312</v>
      </c>
      <c r="L948" s="57" t="s">
        <v>6313</v>
      </c>
      <c r="M948" s="57" t="s">
        <v>6314</v>
      </c>
    </row>
    <row r="949" ht="28" spans="1:13">
      <c r="A949" s="178" t="str">
        <f t="shared" si="14"/>
        <v>Conceptual Thinking|Officer|4</v>
      </c>
      <c r="B949" s="57" t="s">
        <v>451</v>
      </c>
      <c r="C949" s="177" t="s">
        <v>6</v>
      </c>
      <c r="D949" s="177">
        <v>4</v>
      </c>
      <c r="E949" s="177" t="s">
        <v>523</v>
      </c>
      <c r="F949" s="177">
        <v>3</v>
      </c>
      <c r="G949" s="57" t="s">
        <v>6315</v>
      </c>
      <c r="H949" s="57" t="s">
        <v>6316</v>
      </c>
      <c r="I949" s="57" t="s">
        <v>6317</v>
      </c>
      <c r="J949" s="57" t="s">
        <v>6318</v>
      </c>
      <c r="K949" s="57" t="s">
        <v>6319</v>
      </c>
      <c r="L949" s="57" t="s">
        <v>6320</v>
      </c>
      <c r="M949" s="57" t="s">
        <v>6321</v>
      </c>
    </row>
    <row r="950" ht="28" spans="1:13">
      <c r="A950" s="178" t="str">
        <f t="shared" si="14"/>
        <v>Conceptual Thinking|Analyst|1</v>
      </c>
      <c r="B950" s="57" t="s">
        <v>451</v>
      </c>
      <c r="C950" s="177" t="s">
        <v>8</v>
      </c>
      <c r="D950" s="177">
        <v>1</v>
      </c>
      <c r="E950" s="177" t="s">
        <v>473</v>
      </c>
      <c r="F950" s="177">
        <v>1</v>
      </c>
      <c r="G950" s="57" t="s">
        <v>6322</v>
      </c>
      <c r="H950" s="57" t="s">
        <v>6323</v>
      </c>
      <c r="I950" s="57" t="s">
        <v>6324</v>
      </c>
      <c r="J950" s="57" t="s">
        <v>6325</v>
      </c>
      <c r="K950" s="57" t="s">
        <v>6326</v>
      </c>
      <c r="L950" s="57" t="s">
        <v>6327</v>
      </c>
      <c r="M950" s="57" t="s">
        <v>6328</v>
      </c>
    </row>
    <row r="951" ht="28" spans="1:13">
      <c r="A951" s="178" t="str">
        <f t="shared" si="14"/>
        <v>Conceptual Thinking|Analyst|1</v>
      </c>
      <c r="B951" s="57" t="s">
        <v>451</v>
      </c>
      <c r="C951" s="177" t="s">
        <v>8</v>
      </c>
      <c r="D951" s="177">
        <v>1</v>
      </c>
      <c r="E951" s="177" t="s">
        <v>473</v>
      </c>
      <c r="F951" s="177">
        <v>2</v>
      </c>
      <c r="G951" s="57" t="s">
        <v>6329</v>
      </c>
      <c r="H951" s="57" t="s">
        <v>6330</v>
      </c>
      <c r="I951" s="57" t="s">
        <v>6331</v>
      </c>
      <c r="J951" s="57" t="s">
        <v>6332</v>
      </c>
      <c r="K951" s="57" t="s">
        <v>6333</v>
      </c>
      <c r="L951" s="57" t="s">
        <v>6334</v>
      </c>
      <c r="M951" s="57" t="s">
        <v>6335</v>
      </c>
    </row>
    <row r="952" ht="28" spans="1:13">
      <c r="A952" s="178" t="str">
        <f t="shared" si="14"/>
        <v>Conceptual Thinking|Analyst|1</v>
      </c>
      <c r="B952" s="57" t="s">
        <v>451</v>
      </c>
      <c r="C952" s="177" t="s">
        <v>8</v>
      </c>
      <c r="D952" s="177">
        <v>1</v>
      </c>
      <c r="E952" s="177" t="s">
        <v>473</v>
      </c>
      <c r="F952" s="177">
        <v>3</v>
      </c>
      <c r="G952" s="57" t="s">
        <v>6336</v>
      </c>
      <c r="H952" s="57" t="s">
        <v>6337</v>
      </c>
      <c r="I952" s="57" t="s">
        <v>6338</v>
      </c>
      <c r="J952" s="57" t="s">
        <v>6339</v>
      </c>
      <c r="K952" s="57" t="s">
        <v>6340</v>
      </c>
      <c r="L952" s="57" t="s">
        <v>6341</v>
      </c>
      <c r="M952" s="57" t="s">
        <v>6342</v>
      </c>
    </row>
    <row r="953" ht="28" spans="1:13">
      <c r="A953" s="178" t="str">
        <f t="shared" si="14"/>
        <v>Conceptual Thinking|Analyst|2</v>
      </c>
      <c r="B953" s="57" t="s">
        <v>451</v>
      </c>
      <c r="C953" s="177" t="s">
        <v>8</v>
      </c>
      <c r="D953" s="177">
        <v>2</v>
      </c>
      <c r="E953" s="177" t="s">
        <v>491</v>
      </c>
      <c r="F953" s="177">
        <v>1</v>
      </c>
      <c r="G953" s="57" t="s">
        <v>6343</v>
      </c>
      <c r="H953" s="57" t="s">
        <v>6344</v>
      </c>
      <c r="I953" s="57" t="s">
        <v>6345</v>
      </c>
      <c r="J953" s="57" t="s">
        <v>6346</v>
      </c>
      <c r="K953" s="57" t="s">
        <v>6347</v>
      </c>
      <c r="L953" s="57" t="s">
        <v>6348</v>
      </c>
      <c r="M953" s="57" t="s">
        <v>6349</v>
      </c>
    </row>
    <row r="954" ht="28" spans="1:13">
      <c r="A954" s="178" t="str">
        <f t="shared" si="14"/>
        <v>Conceptual Thinking|Analyst|2</v>
      </c>
      <c r="B954" s="57" t="s">
        <v>451</v>
      </c>
      <c r="C954" s="177" t="s">
        <v>8</v>
      </c>
      <c r="D954" s="177">
        <v>2</v>
      </c>
      <c r="E954" s="177" t="s">
        <v>491</v>
      </c>
      <c r="F954" s="177">
        <v>2</v>
      </c>
      <c r="G954" s="57" t="s">
        <v>6350</v>
      </c>
      <c r="H954" s="57" t="s">
        <v>6351</v>
      </c>
      <c r="I954" s="57" t="s">
        <v>6352</v>
      </c>
      <c r="J954" s="57" t="s">
        <v>6353</v>
      </c>
      <c r="K954" s="57" t="s">
        <v>6354</v>
      </c>
      <c r="L954" s="57" t="s">
        <v>6355</v>
      </c>
      <c r="M954" s="57" t="s">
        <v>6356</v>
      </c>
    </row>
    <row r="955" ht="28" spans="1:13">
      <c r="A955" s="178" t="str">
        <f t="shared" si="14"/>
        <v>Conceptual Thinking|Analyst|2</v>
      </c>
      <c r="B955" s="57" t="s">
        <v>451</v>
      </c>
      <c r="C955" s="177" t="s">
        <v>8</v>
      </c>
      <c r="D955" s="177">
        <v>2</v>
      </c>
      <c r="E955" s="177" t="s">
        <v>491</v>
      </c>
      <c r="F955" s="177">
        <v>3</v>
      </c>
      <c r="G955" s="57" t="s">
        <v>6357</v>
      </c>
      <c r="H955" s="57" t="s">
        <v>6358</v>
      </c>
      <c r="I955" s="57" t="s">
        <v>6359</v>
      </c>
      <c r="J955" s="57" t="s">
        <v>6360</v>
      </c>
      <c r="K955" s="57" t="s">
        <v>6361</v>
      </c>
      <c r="L955" s="57" t="s">
        <v>6362</v>
      </c>
      <c r="M955" s="57" t="s">
        <v>6363</v>
      </c>
    </row>
    <row r="956" ht="28" spans="1:13">
      <c r="A956" s="178" t="str">
        <f t="shared" si="14"/>
        <v>Conceptual Thinking|Analyst|3</v>
      </c>
      <c r="B956" s="57" t="s">
        <v>451</v>
      </c>
      <c r="C956" s="177" t="s">
        <v>8</v>
      </c>
      <c r="D956" s="177">
        <v>3</v>
      </c>
      <c r="E956" s="177" t="s">
        <v>507</v>
      </c>
      <c r="F956" s="177">
        <v>1</v>
      </c>
      <c r="G956" s="57" t="s">
        <v>6364</v>
      </c>
      <c r="H956" s="57" t="s">
        <v>6365</v>
      </c>
      <c r="I956" s="57" t="s">
        <v>6366</v>
      </c>
      <c r="J956" s="57" t="s">
        <v>6367</v>
      </c>
      <c r="K956" s="57" t="s">
        <v>6368</v>
      </c>
      <c r="L956" s="57" t="s">
        <v>6369</v>
      </c>
      <c r="M956" s="57" t="s">
        <v>6370</v>
      </c>
    </row>
    <row r="957" ht="28" spans="1:13">
      <c r="A957" s="178" t="str">
        <f t="shared" si="14"/>
        <v>Conceptual Thinking|Analyst|3</v>
      </c>
      <c r="B957" s="57" t="s">
        <v>451</v>
      </c>
      <c r="C957" s="177" t="s">
        <v>8</v>
      </c>
      <c r="D957" s="177">
        <v>3</v>
      </c>
      <c r="E957" s="177" t="s">
        <v>507</v>
      </c>
      <c r="F957" s="177">
        <v>2</v>
      </c>
      <c r="G957" s="57" t="s">
        <v>6371</v>
      </c>
      <c r="H957" s="57" t="s">
        <v>6372</v>
      </c>
      <c r="I957" s="57" t="s">
        <v>6373</v>
      </c>
      <c r="J957" s="57" t="s">
        <v>6374</v>
      </c>
      <c r="K957" s="57" t="s">
        <v>6375</v>
      </c>
      <c r="L957" s="57" t="s">
        <v>6376</v>
      </c>
      <c r="M957" s="57" t="s">
        <v>6377</v>
      </c>
    </row>
    <row r="958" ht="28" spans="1:13">
      <c r="A958" s="178" t="str">
        <f t="shared" si="14"/>
        <v>Conceptual Thinking|Analyst|3</v>
      </c>
      <c r="B958" s="57" t="s">
        <v>451</v>
      </c>
      <c r="C958" s="177" t="s">
        <v>8</v>
      </c>
      <c r="D958" s="177">
        <v>3</v>
      </c>
      <c r="E958" s="177" t="s">
        <v>507</v>
      </c>
      <c r="F958" s="177">
        <v>3</v>
      </c>
      <c r="G958" s="57" t="s">
        <v>6378</v>
      </c>
      <c r="H958" s="57" t="s">
        <v>6379</v>
      </c>
      <c r="I958" s="57" t="s">
        <v>6380</v>
      </c>
      <c r="J958" s="57" t="s">
        <v>6381</v>
      </c>
      <c r="K958" s="57" t="s">
        <v>6382</v>
      </c>
      <c r="L958" s="57" t="s">
        <v>6383</v>
      </c>
      <c r="M958" s="57" t="s">
        <v>6384</v>
      </c>
    </row>
    <row r="959" ht="28" spans="1:13">
      <c r="A959" s="178" t="str">
        <f t="shared" si="14"/>
        <v>Conceptual Thinking|Analyst|4</v>
      </c>
      <c r="B959" s="57" t="s">
        <v>451</v>
      </c>
      <c r="C959" s="177" t="s">
        <v>8</v>
      </c>
      <c r="D959" s="177">
        <v>4</v>
      </c>
      <c r="E959" s="177" t="s">
        <v>523</v>
      </c>
      <c r="F959" s="177">
        <v>1</v>
      </c>
      <c r="G959" s="57" t="s">
        <v>6385</v>
      </c>
      <c r="H959" s="57" t="s">
        <v>6386</v>
      </c>
      <c r="I959" s="57" t="s">
        <v>6387</v>
      </c>
      <c r="J959" s="57" t="s">
        <v>6388</v>
      </c>
      <c r="K959" s="57" t="s">
        <v>6389</v>
      </c>
      <c r="L959" s="57" t="s">
        <v>6390</v>
      </c>
      <c r="M959" s="57" t="s">
        <v>6391</v>
      </c>
    </row>
    <row r="960" ht="28" spans="1:13">
      <c r="A960" s="178" t="str">
        <f t="shared" si="14"/>
        <v>Conceptual Thinking|Analyst|4</v>
      </c>
      <c r="B960" s="57" t="s">
        <v>451</v>
      </c>
      <c r="C960" s="177" t="s">
        <v>8</v>
      </c>
      <c r="D960" s="177">
        <v>4</v>
      </c>
      <c r="E960" s="177" t="s">
        <v>523</v>
      </c>
      <c r="F960" s="177">
        <v>2</v>
      </c>
      <c r="G960" s="57" t="s">
        <v>6392</v>
      </c>
      <c r="H960" s="57" t="s">
        <v>6393</v>
      </c>
      <c r="I960" s="57" t="s">
        <v>6394</v>
      </c>
      <c r="J960" s="57" t="s">
        <v>6395</v>
      </c>
      <c r="K960" s="57" t="s">
        <v>6396</v>
      </c>
      <c r="L960" s="57" t="s">
        <v>6397</v>
      </c>
      <c r="M960" s="57" t="s">
        <v>6398</v>
      </c>
    </row>
    <row r="961" ht="28" spans="1:13">
      <c r="A961" s="178" t="str">
        <f t="shared" si="14"/>
        <v>Conceptual Thinking|Analyst|4</v>
      </c>
      <c r="B961" s="57" t="s">
        <v>451</v>
      </c>
      <c r="C961" s="177" t="s">
        <v>8</v>
      </c>
      <c r="D961" s="177">
        <v>4</v>
      </c>
      <c r="E961" s="177" t="s">
        <v>523</v>
      </c>
      <c r="F961" s="177">
        <v>3</v>
      </c>
      <c r="G961" s="57" t="s">
        <v>6399</v>
      </c>
      <c r="H961" s="57" t="s">
        <v>6400</v>
      </c>
      <c r="I961" s="57" t="s">
        <v>6401</v>
      </c>
      <c r="J961" s="57" t="s">
        <v>6402</v>
      </c>
      <c r="K961" s="57" t="s">
        <v>6403</v>
      </c>
      <c r="L961" s="57" t="s">
        <v>6404</v>
      </c>
      <c r="M961" s="57" t="s">
        <v>6405</v>
      </c>
    </row>
    <row r="962" ht="42" spans="1:13">
      <c r="A962" s="178" t="str">
        <f t="shared" si="14"/>
        <v>Conceptual Thinking|Unit Head/Specialist|1</v>
      </c>
      <c r="B962" s="57" t="s">
        <v>451</v>
      </c>
      <c r="C962" s="177" t="s">
        <v>18</v>
      </c>
      <c r="D962" s="177">
        <v>1</v>
      </c>
      <c r="E962" s="177" t="s">
        <v>473</v>
      </c>
      <c r="F962" s="177">
        <v>1</v>
      </c>
      <c r="G962" s="57" t="s">
        <v>6406</v>
      </c>
      <c r="H962" s="57" t="s">
        <v>6407</v>
      </c>
      <c r="I962" s="57" t="s">
        <v>6408</v>
      </c>
      <c r="J962" s="57" t="s">
        <v>6409</v>
      </c>
      <c r="K962" s="57" t="s">
        <v>6410</v>
      </c>
      <c r="L962" s="57" t="s">
        <v>6411</v>
      </c>
      <c r="M962" s="57" t="s">
        <v>6412</v>
      </c>
    </row>
    <row r="963" ht="42" spans="1:13">
      <c r="A963" s="178" t="str">
        <f t="shared" ref="A963:A1009" si="15">B963&amp;"|"&amp;C963&amp;"|"&amp;D963</f>
        <v>Conceptual Thinking|Unit Head/Specialist|1</v>
      </c>
      <c r="B963" s="57" t="s">
        <v>451</v>
      </c>
      <c r="C963" s="177" t="s">
        <v>18</v>
      </c>
      <c r="D963" s="177">
        <v>1</v>
      </c>
      <c r="E963" s="177" t="s">
        <v>473</v>
      </c>
      <c r="F963" s="177">
        <v>2</v>
      </c>
      <c r="G963" s="57" t="s">
        <v>6413</v>
      </c>
      <c r="H963" s="57" t="s">
        <v>6414</v>
      </c>
      <c r="I963" s="57" t="s">
        <v>6415</v>
      </c>
      <c r="J963" s="57" t="s">
        <v>6416</v>
      </c>
      <c r="K963" s="57" t="s">
        <v>6417</v>
      </c>
      <c r="L963" s="57" t="s">
        <v>6418</v>
      </c>
      <c r="M963" s="57" t="s">
        <v>6419</v>
      </c>
    </row>
    <row r="964" ht="42" spans="1:13">
      <c r="A964" s="178" t="str">
        <f t="shared" si="15"/>
        <v>Conceptual Thinking|Unit Head/Specialist|1</v>
      </c>
      <c r="B964" s="57" t="s">
        <v>451</v>
      </c>
      <c r="C964" s="177" t="s">
        <v>18</v>
      </c>
      <c r="D964" s="177">
        <v>1</v>
      </c>
      <c r="E964" s="177" t="s">
        <v>473</v>
      </c>
      <c r="F964" s="177">
        <v>3</v>
      </c>
      <c r="G964" s="57" t="s">
        <v>6420</v>
      </c>
      <c r="H964" s="57" t="s">
        <v>6421</v>
      </c>
      <c r="I964" s="57" t="s">
        <v>6422</v>
      </c>
      <c r="J964" s="57" t="s">
        <v>6423</v>
      </c>
      <c r="K964" s="57" t="s">
        <v>6424</v>
      </c>
      <c r="L964" s="57" t="s">
        <v>6425</v>
      </c>
      <c r="M964" s="57" t="s">
        <v>6426</v>
      </c>
    </row>
    <row r="965" ht="42" spans="1:13">
      <c r="A965" s="178" t="str">
        <f t="shared" si="15"/>
        <v>Conceptual Thinking|Unit Head/Specialist|2</v>
      </c>
      <c r="B965" s="57" t="s">
        <v>451</v>
      </c>
      <c r="C965" s="177" t="s">
        <v>18</v>
      </c>
      <c r="D965" s="177">
        <v>2</v>
      </c>
      <c r="E965" s="177" t="s">
        <v>491</v>
      </c>
      <c r="F965" s="177">
        <v>1</v>
      </c>
      <c r="G965" s="57" t="s">
        <v>6427</v>
      </c>
      <c r="H965" s="57" t="s">
        <v>6428</v>
      </c>
      <c r="I965" s="57" t="s">
        <v>6429</v>
      </c>
      <c r="J965" s="57" t="s">
        <v>6430</v>
      </c>
      <c r="K965" s="57" t="s">
        <v>6431</v>
      </c>
      <c r="L965" s="57" t="s">
        <v>6432</v>
      </c>
      <c r="M965" s="57" t="s">
        <v>6433</v>
      </c>
    </row>
    <row r="966" ht="42" spans="1:13">
      <c r="A966" s="178" t="str">
        <f t="shared" si="15"/>
        <v>Conceptual Thinking|Unit Head/Specialist|2</v>
      </c>
      <c r="B966" s="57" t="s">
        <v>451</v>
      </c>
      <c r="C966" s="177" t="s">
        <v>18</v>
      </c>
      <c r="D966" s="177">
        <v>2</v>
      </c>
      <c r="E966" s="177" t="s">
        <v>491</v>
      </c>
      <c r="F966" s="177">
        <v>2</v>
      </c>
      <c r="G966" s="57" t="s">
        <v>6434</v>
      </c>
      <c r="H966" s="57" t="s">
        <v>6435</v>
      </c>
      <c r="I966" s="57" t="s">
        <v>6436</v>
      </c>
      <c r="J966" s="57" t="s">
        <v>6437</v>
      </c>
      <c r="K966" s="57" t="s">
        <v>6438</v>
      </c>
      <c r="L966" s="57" t="s">
        <v>6439</v>
      </c>
      <c r="M966" s="57" t="s">
        <v>6440</v>
      </c>
    </row>
    <row r="967" ht="42" spans="1:13">
      <c r="A967" s="178" t="str">
        <f t="shared" si="15"/>
        <v>Conceptual Thinking|Unit Head/Specialist|2</v>
      </c>
      <c r="B967" s="57" t="s">
        <v>451</v>
      </c>
      <c r="C967" s="177" t="s">
        <v>18</v>
      </c>
      <c r="D967" s="177">
        <v>2</v>
      </c>
      <c r="E967" s="177" t="s">
        <v>491</v>
      </c>
      <c r="F967" s="177">
        <v>3</v>
      </c>
      <c r="G967" s="57" t="s">
        <v>6441</v>
      </c>
      <c r="H967" s="57" t="s">
        <v>6442</v>
      </c>
      <c r="I967" s="57" t="s">
        <v>6443</v>
      </c>
      <c r="J967" s="57" t="s">
        <v>6444</v>
      </c>
      <c r="K967" s="57" t="s">
        <v>6445</v>
      </c>
      <c r="L967" s="57" t="s">
        <v>6446</v>
      </c>
      <c r="M967" s="57" t="s">
        <v>6447</v>
      </c>
    </row>
    <row r="968" ht="42" spans="1:13">
      <c r="A968" s="178" t="str">
        <f t="shared" si="15"/>
        <v>Conceptual Thinking|Unit Head/Specialist|3</v>
      </c>
      <c r="B968" s="57" t="s">
        <v>451</v>
      </c>
      <c r="C968" s="177" t="s">
        <v>18</v>
      </c>
      <c r="D968" s="177">
        <v>3</v>
      </c>
      <c r="E968" s="177" t="s">
        <v>507</v>
      </c>
      <c r="F968" s="177">
        <v>1</v>
      </c>
      <c r="G968" s="57" t="s">
        <v>6448</v>
      </c>
      <c r="H968" s="57" t="s">
        <v>6449</v>
      </c>
      <c r="I968" s="57" t="s">
        <v>6450</v>
      </c>
      <c r="J968" s="57" t="s">
        <v>6451</v>
      </c>
      <c r="K968" s="57" t="s">
        <v>6452</v>
      </c>
      <c r="L968" s="57" t="s">
        <v>6453</v>
      </c>
      <c r="M968" s="57" t="s">
        <v>6454</v>
      </c>
    </row>
    <row r="969" ht="42" spans="1:13">
      <c r="A969" s="178" t="str">
        <f t="shared" si="15"/>
        <v>Conceptual Thinking|Unit Head/Specialist|3</v>
      </c>
      <c r="B969" s="57" t="s">
        <v>451</v>
      </c>
      <c r="C969" s="177" t="s">
        <v>18</v>
      </c>
      <c r="D969" s="177">
        <v>3</v>
      </c>
      <c r="E969" s="177" t="s">
        <v>507</v>
      </c>
      <c r="F969" s="177">
        <v>2</v>
      </c>
      <c r="G969" s="57" t="s">
        <v>6455</v>
      </c>
      <c r="H969" s="57" t="s">
        <v>6456</v>
      </c>
      <c r="I969" s="57" t="s">
        <v>6457</v>
      </c>
      <c r="J969" s="57" t="s">
        <v>6458</v>
      </c>
      <c r="K969" s="57" t="s">
        <v>6459</v>
      </c>
      <c r="L969" s="57" t="s">
        <v>6460</v>
      </c>
      <c r="M969" s="57" t="s">
        <v>6461</v>
      </c>
    </row>
    <row r="970" ht="42" spans="1:13">
      <c r="A970" s="178" t="str">
        <f t="shared" si="15"/>
        <v>Conceptual Thinking|Unit Head/Specialist|3</v>
      </c>
      <c r="B970" s="57" t="s">
        <v>451</v>
      </c>
      <c r="C970" s="177" t="s">
        <v>18</v>
      </c>
      <c r="D970" s="177">
        <v>3</v>
      </c>
      <c r="E970" s="177" t="s">
        <v>507</v>
      </c>
      <c r="F970" s="177">
        <v>3</v>
      </c>
      <c r="G970" s="57" t="s">
        <v>6462</v>
      </c>
      <c r="H970" s="57" t="s">
        <v>6463</v>
      </c>
      <c r="I970" s="57" t="s">
        <v>6464</v>
      </c>
      <c r="J970" s="57" t="s">
        <v>6465</v>
      </c>
      <c r="K970" s="57" t="s">
        <v>6466</v>
      </c>
      <c r="L970" s="57" t="s">
        <v>6467</v>
      </c>
      <c r="M970" s="57" t="s">
        <v>6468</v>
      </c>
    </row>
    <row r="971" ht="42" spans="1:13">
      <c r="A971" s="178" t="str">
        <f t="shared" si="15"/>
        <v>Conceptual Thinking|Unit Head/Specialist|4</v>
      </c>
      <c r="B971" s="57" t="s">
        <v>451</v>
      </c>
      <c r="C971" s="177" t="s">
        <v>18</v>
      </c>
      <c r="D971" s="177">
        <v>4</v>
      </c>
      <c r="E971" s="177" t="s">
        <v>523</v>
      </c>
      <c r="F971" s="177">
        <v>1</v>
      </c>
      <c r="G971" s="57" t="s">
        <v>6469</v>
      </c>
      <c r="H971" s="57" t="s">
        <v>6470</v>
      </c>
      <c r="I971" s="57" t="s">
        <v>6471</v>
      </c>
      <c r="J971" s="57" t="s">
        <v>6472</v>
      </c>
      <c r="K971" s="57" t="s">
        <v>6473</v>
      </c>
      <c r="L971" s="57" t="s">
        <v>6474</v>
      </c>
      <c r="M971" s="57" t="s">
        <v>6475</v>
      </c>
    </row>
    <row r="972" ht="42" spans="1:13">
      <c r="A972" s="178" t="str">
        <f t="shared" si="15"/>
        <v>Conceptual Thinking|Unit Head/Specialist|4</v>
      </c>
      <c r="B972" s="57" t="s">
        <v>451</v>
      </c>
      <c r="C972" s="177" t="s">
        <v>18</v>
      </c>
      <c r="D972" s="177">
        <v>4</v>
      </c>
      <c r="E972" s="177" t="s">
        <v>523</v>
      </c>
      <c r="F972" s="177">
        <v>2</v>
      </c>
      <c r="G972" s="57" t="s">
        <v>6476</v>
      </c>
      <c r="H972" s="57" t="s">
        <v>6477</v>
      </c>
      <c r="I972" s="57" t="s">
        <v>6478</v>
      </c>
      <c r="J972" s="57" t="s">
        <v>6479</v>
      </c>
      <c r="K972" s="57" t="s">
        <v>6480</v>
      </c>
      <c r="L972" s="57" t="s">
        <v>6481</v>
      </c>
      <c r="M972" s="57" t="s">
        <v>6482</v>
      </c>
    </row>
    <row r="973" ht="42" spans="1:13">
      <c r="A973" s="178" t="str">
        <f t="shared" si="15"/>
        <v>Conceptual Thinking|Unit Head/Specialist|4</v>
      </c>
      <c r="B973" s="57" t="s">
        <v>451</v>
      </c>
      <c r="C973" s="177" t="s">
        <v>18</v>
      </c>
      <c r="D973" s="177">
        <v>4</v>
      </c>
      <c r="E973" s="177" t="s">
        <v>523</v>
      </c>
      <c r="F973" s="177">
        <v>3</v>
      </c>
      <c r="G973" s="57" t="s">
        <v>6483</v>
      </c>
      <c r="H973" s="57" t="s">
        <v>6484</v>
      </c>
      <c r="I973" s="57" t="s">
        <v>6485</v>
      </c>
      <c r="J973" s="57" t="s">
        <v>6486</v>
      </c>
      <c r="K973" s="57" t="s">
        <v>6487</v>
      </c>
      <c r="L973" s="57" t="s">
        <v>6488</v>
      </c>
      <c r="M973" s="57" t="s">
        <v>6489</v>
      </c>
    </row>
    <row r="974" ht="28" spans="1:13">
      <c r="A974" s="178" t="str">
        <f t="shared" si="15"/>
        <v>Conceptual Thinking|Department Head|1</v>
      </c>
      <c r="B974" s="57" t="s">
        <v>451</v>
      </c>
      <c r="C974" s="177" t="s">
        <v>655</v>
      </c>
      <c r="D974" s="177">
        <v>1</v>
      </c>
      <c r="E974" s="177" t="s">
        <v>473</v>
      </c>
      <c r="F974" s="177">
        <v>1</v>
      </c>
      <c r="G974" s="57" t="s">
        <v>6490</v>
      </c>
      <c r="H974" s="57" t="s">
        <v>6491</v>
      </c>
      <c r="I974" s="57" t="s">
        <v>6492</v>
      </c>
      <c r="J974" s="57" t="s">
        <v>6493</v>
      </c>
      <c r="K974" s="57" t="s">
        <v>6494</v>
      </c>
      <c r="L974" s="57" t="s">
        <v>6495</v>
      </c>
      <c r="M974" s="57" t="s">
        <v>6496</v>
      </c>
    </row>
    <row r="975" ht="28" spans="1:13">
      <c r="A975" s="178" t="str">
        <f t="shared" si="15"/>
        <v>Conceptual Thinking|Department Head|1</v>
      </c>
      <c r="B975" s="57" t="s">
        <v>451</v>
      </c>
      <c r="C975" s="177" t="s">
        <v>655</v>
      </c>
      <c r="D975" s="177">
        <v>1</v>
      </c>
      <c r="E975" s="177" t="s">
        <v>473</v>
      </c>
      <c r="F975" s="177">
        <v>2</v>
      </c>
      <c r="G975" s="57" t="s">
        <v>6497</v>
      </c>
      <c r="H975" s="57" t="s">
        <v>6498</v>
      </c>
      <c r="I975" s="57" t="s">
        <v>6499</v>
      </c>
      <c r="J975" s="57" t="s">
        <v>6500</v>
      </c>
      <c r="K975" s="57" t="s">
        <v>6501</v>
      </c>
      <c r="L975" s="57" t="s">
        <v>6502</v>
      </c>
      <c r="M975" s="57" t="s">
        <v>6503</v>
      </c>
    </row>
    <row r="976" ht="28" spans="1:13">
      <c r="A976" s="178" t="str">
        <f t="shared" si="15"/>
        <v>Conceptual Thinking|Department Head|1</v>
      </c>
      <c r="B976" s="57" t="s">
        <v>451</v>
      </c>
      <c r="C976" s="177" t="s">
        <v>655</v>
      </c>
      <c r="D976" s="177">
        <v>1</v>
      </c>
      <c r="E976" s="177" t="s">
        <v>473</v>
      </c>
      <c r="F976" s="177">
        <v>3</v>
      </c>
      <c r="G976" s="57" t="s">
        <v>6504</v>
      </c>
      <c r="H976" s="57" t="s">
        <v>6505</v>
      </c>
      <c r="I976" s="57" t="s">
        <v>6506</v>
      </c>
      <c r="J976" s="57" t="s">
        <v>6507</v>
      </c>
      <c r="K976" s="57" t="s">
        <v>6508</v>
      </c>
      <c r="L976" s="57" t="s">
        <v>6509</v>
      </c>
      <c r="M976" s="57" t="s">
        <v>6510</v>
      </c>
    </row>
    <row r="977" ht="28" spans="1:13">
      <c r="A977" s="178" t="str">
        <f t="shared" si="15"/>
        <v>Conceptual Thinking|Department Head|2</v>
      </c>
      <c r="B977" s="57" t="s">
        <v>451</v>
      </c>
      <c r="C977" s="177" t="s">
        <v>655</v>
      </c>
      <c r="D977" s="177">
        <v>2</v>
      </c>
      <c r="E977" s="177" t="s">
        <v>491</v>
      </c>
      <c r="F977" s="177">
        <v>1</v>
      </c>
      <c r="G977" s="57" t="s">
        <v>6511</v>
      </c>
      <c r="H977" s="57" t="s">
        <v>6512</v>
      </c>
      <c r="I977" s="57" t="s">
        <v>6513</v>
      </c>
      <c r="J977" s="57" t="s">
        <v>6514</v>
      </c>
      <c r="K977" s="57" t="s">
        <v>6515</v>
      </c>
      <c r="L977" s="57" t="s">
        <v>6516</v>
      </c>
      <c r="M977" s="57" t="s">
        <v>6517</v>
      </c>
    </row>
    <row r="978" ht="28" spans="1:13">
      <c r="A978" s="178" t="str">
        <f t="shared" si="15"/>
        <v>Conceptual Thinking|Department Head|2</v>
      </c>
      <c r="B978" s="57" t="s">
        <v>451</v>
      </c>
      <c r="C978" s="177" t="s">
        <v>655</v>
      </c>
      <c r="D978" s="177">
        <v>2</v>
      </c>
      <c r="E978" s="177" t="s">
        <v>491</v>
      </c>
      <c r="F978" s="177">
        <v>2</v>
      </c>
      <c r="G978" s="57" t="s">
        <v>6518</v>
      </c>
      <c r="H978" s="57" t="s">
        <v>6519</v>
      </c>
      <c r="I978" s="57" t="s">
        <v>6520</v>
      </c>
      <c r="J978" s="57" t="s">
        <v>6521</v>
      </c>
      <c r="K978" s="57" t="s">
        <v>6522</v>
      </c>
      <c r="L978" s="57" t="s">
        <v>6523</v>
      </c>
      <c r="M978" s="57" t="s">
        <v>6524</v>
      </c>
    </row>
    <row r="979" ht="28" spans="1:13">
      <c r="A979" s="178" t="str">
        <f t="shared" si="15"/>
        <v>Conceptual Thinking|Department Head|2</v>
      </c>
      <c r="B979" s="57" t="s">
        <v>451</v>
      </c>
      <c r="C979" s="177" t="s">
        <v>655</v>
      </c>
      <c r="D979" s="177">
        <v>2</v>
      </c>
      <c r="E979" s="177" t="s">
        <v>491</v>
      </c>
      <c r="F979" s="177">
        <v>3</v>
      </c>
      <c r="G979" s="57" t="s">
        <v>6525</v>
      </c>
      <c r="H979" s="57" t="s">
        <v>6526</v>
      </c>
      <c r="I979" s="57" t="s">
        <v>6527</v>
      </c>
      <c r="J979" s="57" t="s">
        <v>6528</v>
      </c>
      <c r="K979" s="57" t="s">
        <v>6529</v>
      </c>
      <c r="L979" s="57" t="s">
        <v>6530</v>
      </c>
      <c r="M979" s="57" t="s">
        <v>6531</v>
      </c>
    </row>
    <row r="980" ht="28" spans="1:13">
      <c r="A980" s="178" t="str">
        <f t="shared" si="15"/>
        <v>Conceptual Thinking|Department Head|3</v>
      </c>
      <c r="B980" s="57" t="s">
        <v>451</v>
      </c>
      <c r="C980" s="177" t="s">
        <v>655</v>
      </c>
      <c r="D980" s="177">
        <v>3</v>
      </c>
      <c r="E980" s="177" t="s">
        <v>507</v>
      </c>
      <c r="F980" s="177">
        <v>1</v>
      </c>
      <c r="G980" s="57" t="s">
        <v>6532</v>
      </c>
      <c r="H980" s="57" t="s">
        <v>6533</v>
      </c>
      <c r="I980" s="57" t="s">
        <v>6534</v>
      </c>
      <c r="J980" s="57" t="s">
        <v>6535</v>
      </c>
      <c r="K980" s="57" t="s">
        <v>6536</v>
      </c>
      <c r="L980" s="57" t="s">
        <v>6537</v>
      </c>
      <c r="M980" s="57" t="s">
        <v>6538</v>
      </c>
    </row>
    <row r="981" ht="28" spans="1:13">
      <c r="A981" s="178" t="str">
        <f t="shared" si="15"/>
        <v>Conceptual Thinking|Department Head|3</v>
      </c>
      <c r="B981" s="57" t="s">
        <v>451</v>
      </c>
      <c r="C981" s="177" t="s">
        <v>655</v>
      </c>
      <c r="D981" s="177">
        <v>3</v>
      </c>
      <c r="E981" s="177" t="s">
        <v>507</v>
      </c>
      <c r="F981" s="177">
        <v>2</v>
      </c>
      <c r="G981" s="57" t="s">
        <v>6539</v>
      </c>
      <c r="H981" s="57" t="s">
        <v>6540</v>
      </c>
      <c r="I981" s="57" t="s">
        <v>6541</v>
      </c>
      <c r="J981" s="57" t="s">
        <v>6542</v>
      </c>
      <c r="K981" s="57" t="s">
        <v>6543</v>
      </c>
      <c r="L981" s="57" t="s">
        <v>6544</v>
      </c>
      <c r="M981" s="57" t="s">
        <v>6545</v>
      </c>
    </row>
    <row r="982" ht="28" spans="1:13">
      <c r="A982" s="178" t="str">
        <f t="shared" si="15"/>
        <v>Conceptual Thinking|Department Head|3</v>
      </c>
      <c r="B982" s="57" t="s">
        <v>451</v>
      </c>
      <c r="C982" s="177" t="s">
        <v>655</v>
      </c>
      <c r="D982" s="177">
        <v>3</v>
      </c>
      <c r="E982" s="177" t="s">
        <v>507</v>
      </c>
      <c r="F982" s="177">
        <v>3</v>
      </c>
      <c r="G982" s="57" t="s">
        <v>6546</v>
      </c>
      <c r="H982" s="57" t="s">
        <v>6547</v>
      </c>
      <c r="I982" s="57" t="s">
        <v>6548</v>
      </c>
      <c r="J982" s="57" t="s">
        <v>6549</v>
      </c>
      <c r="K982" s="57" t="s">
        <v>6550</v>
      </c>
      <c r="L982" s="57" t="s">
        <v>6551</v>
      </c>
      <c r="M982" s="57" t="s">
        <v>6552</v>
      </c>
    </row>
    <row r="983" ht="28" spans="1:13">
      <c r="A983" s="178" t="str">
        <f t="shared" si="15"/>
        <v>Conceptual Thinking|Department Head|4</v>
      </c>
      <c r="B983" s="57" t="s">
        <v>451</v>
      </c>
      <c r="C983" s="177" t="s">
        <v>655</v>
      </c>
      <c r="D983" s="177">
        <v>4</v>
      </c>
      <c r="E983" s="177" t="s">
        <v>523</v>
      </c>
      <c r="F983" s="177">
        <v>1</v>
      </c>
      <c r="G983" s="57" t="s">
        <v>6553</v>
      </c>
      <c r="H983" s="57" t="s">
        <v>6554</v>
      </c>
      <c r="I983" s="57" t="s">
        <v>6555</v>
      </c>
      <c r="J983" s="57" t="s">
        <v>6556</v>
      </c>
      <c r="K983" s="57" t="s">
        <v>6557</v>
      </c>
      <c r="L983" s="57" t="s">
        <v>6558</v>
      </c>
      <c r="M983" s="57" t="s">
        <v>6559</v>
      </c>
    </row>
    <row r="984" ht="28" spans="1:13">
      <c r="A984" s="178" t="str">
        <f t="shared" si="15"/>
        <v>Conceptual Thinking|Department Head|4</v>
      </c>
      <c r="B984" s="57" t="s">
        <v>451</v>
      </c>
      <c r="C984" s="177" t="s">
        <v>655</v>
      </c>
      <c r="D984" s="177">
        <v>4</v>
      </c>
      <c r="E984" s="177" t="s">
        <v>523</v>
      </c>
      <c r="F984" s="177">
        <v>2</v>
      </c>
      <c r="G984" s="57" t="s">
        <v>6560</v>
      </c>
      <c r="H984" s="57" t="s">
        <v>6561</v>
      </c>
      <c r="I984" s="57" t="s">
        <v>6562</v>
      </c>
      <c r="J984" s="57" t="s">
        <v>6563</v>
      </c>
      <c r="K984" s="57" t="s">
        <v>6564</v>
      </c>
      <c r="L984" s="57" t="s">
        <v>6565</v>
      </c>
      <c r="M984" s="57" t="s">
        <v>6566</v>
      </c>
    </row>
    <row r="985" ht="28" spans="1:13">
      <c r="A985" s="178" t="str">
        <f t="shared" si="15"/>
        <v>Conceptual Thinking|Department Head|4</v>
      </c>
      <c r="B985" s="57" t="s">
        <v>451</v>
      </c>
      <c r="C985" s="177" t="s">
        <v>655</v>
      </c>
      <c r="D985" s="177">
        <v>4</v>
      </c>
      <c r="E985" s="177" t="s">
        <v>523</v>
      </c>
      <c r="F985" s="177">
        <v>3</v>
      </c>
      <c r="G985" s="57" t="s">
        <v>6567</v>
      </c>
      <c r="H985" s="57" t="s">
        <v>6568</v>
      </c>
      <c r="I985" s="57" t="s">
        <v>6569</v>
      </c>
      <c r="J985" s="57" t="s">
        <v>6570</v>
      </c>
      <c r="K985" s="57" t="s">
        <v>6571</v>
      </c>
      <c r="L985" s="57" t="s">
        <v>6572</v>
      </c>
      <c r="M985" s="57" t="s">
        <v>6573</v>
      </c>
    </row>
    <row r="986" ht="28" spans="1:13">
      <c r="A986" s="178" t="str">
        <f t="shared" si="15"/>
        <v>Conceptual Thinking|Division Head|1</v>
      </c>
      <c r="B986" s="57" t="s">
        <v>451</v>
      </c>
      <c r="C986" s="177" t="s">
        <v>712</v>
      </c>
      <c r="D986" s="177">
        <v>1</v>
      </c>
      <c r="E986" s="177" t="s">
        <v>473</v>
      </c>
      <c r="F986" s="177">
        <v>1</v>
      </c>
      <c r="G986" s="57" t="s">
        <v>6574</v>
      </c>
      <c r="H986" s="57" t="s">
        <v>6575</v>
      </c>
      <c r="I986" s="57" t="s">
        <v>6576</v>
      </c>
      <c r="J986" s="57" t="s">
        <v>6577</v>
      </c>
      <c r="K986" s="57" t="s">
        <v>6578</v>
      </c>
      <c r="L986" s="57" t="s">
        <v>6579</v>
      </c>
      <c r="M986" s="57" t="s">
        <v>6580</v>
      </c>
    </row>
    <row r="987" ht="28" spans="1:13">
      <c r="A987" s="178" t="str">
        <f t="shared" si="15"/>
        <v>Conceptual Thinking|Division Head|1</v>
      </c>
      <c r="B987" s="57" t="s">
        <v>451</v>
      </c>
      <c r="C987" s="177" t="s">
        <v>712</v>
      </c>
      <c r="D987" s="177">
        <v>1</v>
      </c>
      <c r="E987" s="177" t="s">
        <v>473</v>
      </c>
      <c r="F987" s="177">
        <v>2</v>
      </c>
      <c r="G987" s="57" t="s">
        <v>6581</v>
      </c>
      <c r="H987" s="57" t="s">
        <v>6582</v>
      </c>
      <c r="I987" s="57" t="s">
        <v>6583</v>
      </c>
      <c r="J987" s="57" t="s">
        <v>6584</v>
      </c>
      <c r="K987" s="57" t="s">
        <v>6585</v>
      </c>
      <c r="L987" s="57" t="s">
        <v>6586</v>
      </c>
      <c r="M987" s="57" t="s">
        <v>6587</v>
      </c>
    </row>
    <row r="988" ht="28" spans="1:13">
      <c r="A988" s="178" t="str">
        <f t="shared" si="15"/>
        <v>Conceptual Thinking|Division Head|1</v>
      </c>
      <c r="B988" s="57" t="s">
        <v>451</v>
      </c>
      <c r="C988" s="177" t="s">
        <v>712</v>
      </c>
      <c r="D988" s="177">
        <v>1</v>
      </c>
      <c r="E988" s="177" t="s">
        <v>473</v>
      </c>
      <c r="F988" s="177">
        <v>3</v>
      </c>
      <c r="G988" s="57" t="s">
        <v>6588</v>
      </c>
      <c r="H988" s="57" t="s">
        <v>6589</v>
      </c>
      <c r="I988" s="57" t="s">
        <v>6590</v>
      </c>
      <c r="J988" s="57" t="s">
        <v>6591</v>
      </c>
      <c r="K988" s="57" t="s">
        <v>6592</v>
      </c>
      <c r="L988" s="57" t="s">
        <v>6593</v>
      </c>
      <c r="M988" s="57" t="s">
        <v>6594</v>
      </c>
    </row>
    <row r="989" ht="28" spans="1:13">
      <c r="A989" s="178" t="str">
        <f t="shared" si="15"/>
        <v>Conceptual Thinking|Division Head|2</v>
      </c>
      <c r="B989" s="57" t="s">
        <v>451</v>
      </c>
      <c r="C989" s="177" t="s">
        <v>712</v>
      </c>
      <c r="D989" s="177">
        <v>2</v>
      </c>
      <c r="E989" s="177" t="s">
        <v>491</v>
      </c>
      <c r="F989" s="177">
        <v>1</v>
      </c>
      <c r="G989" s="57" t="s">
        <v>6595</v>
      </c>
      <c r="H989" s="57" t="s">
        <v>6596</v>
      </c>
      <c r="I989" s="57" t="s">
        <v>6597</v>
      </c>
      <c r="J989" s="57" t="s">
        <v>6598</v>
      </c>
      <c r="K989" s="57" t="s">
        <v>6599</v>
      </c>
      <c r="L989" s="57" t="s">
        <v>6600</v>
      </c>
      <c r="M989" s="57" t="s">
        <v>6601</v>
      </c>
    </row>
    <row r="990" ht="28" spans="1:13">
      <c r="A990" s="178" t="str">
        <f t="shared" si="15"/>
        <v>Conceptual Thinking|Division Head|2</v>
      </c>
      <c r="B990" s="57" t="s">
        <v>451</v>
      </c>
      <c r="C990" s="177" t="s">
        <v>712</v>
      </c>
      <c r="D990" s="177">
        <v>2</v>
      </c>
      <c r="E990" s="177" t="s">
        <v>491</v>
      </c>
      <c r="F990" s="177">
        <v>2</v>
      </c>
      <c r="G990" s="57" t="s">
        <v>6602</v>
      </c>
      <c r="H990" s="57" t="s">
        <v>6603</v>
      </c>
      <c r="I990" s="57" t="s">
        <v>6604</v>
      </c>
      <c r="J990" s="57" t="s">
        <v>6605</v>
      </c>
      <c r="K990" s="57" t="s">
        <v>6606</v>
      </c>
      <c r="L990" s="57" t="s">
        <v>6607</v>
      </c>
      <c r="M990" s="57" t="s">
        <v>6608</v>
      </c>
    </row>
    <row r="991" ht="28" spans="1:13">
      <c r="A991" s="178" t="str">
        <f t="shared" si="15"/>
        <v>Conceptual Thinking|Division Head|2</v>
      </c>
      <c r="B991" s="57" t="s">
        <v>451</v>
      </c>
      <c r="C991" s="177" t="s">
        <v>712</v>
      </c>
      <c r="D991" s="177">
        <v>2</v>
      </c>
      <c r="E991" s="177" t="s">
        <v>491</v>
      </c>
      <c r="F991" s="177">
        <v>3</v>
      </c>
      <c r="G991" s="57" t="s">
        <v>6609</v>
      </c>
      <c r="H991" s="57" t="s">
        <v>6610</v>
      </c>
      <c r="I991" s="57" t="s">
        <v>6611</v>
      </c>
      <c r="J991" s="57" t="s">
        <v>6612</v>
      </c>
      <c r="K991" s="57" t="s">
        <v>6613</v>
      </c>
      <c r="L991" s="57" t="s">
        <v>6614</v>
      </c>
      <c r="M991" s="57" t="s">
        <v>6615</v>
      </c>
    </row>
    <row r="992" ht="28" spans="1:13">
      <c r="A992" s="178" t="str">
        <f t="shared" si="15"/>
        <v>Conceptual Thinking|Division Head|3</v>
      </c>
      <c r="B992" s="57" t="s">
        <v>451</v>
      </c>
      <c r="C992" s="177" t="s">
        <v>712</v>
      </c>
      <c r="D992" s="177">
        <v>3</v>
      </c>
      <c r="E992" s="177" t="s">
        <v>507</v>
      </c>
      <c r="F992" s="177">
        <v>1</v>
      </c>
      <c r="G992" s="57" t="s">
        <v>6616</v>
      </c>
      <c r="H992" s="57" t="s">
        <v>6617</v>
      </c>
      <c r="I992" s="57" t="s">
        <v>6618</v>
      </c>
      <c r="J992" s="57" t="s">
        <v>6619</v>
      </c>
      <c r="K992" s="57" t="s">
        <v>6620</v>
      </c>
      <c r="L992" s="57" t="s">
        <v>6621</v>
      </c>
      <c r="M992" s="57" t="s">
        <v>6622</v>
      </c>
    </row>
    <row r="993" ht="28" spans="1:13">
      <c r="A993" s="178" t="str">
        <f t="shared" si="15"/>
        <v>Conceptual Thinking|Division Head|3</v>
      </c>
      <c r="B993" s="57" t="s">
        <v>451</v>
      </c>
      <c r="C993" s="177" t="s">
        <v>712</v>
      </c>
      <c r="D993" s="177">
        <v>3</v>
      </c>
      <c r="E993" s="177" t="s">
        <v>507</v>
      </c>
      <c r="F993" s="177">
        <v>2</v>
      </c>
      <c r="G993" s="57" t="s">
        <v>6623</v>
      </c>
      <c r="H993" s="57" t="s">
        <v>6624</v>
      </c>
      <c r="I993" s="57" t="s">
        <v>6625</v>
      </c>
      <c r="J993" s="57" t="s">
        <v>6626</v>
      </c>
      <c r="K993" s="57" t="s">
        <v>6627</v>
      </c>
      <c r="L993" s="57" t="s">
        <v>6628</v>
      </c>
      <c r="M993" s="57" t="s">
        <v>6629</v>
      </c>
    </row>
    <row r="994" ht="28" spans="1:13">
      <c r="A994" s="178" t="str">
        <f t="shared" si="15"/>
        <v>Conceptual Thinking|Division Head|3</v>
      </c>
      <c r="B994" s="57" t="s">
        <v>451</v>
      </c>
      <c r="C994" s="177" t="s">
        <v>712</v>
      </c>
      <c r="D994" s="177">
        <v>3</v>
      </c>
      <c r="E994" s="177" t="s">
        <v>507</v>
      </c>
      <c r="F994" s="177">
        <v>3</v>
      </c>
      <c r="G994" s="57" t="s">
        <v>6630</v>
      </c>
      <c r="H994" s="57" t="s">
        <v>6631</v>
      </c>
      <c r="I994" s="57" t="s">
        <v>6632</v>
      </c>
      <c r="J994" s="57" t="s">
        <v>6633</v>
      </c>
      <c r="K994" s="57" t="s">
        <v>6634</v>
      </c>
      <c r="L994" s="57" t="s">
        <v>6635</v>
      </c>
      <c r="M994" s="57" t="s">
        <v>6636</v>
      </c>
    </row>
    <row r="995" ht="28" spans="1:13">
      <c r="A995" s="178" t="str">
        <f t="shared" si="15"/>
        <v>Conceptual Thinking|Division Head|4</v>
      </c>
      <c r="B995" s="57" t="s">
        <v>451</v>
      </c>
      <c r="C995" s="177" t="s">
        <v>712</v>
      </c>
      <c r="D995" s="177">
        <v>4</v>
      </c>
      <c r="E995" s="177" t="s">
        <v>523</v>
      </c>
      <c r="F995" s="177">
        <v>1</v>
      </c>
      <c r="G995" s="57" t="s">
        <v>6637</v>
      </c>
      <c r="H995" s="57" t="s">
        <v>6638</v>
      </c>
      <c r="I995" s="57" t="s">
        <v>6639</v>
      </c>
      <c r="J995" s="57" t="s">
        <v>6640</v>
      </c>
      <c r="K995" s="57" t="s">
        <v>6641</v>
      </c>
      <c r="L995" s="57" t="s">
        <v>6642</v>
      </c>
      <c r="M995" s="57" t="s">
        <v>6643</v>
      </c>
    </row>
    <row r="996" ht="28" spans="1:13">
      <c r="A996" s="178" t="str">
        <f t="shared" si="15"/>
        <v>Conceptual Thinking|Division Head|4</v>
      </c>
      <c r="B996" s="57" t="s">
        <v>451</v>
      </c>
      <c r="C996" s="177" t="s">
        <v>712</v>
      </c>
      <c r="D996" s="177">
        <v>4</v>
      </c>
      <c r="E996" s="177" t="s">
        <v>523</v>
      </c>
      <c r="F996" s="177">
        <v>2</v>
      </c>
      <c r="G996" s="57" t="s">
        <v>6644</v>
      </c>
      <c r="H996" s="57" t="s">
        <v>6645</v>
      </c>
      <c r="I996" s="57" t="s">
        <v>6646</v>
      </c>
      <c r="J996" s="57" t="s">
        <v>6647</v>
      </c>
      <c r="K996" s="57" t="s">
        <v>6648</v>
      </c>
      <c r="L996" s="57" t="s">
        <v>6649</v>
      </c>
      <c r="M996" s="57" t="s">
        <v>6650</v>
      </c>
    </row>
    <row r="997" ht="28" spans="1:13">
      <c r="A997" s="178" t="str">
        <f t="shared" si="15"/>
        <v>Conceptual Thinking|Division Head|4</v>
      </c>
      <c r="B997" s="57" t="s">
        <v>451</v>
      </c>
      <c r="C997" s="177" t="s">
        <v>712</v>
      </c>
      <c r="D997" s="177">
        <v>4</v>
      </c>
      <c r="E997" s="177" t="s">
        <v>523</v>
      </c>
      <c r="F997" s="177">
        <v>3</v>
      </c>
      <c r="G997" s="57" t="s">
        <v>6651</v>
      </c>
      <c r="H997" s="57" t="s">
        <v>6652</v>
      </c>
      <c r="I997" s="57" t="s">
        <v>6653</v>
      </c>
      <c r="J997" s="57" t="s">
        <v>6654</v>
      </c>
      <c r="K997" s="57" t="s">
        <v>6655</v>
      </c>
      <c r="L997" s="57" t="s">
        <v>6656</v>
      </c>
      <c r="M997" s="57" t="s">
        <v>6657</v>
      </c>
    </row>
    <row r="998" ht="28" spans="1:13">
      <c r="A998" s="178" t="str">
        <f t="shared" si="15"/>
        <v>Conceptual Thinking|Director|1</v>
      </c>
      <c r="B998" s="57" t="s">
        <v>451</v>
      </c>
      <c r="C998" s="177" t="s">
        <v>773</v>
      </c>
      <c r="D998" s="177">
        <v>1</v>
      </c>
      <c r="E998" s="177" t="s">
        <v>473</v>
      </c>
      <c r="F998" s="177">
        <v>1</v>
      </c>
      <c r="G998" s="57" t="s">
        <v>6658</v>
      </c>
      <c r="H998" s="57" t="s">
        <v>6659</v>
      </c>
      <c r="I998" s="57" t="s">
        <v>6660</v>
      </c>
      <c r="J998" s="57" t="s">
        <v>6661</v>
      </c>
      <c r="K998" s="57" t="s">
        <v>6662</v>
      </c>
      <c r="L998" s="57" t="s">
        <v>6663</v>
      </c>
      <c r="M998" s="57" t="s">
        <v>6664</v>
      </c>
    </row>
    <row r="999" ht="28" spans="1:13">
      <c r="A999" s="178" t="str">
        <f t="shared" si="15"/>
        <v>Conceptual Thinking|Director|1</v>
      </c>
      <c r="B999" s="57" t="s">
        <v>451</v>
      </c>
      <c r="C999" s="177" t="s">
        <v>773</v>
      </c>
      <c r="D999" s="177">
        <v>1</v>
      </c>
      <c r="E999" s="177" t="s">
        <v>473</v>
      </c>
      <c r="F999" s="177">
        <v>2</v>
      </c>
      <c r="G999" s="57" t="s">
        <v>6665</v>
      </c>
      <c r="H999" s="57" t="s">
        <v>6666</v>
      </c>
      <c r="I999" s="57" t="s">
        <v>6667</v>
      </c>
      <c r="J999" s="57" t="s">
        <v>6668</v>
      </c>
      <c r="K999" s="57" t="s">
        <v>6669</v>
      </c>
      <c r="L999" s="57" t="s">
        <v>6670</v>
      </c>
      <c r="M999" s="57" t="s">
        <v>6671</v>
      </c>
    </row>
    <row r="1000" ht="28" spans="1:13">
      <c r="A1000" s="178" t="str">
        <f t="shared" si="15"/>
        <v>Conceptual Thinking|Director|1</v>
      </c>
      <c r="B1000" s="57" t="s">
        <v>451</v>
      </c>
      <c r="C1000" s="177" t="s">
        <v>773</v>
      </c>
      <c r="D1000" s="177">
        <v>1</v>
      </c>
      <c r="E1000" s="177" t="s">
        <v>473</v>
      </c>
      <c r="F1000" s="177">
        <v>3</v>
      </c>
      <c r="G1000" s="57" t="s">
        <v>6672</v>
      </c>
      <c r="H1000" s="57" t="s">
        <v>6673</v>
      </c>
      <c r="I1000" s="57" t="s">
        <v>6674</v>
      </c>
      <c r="J1000" s="57" t="s">
        <v>6675</v>
      </c>
      <c r="K1000" s="57" t="s">
        <v>6676</v>
      </c>
      <c r="L1000" s="57" t="s">
        <v>6677</v>
      </c>
      <c r="M1000" s="57" t="s">
        <v>6678</v>
      </c>
    </row>
    <row r="1001" ht="28" spans="1:13">
      <c r="A1001" s="178" t="str">
        <f t="shared" si="15"/>
        <v>Conceptual Thinking|Director|2</v>
      </c>
      <c r="B1001" s="57" t="s">
        <v>451</v>
      </c>
      <c r="C1001" s="177" t="s">
        <v>773</v>
      </c>
      <c r="D1001" s="177">
        <v>2</v>
      </c>
      <c r="E1001" s="177" t="s">
        <v>491</v>
      </c>
      <c r="F1001" s="177">
        <v>1</v>
      </c>
      <c r="G1001" s="57" t="s">
        <v>6679</v>
      </c>
      <c r="H1001" s="57" t="s">
        <v>6680</v>
      </c>
      <c r="I1001" s="57" t="s">
        <v>6681</v>
      </c>
      <c r="J1001" s="57" t="s">
        <v>6682</v>
      </c>
      <c r="K1001" s="57" t="s">
        <v>6683</v>
      </c>
      <c r="L1001" s="57" t="s">
        <v>6684</v>
      </c>
      <c r="M1001" s="57" t="s">
        <v>6685</v>
      </c>
    </row>
    <row r="1002" ht="28" spans="1:13">
      <c r="A1002" s="178" t="str">
        <f t="shared" si="15"/>
        <v>Conceptual Thinking|Director|2</v>
      </c>
      <c r="B1002" s="57" t="s">
        <v>451</v>
      </c>
      <c r="C1002" s="177" t="s">
        <v>773</v>
      </c>
      <c r="D1002" s="177">
        <v>2</v>
      </c>
      <c r="E1002" s="177" t="s">
        <v>491</v>
      </c>
      <c r="F1002" s="177">
        <v>2</v>
      </c>
      <c r="G1002" s="57" t="s">
        <v>6686</v>
      </c>
      <c r="H1002" s="57" t="s">
        <v>6687</v>
      </c>
      <c r="I1002" s="57" t="s">
        <v>6688</v>
      </c>
      <c r="J1002" s="57" t="s">
        <v>6689</v>
      </c>
      <c r="K1002" s="57" t="s">
        <v>6690</v>
      </c>
      <c r="L1002" s="57" t="s">
        <v>6691</v>
      </c>
      <c r="M1002" s="57" t="s">
        <v>6692</v>
      </c>
    </row>
    <row r="1003" ht="28" spans="1:13">
      <c r="A1003" s="178" t="str">
        <f t="shared" si="15"/>
        <v>Conceptual Thinking|Director|2</v>
      </c>
      <c r="B1003" s="57" t="s">
        <v>451</v>
      </c>
      <c r="C1003" s="177" t="s">
        <v>773</v>
      </c>
      <c r="D1003" s="177">
        <v>2</v>
      </c>
      <c r="E1003" s="177" t="s">
        <v>491</v>
      </c>
      <c r="F1003" s="177">
        <v>3</v>
      </c>
      <c r="G1003" s="57" t="s">
        <v>6693</v>
      </c>
      <c r="H1003" s="57" t="s">
        <v>6694</v>
      </c>
      <c r="I1003" s="57" t="s">
        <v>6695</v>
      </c>
      <c r="J1003" s="57" t="s">
        <v>6696</v>
      </c>
      <c r="K1003" s="57" t="s">
        <v>6697</v>
      </c>
      <c r="L1003" s="57" t="s">
        <v>6698</v>
      </c>
      <c r="M1003" s="57" t="s">
        <v>6699</v>
      </c>
    </row>
    <row r="1004" ht="28" spans="1:13">
      <c r="A1004" s="178" t="str">
        <f t="shared" si="15"/>
        <v>Conceptual Thinking|Director|3</v>
      </c>
      <c r="B1004" s="57" t="s">
        <v>451</v>
      </c>
      <c r="C1004" s="177" t="s">
        <v>773</v>
      </c>
      <c r="D1004" s="177">
        <v>3</v>
      </c>
      <c r="E1004" s="177" t="s">
        <v>507</v>
      </c>
      <c r="F1004" s="177">
        <v>1</v>
      </c>
      <c r="G1004" s="57" t="s">
        <v>6700</v>
      </c>
      <c r="H1004" s="57" t="s">
        <v>6701</v>
      </c>
      <c r="I1004" s="57" t="s">
        <v>6702</v>
      </c>
      <c r="J1004" s="57" t="s">
        <v>6703</v>
      </c>
      <c r="K1004" s="57" t="s">
        <v>6704</v>
      </c>
      <c r="L1004" s="57" t="s">
        <v>6705</v>
      </c>
      <c r="M1004" s="57" t="s">
        <v>6706</v>
      </c>
    </row>
    <row r="1005" ht="28" spans="1:13">
      <c r="A1005" s="178" t="str">
        <f t="shared" si="15"/>
        <v>Conceptual Thinking|Director|3</v>
      </c>
      <c r="B1005" s="57" t="s">
        <v>451</v>
      </c>
      <c r="C1005" s="177" t="s">
        <v>773</v>
      </c>
      <c r="D1005" s="177">
        <v>3</v>
      </c>
      <c r="E1005" s="177" t="s">
        <v>507</v>
      </c>
      <c r="F1005" s="177">
        <v>2</v>
      </c>
      <c r="G1005" s="57" t="s">
        <v>6707</v>
      </c>
      <c r="H1005" s="57" t="s">
        <v>6708</v>
      </c>
      <c r="I1005" s="57" t="s">
        <v>6709</v>
      </c>
      <c r="J1005" s="57" t="s">
        <v>6710</v>
      </c>
      <c r="K1005" s="57" t="s">
        <v>6711</v>
      </c>
      <c r="L1005" s="57" t="s">
        <v>6712</v>
      </c>
      <c r="M1005" s="57" t="s">
        <v>6713</v>
      </c>
    </row>
    <row r="1006" ht="28" spans="1:13">
      <c r="A1006" s="178" t="str">
        <f t="shared" si="15"/>
        <v>Conceptual Thinking|Director|3</v>
      </c>
      <c r="B1006" s="57" t="s">
        <v>451</v>
      </c>
      <c r="C1006" s="177" t="s">
        <v>773</v>
      </c>
      <c r="D1006" s="177">
        <v>3</v>
      </c>
      <c r="E1006" s="177" t="s">
        <v>507</v>
      </c>
      <c r="F1006" s="177">
        <v>3</v>
      </c>
      <c r="G1006" s="57" t="s">
        <v>6714</v>
      </c>
      <c r="H1006" s="57" t="s">
        <v>6715</v>
      </c>
      <c r="I1006" s="57" t="s">
        <v>6716</v>
      </c>
      <c r="J1006" s="57" t="s">
        <v>6717</v>
      </c>
      <c r="K1006" s="57" t="s">
        <v>6718</v>
      </c>
      <c r="L1006" s="57" t="s">
        <v>6719</v>
      </c>
      <c r="M1006" s="57" t="s">
        <v>6720</v>
      </c>
    </row>
    <row r="1007" ht="28" spans="1:13">
      <c r="A1007" s="178" t="str">
        <f t="shared" si="15"/>
        <v>Conceptual Thinking|Director|4</v>
      </c>
      <c r="B1007" s="57" t="s">
        <v>451</v>
      </c>
      <c r="C1007" s="177" t="s">
        <v>773</v>
      </c>
      <c r="D1007" s="177">
        <v>4</v>
      </c>
      <c r="E1007" s="177" t="s">
        <v>523</v>
      </c>
      <c r="F1007" s="177">
        <v>1</v>
      </c>
      <c r="G1007" s="57" t="s">
        <v>6721</v>
      </c>
      <c r="H1007" s="57" t="s">
        <v>6722</v>
      </c>
      <c r="I1007" s="57" t="s">
        <v>6723</v>
      </c>
      <c r="J1007" s="57" t="s">
        <v>6724</v>
      </c>
      <c r="K1007" s="57" t="s">
        <v>6725</v>
      </c>
      <c r="L1007" s="57" t="s">
        <v>6726</v>
      </c>
      <c r="M1007" s="57" t="s">
        <v>6727</v>
      </c>
    </row>
    <row r="1008" ht="28" spans="1:13">
      <c r="A1008" s="178" t="str">
        <f t="shared" si="15"/>
        <v>Conceptual Thinking|Director|4</v>
      </c>
      <c r="B1008" s="57" t="s">
        <v>451</v>
      </c>
      <c r="C1008" s="177" t="s">
        <v>773</v>
      </c>
      <c r="D1008" s="177">
        <v>4</v>
      </c>
      <c r="E1008" s="177" t="s">
        <v>523</v>
      </c>
      <c r="F1008" s="177">
        <v>2</v>
      </c>
      <c r="G1008" s="57" t="s">
        <v>6728</v>
      </c>
      <c r="H1008" s="57" t="s">
        <v>6729</v>
      </c>
      <c r="I1008" s="57" t="s">
        <v>6730</v>
      </c>
      <c r="J1008" s="57" t="s">
        <v>6731</v>
      </c>
      <c r="K1008" s="57" t="s">
        <v>6732</v>
      </c>
      <c r="L1008" s="57" t="s">
        <v>6733</v>
      </c>
      <c r="M1008" s="57" t="s">
        <v>6734</v>
      </c>
    </row>
    <row r="1009" ht="28" spans="1:13">
      <c r="A1009" s="178" t="str">
        <f t="shared" si="15"/>
        <v>Conceptual Thinking|Director|4</v>
      </c>
      <c r="B1009" s="57" t="s">
        <v>451</v>
      </c>
      <c r="C1009" s="177" t="s">
        <v>773</v>
      </c>
      <c r="D1009" s="177">
        <v>4</v>
      </c>
      <c r="E1009" s="177" t="s">
        <v>523</v>
      </c>
      <c r="F1009" s="177">
        <v>3</v>
      </c>
      <c r="G1009" s="57" t="s">
        <v>6735</v>
      </c>
      <c r="H1009" s="57" t="s">
        <v>6736</v>
      </c>
      <c r="I1009" s="57" t="s">
        <v>6737</v>
      </c>
      <c r="J1009" s="57" t="s">
        <v>6738</v>
      </c>
      <c r="K1009" s="57" t="s">
        <v>6739</v>
      </c>
      <c r="L1009" s="57" t="s">
        <v>6740</v>
      </c>
      <c r="M1009" s="57" t="s">
        <v>6741</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42"/>
  <sheetViews>
    <sheetView showGridLines="0" zoomScale="85" zoomScaleNormal="85" topLeftCell="A26" workbookViewId="0">
      <selection activeCell="B3" sqref="B3"/>
    </sheetView>
  </sheetViews>
  <sheetFormatPr defaultColWidth="8.83636363636364" defaultRowHeight="14"/>
  <cols>
    <col min="1" max="1" width="34.2545454545455" style="113" customWidth="1"/>
    <col min="2" max="2" width="36.4181818181818" style="113" customWidth="1"/>
    <col min="3" max="3" width="26.2545454545455" style="113" customWidth="1"/>
    <col min="4" max="4" width="21.5818181818182" style="113" customWidth="1"/>
    <col min="5" max="5" width="47.1636363636364" style="113" customWidth="1"/>
    <col min="6" max="6" width="74.8363636363636" style="113" customWidth="1"/>
    <col min="7" max="8" width="49.5818181818182" style="113" customWidth="1"/>
    <col min="9" max="16384" width="8.83636363636364" style="113"/>
  </cols>
  <sheetData>
    <row r="1" ht="17.5" spans="1:24">
      <c r="A1" s="117" t="s">
        <v>6742</v>
      </c>
      <c r="B1" s="93"/>
      <c r="C1" s="93"/>
      <c r="D1" s="93"/>
      <c r="E1" s="93"/>
      <c r="F1" s="93"/>
      <c r="G1" s="93"/>
      <c r="H1" s="93"/>
      <c r="I1" s="93"/>
      <c r="J1" s="93"/>
      <c r="K1" s="93"/>
      <c r="L1" s="93"/>
      <c r="M1" s="93"/>
      <c r="N1" s="93"/>
      <c r="O1" s="93"/>
      <c r="P1" s="93"/>
      <c r="Q1" s="93"/>
      <c r="R1" s="93"/>
      <c r="S1" s="93"/>
      <c r="T1" s="93"/>
      <c r="U1" s="93"/>
      <c r="V1" s="93"/>
      <c r="W1" s="93"/>
      <c r="X1" s="93"/>
    </row>
    <row r="3" spans="1:24">
      <c r="A3" s="98" t="str">
        <f>'[1]Form Penilaian Akhir'!A3</f>
        <v>Nama </v>
      </c>
      <c r="B3" s="99" t="str">
        <f>Identitas!D2</f>
        <v>Febrian Dwi Christian</v>
      </c>
    </row>
    <row r="4" spans="1:24">
      <c r="A4" s="98" t="s">
        <v>6743</v>
      </c>
      <c r="B4" s="99" t="s">
        <v>8</v>
      </c>
    </row>
    <row r="5" spans="1:24">
      <c r="A5" s="98" t="s">
        <v>6744</v>
      </c>
      <c r="B5" s="99" t="s">
        <v>6745</v>
      </c>
    </row>
    <row r="6" spans="1:24">
      <c r="A6" s="98" t="s">
        <v>6746</v>
      </c>
      <c r="B6" s="99" t="s">
        <v>6747</v>
      </c>
    </row>
    <row r="7" spans="1:24">
      <c r="A7" s="98" t="str">
        <f>'[1]Form Penilaian Akhir'!A7</f>
        <v>Tanggal Penilaian 1</v>
      </c>
      <c r="B7" s="99" t="s">
        <v>6748</v>
      </c>
    </row>
    <row r="8" spans="1:24">
      <c r="A8" s="98" t="str">
        <f>'[1]Form Penilaian Akhir'!A8</f>
        <v>Tanggal Penilaian 2</v>
      </c>
      <c r="B8" s="99" t="s">
        <v>6749</v>
      </c>
    </row>
    <row r="9" spans="1:24">
      <c r="A9" s="100"/>
      <c r="B9" s="160"/>
    </row>
    <row r="10" spans="1:24">
      <c r="A10" s="100"/>
      <c r="B10" s="93"/>
    </row>
    <row r="12" ht="42" spans="1:24">
      <c r="A12" s="101" t="s">
        <v>6750</v>
      </c>
      <c r="B12" s="101" t="s">
        <v>6751</v>
      </c>
      <c r="C12" s="101" t="s">
        <v>6752</v>
      </c>
      <c r="D12" s="101" t="s">
        <v>6753</v>
      </c>
      <c r="E12" s="101" t="s">
        <v>426</v>
      </c>
      <c r="F12" s="101" t="s">
        <v>6754</v>
      </c>
    </row>
    <row r="13" ht="42" spans="1:24">
      <c r="A13" s="113" t="s">
        <v>473</v>
      </c>
      <c r="B13" s="161">
        <v>0.05</v>
      </c>
      <c r="C13" s="162">
        <f>AVERAGE('Bukti Aktivitas Pengembangan'!P9:P13)</f>
        <v>2.775</v>
      </c>
      <c r="D13" s="162">
        <f>RingkasanKomponenTable[[#This Row],[Skor Rata - rata
Bukti Aktivitas Pengembangan]]*RingkasanKomponenTable[[#This Row],[Bobot]]</f>
        <v>0.13875</v>
      </c>
      <c r="E13" s="163" t="str">
        <f>_xlfn.CONCAT('Aktivitas pengembangan'!A9,"-",'Aktivitas pengembangan'!A10,"-",'Aktivitas pengembangan'!A11)</f>
        <v>Managing Change-Managing Change-Controlling &amp; Corrective Action</v>
      </c>
      <c r="F13" s="93" t="str">
        <f>_xlfn.CONCAT('Bukti Aktivitas Pengembangan'!D9,"-",'Bukti Aktivitas Pengembangan'!D11,"-",AktivitasTable8[[#This Row],[Aktivitas]])</f>
        <v>Melakukan analisa dampak perubahan terhadap pekerjaan dan unit kerja-Menyusun rencana peningkatan kemampuan adaptasi pribadi-Jurnal Pembelajaran dari Keberhasilan dan Kegagalan</v>
      </c>
    </row>
    <row r="14" ht="52.15" customHeight="1" spans="1:24">
      <c r="A14" s="113" t="s">
        <v>491</v>
      </c>
      <c r="B14" s="161">
        <v>0.15</v>
      </c>
      <c r="C14" s="162">
        <f>AVERAGE('Bukti Aktivitas Pengembangan'!P14:P18)</f>
        <v>3.45</v>
      </c>
      <c r="D14" s="162">
        <f>RingkasanKomponenTable[[#This Row],[Skor Rata - rata
Bukti Aktivitas Pengembangan]]*RingkasanKomponenTable[[#This Row],[Bobot]]</f>
        <v>0.5175</v>
      </c>
      <c r="E14" s="163" t="str">
        <f>_xlfn.CONCAT('Aktivitas pengembangan'!A12,"-",'Aktivitas pengembangan'!A13,"-",'Aktivitas pengembangan'!A14)</f>
        <v>Managing Change-Managing Change-Controlling &amp; Corrective Action</v>
      </c>
      <c r="F14" s="93" t="str">
        <f>_xlfn.CONCAT(AktivitasTable8[[#This Row],[Aktivitas]],"-",'Bukti Aktivitas Pengembangan'!D16,"-",'Bukti Aktivitas Pengembangan'!D18)</f>
        <v>Mengikuti pelatihan Change Management dan Adaptive Mindset-Menganalisa studi kasus perubahan organisasi-Workshop Root Cause Analysis dan Action Improvement</v>
      </c>
    </row>
    <row r="15" ht="60" customHeight="1" spans="1:24">
      <c r="A15" s="113" t="s">
        <v>6755</v>
      </c>
      <c r="B15" s="161">
        <v>0.2</v>
      </c>
      <c r="C15" s="162">
        <f>AVERAGE('Bukti Aktivitas Pengembangan'!P19:P23)</f>
        <v>4.06666666666667</v>
      </c>
      <c r="D15" s="162">
        <f>RingkasanKomponenTable[[#This Row],[Skor Rata - rata
Bukti Aktivitas Pengembangan]]*RingkasanKomponenTable[[#This Row],[Bobot]]</f>
        <v>0.813333333333333</v>
      </c>
      <c r="E15" s="163" t="str">
        <f>_xlfn.CONCAT('Aktivitas pengembangan'!A15,"-",'Aktivitas pengembangan'!A16,"-",'Aktivitas pengembangan'!A17)</f>
        <v>Managing Change-Managing Change-Controlling &amp; Corrective Action</v>
      </c>
      <c r="F15" s="93" t="str">
        <f>_xlfn.CONCAT('Bukti Aktivitas Pengembangan'!D19,"-",'Bukti Aktivitas Pengembangan'!D21,"-",'Bukti Aktivitas Pengembangan'!D23)</f>
        <v>Berdiskusi dengan leader mengenai pengalaman menghadapi perubahan-Meminta feedback terkait kemampuan adaptasi terhadap perubahan-Sesi After Action Review (AAR) bersama atasan atau mentor</v>
      </c>
    </row>
    <row r="16" ht="63" customHeight="1" spans="1:24">
      <c r="A16" s="113" t="s">
        <v>523</v>
      </c>
      <c r="B16" s="161">
        <v>0.6</v>
      </c>
      <c r="C16" s="162">
        <f>AVERAGE('Bukti Aktivitas Pengembangan'!P24:P27)</f>
        <v>3.75</v>
      </c>
      <c r="D16" s="162">
        <f>RingkasanKomponenTable[[#This Row],[Skor Rata - rata
Bukti Aktivitas Pengembangan]]*RingkasanKomponenTable[[#This Row],[Bobot]]</f>
        <v>2.25</v>
      </c>
      <c r="E16" s="163" t="str">
        <f>_xlfn.CONCAT('Bukti Aktivitas Pengembangan'!A24,"-",'Bukti Aktivitas Pengembangan'!A26)</f>
        <v>Managing Change-Managing Change</v>
      </c>
      <c r="F16" s="93" t="str">
        <f>_xlfn.CONCAT('Bukti Aktivitas Pengembangan'!D24,"-",'Bukti Aktivitas Pengembangan'!D26)</f>
        <v>Menginisiasi perbaikan kecil akibat perubahan proses kerja-Menyusun "Personal Change Resilience Portfolio" dan mempresentasikannya kepada atasan (menggantikan assessment formal)</v>
      </c>
    </row>
    <row r="17" ht="20" spans="1:6">
      <c r="A17"/>
      <c r="B17" s="164" t="s">
        <v>6756</v>
      </c>
      <c r="D17" s="165">
        <f>SUBTOTAL(109,RingkasanKomponenTable[Nilai Tertimbang Aktivitas])</f>
        <v>3.71958333333333</v>
      </c>
    </row>
    <row r="18" ht="20" spans="1:6">
      <c r="A18"/>
      <c r="B18" s="164"/>
      <c r="E18" s="164"/>
      <c r="F18" s="165"/>
    </row>
    <row r="19" spans="1:6">
      <c r="B19" s="161"/>
      <c r="C19" s="162"/>
      <c r="D19" s="162"/>
      <c r="E19" s="163"/>
      <c r="F19" s="93"/>
    </row>
    <row r="22" s="159" customFormat="1" ht="17.5" spans="1:6">
      <c r="A22" s="166"/>
      <c r="B22" s="113"/>
      <c r="C22" s="113"/>
      <c r="D22" s="113"/>
      <c r="E22" s="113"/>
      <c r="F22" s="113"/>
    </row>
    <row r="23" ht="17.5" spans="1:6">
      <c r="A23" s="166"/>
      <c r="C23" s="159"/>
      <c r="D23" s="159"/>
      <c r="E23" s="159"/>
      <c r="F23" s="159"/>
    </row>
    <row r="24" ht="17.5" spans="1:6">
      <c r="A24" s="166"/>
      <c r="B24" s="167"/>
    </row>
    <row r="25" ht="17.5" spans="1:6">
      <c r="A25" s="166"/>
      <c r="B25" s="168"/>
    </row>
    <row r="34" spans="1:5">
      <c r="A34" s="98" t="s">
        <v>6757</v>
      </c>
    </row>
    <row r="35" spans="1:5">
      <c r="A35" s="101" t="s">
        <v>6758</v>
      </c>
      <c r="B35" s="101" t="s">
        <v>6759</v>
      </c>
      <c r="C35" s="101" t="s">
        <v>6760</v>
      </c>
      <c r="D35" s="101" t="s">
        <v>6761</v>
      </c>
      <c r="E35" s="101" t="s">
        <v>6754</v>
      </c>
    </row>
    <row r="36" spans="1:5">
      <c r="A36" s="93" t="s">
        <v>6762</v>
      </c>
      <c r="B36" s="169" t="s">
        <v>6763</v>
      </c>
      <c r="C36" s="170">
        <f>RingkasanKomponenTable[[#Totals],[Nilai Tertimbang Aktivitas]]</f>
        <v>3.71958333333333</v>
      </c>
      <c r="D36" s="113" t="str">
        <f>IF(C36&gt;=4,"Memenuhi","Belum Memenuhi")</f>
        <v>Belum Memenuhi</v>
      </c>
    </row>
    <row r="37" spans="1:5">
      <c r="A37" s="93" t="s">
        <v>6764</v>
      </c>
      <c r="B37" s="169" t="s">
        <v>6763</v>
      </c>
      <c r="C37" s="170">
        <f>'Penilaian Perilaku'!Q33</f>
        <v>2.85714285714286</v>
      </c>
      <c r="D37" s="113" t="str">
        <f>IF(C37&gt;=4,"Memenuhi","Belum Memenuhi")</f>
        <v>Belum Memenuhi</v>
      </c>
    </row>
    <row r="38" spans="1:5">
      <c r="A38" s="113" t="s">
        <v>6765</v>
      </c>
      <c r="B38" s="169" t="s">
        <v>6763</v>
      </c>
      <c r="C38" s="170">
        <f>'Form Penilaian Presentasi'!K17</f>
        <v>2.8</v>
      </c>
      <c r="D38" s="113" t="str">
        <f>IF(C38&gt;=4,"Memenuhi","Belum Memenuhi")</f>
        <v>Belum Memenuhi</v>
      </c>
    </row>
    <row r="39" spans="1:5">
      <c r="C39" s="170"/>
    </row>
    <row r="40" ht="21" spans="1:5">
      <c r="A40" s="171" t="s">
        <v>6766</v>
      </c>
      <c r="B40" s="169" t="s">
        <v>6763</v>
      </c>
      <c r="C40" s="172">
        <f>AVERAGE(C36:C38)</f>
        <v>3.1255753968254</v>
      </c>
      <c r="D40" s="171" t="str">
        <f>IF(Tabel92[[#This Row],[Hasil]]&gt;=4.5,"Melampaui Target",IF(Tabel92[[#This Row],[Hasil]]&gt;=4,"Siap Naik Level",IF(Tabel92[[#This Row],[Hasil]]&gt;=3.75,"Siap dengan Catatan/Perlu Penguatan",IF(Tabel92[[#This Row],[Hasil]]&lt;=3.5,"Belum Siap","Belum Siap"))))</f>
        <v>Belum Siap</v>
      </c>
      <c r="E40" s="169"/>
    </row>
    <row r="41" ht="28" spans="1:5">
      <c r="A41" s="173" t="s">
        <v>6767</v>
      </c>
      <c r="B41" s="93" t="s">
        <v>6768</v>
      </c>
      <c r="C41" s="174"/>
      <c r="D41" s="171" t="str">
        <f>IF(C40&gt;=4,"Lulus Pengembangan","Perlu Penguatan Lanjutan")</f>
        <v>Perlu Penguatan Lanjutan</v>
      </c>
    </row>
    <row r="42" ht="21" spans="1:5">
      <c r="A42" s="175"/>
      <c r="B42" s="113" t="s">
        <v>6769</v>
      </c>
      <c r="C42" s="174"/>
      <c r="D42" s="176" t="str">
        <f>IF(D41="Lulus Pengembangan","Lanjut","Perlu penguatan")</f>
        <v>Perlu penguatan</v>
      </c>
    </row>
  </sheetData>
  <mergeCells count="2">
    <mergeCell ref="A1:F1"/>
    <mergeCell ref="A34:E34"/>
  </mergeCells>
  <conditionalFormatting sqref="C19">
    <cfRule type="colorScale" priority="1">
      <colorScale>
        <cfvo type="min"/>
        <cfvo type="percentile" val="50"/>
        <cfvo type="max"/>
        <color rgb="FFF4CCCC"/>
        <color rgb="FFFFF2CC"/>
        <color rgb="FFC6E0B4"/>
      </colorScale>
    </cfRule>
  </conditionalFormatting>
  <pageMargins left="0.7" right="0.7" top="0.75" bottom="0.75" header="0.3" footer="0.3"/>
  <headerFooter/>
  <drawing r:id="rId1"/>
  <tableParts count="2">
    <tablePart r:id="rId2"/>
    <tablePart r:id="rId3"/>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W21"/>
  <sheetViews>
    <sheetView zoomScale="55" zoomScaleNormal="55" workbookViewId="0">
      <selection activeCell="F16" sqref="F16"/>
    </sheetView>
  </sheetViews>
  <sheetFormatPr defaultColWidth="8.83636363636364" defaultRowHeight="14"/>
  <cols>
    <col min="1" max="1" width="27.2545454545455" style="94" customWidth="1"/>
    <col min="2" max="2" width="31.1636363636364" style="94" customWidth="1"/>
    <col min="3" max="3" width="6.75454545454545" style="94" customWidth="1"/>
    <col min="4" max="4" width="35.5818181818182" style="94" customWidth="1"/>
    <col min="5" max="5" width="57.2545454545455" style="94" customWidth="1"/>
    <col min="6" max="6" width="61.1636363636364" style="94" customWidth="1"/>
    <col min="7" max="7" width="44.4181818181818" style="94" customWidth="1"/>
    <col min="8" max="9" width="15.5818181818182" style="94" customWidth="1"/>
    <col min="10" max="10" width="50" style="94" customWidth="1"/>
    <col min="11" max="11" width="47.5818181818182" style="94" customWidth="1"/>
    <col min="12" max="16384" width="8.83636363636364" style="94"/>
  </cols>
  <sheetData>
    <row r="1" ht="17.5" spans="1:23">
      <c r="B1" s="96" t="s">
        <v>6770</v>
      </c>
      <c r="C1" s="97"/>
      <c r="D1" s="97"/>
      <c r="E1" s="97"/>
      <c r="F1" s="97"/>
      <c r="G1" s="97"/>
      <c r="H1" s="97"/>
      <c r="I1" s="97"/>
      <c r="J1" s="97"/>
      <c r="K1" s="97"/>
      <c r="L1" s="97"/>
      <c r="M1" s="97"/>
      <c r="N1" s="97"/>
      <c r="O1" s="97"/>
      <c r="P1" s="97"/>
      <c r="Q1" s="97"/>
      <c r="R1" s="97"/>
      <c r="S1" s="97"/>
      <c r="T1" s="97"/>
      <c r="U1" s="97"/>
      <c r="V1" s="97"/>
      <c r="W1" s="97"/>
    </row>
    <row r="2" s="92" customFormat="1" spans="1:23">
      <c r="A2" s="98" t="s">
        <v>0</v>
      </c>
      <c r="B2" s="92" t="str">
        <f>Dasboard!B3</f>
        <v>Febrian Dwi Christian</v>
      </c>
      <c r="I2" s="102"/>
      <c r="J2" s="102"/>
      <c r="K2" s="102"/>
      <c r="L2" s="102"/>
    </row>
    <row r="3" s="92" customFormat="1" spans="1:23">
      <c r="A3" s="98" t="s">
        <v>6743</v>
      </c>
      <c r="B3" s="92" t="str">
        <f>Dasboard!B4</f>
        <v>Analyst</v>
      </c>
      <c r="I3" s="95"/>
      <c r="J3" s="95"/>
      <c r="K3" s="95"/>
      <c r="L3" s="102"/>
    </row>
    <row r="4" s="92" customFormat="1" spans="1:23">
      <c r="A4" s="98" t="s">
        <v>6744</v>
      </c>
      <c r="B4" s="92" t="str">
        <f>Dasboard!B5</f>
        <v>Unit Head</v>
      </c>
      <c r="I4" s="95"/>
      <c r="J4" s="95"/>
      <c r="K4" s="95"/>
      <c r="L4" s="102"/>
    </row>
    <row r="5" s="92" customFormat="1" spans="1:23">
      <c r="A5" s="98" t="s">
        <v>6771</v>
      </c>
      <c r="B5" s="92" t="str">
        <f>Dasboard!B6</f>
        <v>Juli 2026 - Juli 2027</v>
      </c>
      <c r="I5" s="95"/>
      <c r="J5" s="95"/>
      <c r="K5" s="95"/>
      <c r="L5" s="102"/>
    </row>
    <row r="6" s="92" customFormat="1" spans="1:23">
      <c r="A6" s="98" t="s">
        <v>6772</v>
      </c>
      <c r="B6" s="92" t="str">
        <f>Dasboard!B7</f>
        <v>Desember 2026</v>
      </c>
      <c r="I6" s="95"/>
      <c r="J6" s="95"/>
      <c r="K6" s="95"/>
      <c r="L6" s="102"/>
    </row>
    <row r="8" spans="1:23">
      <c r="A8" s="155" t="s">
        <v>426</v>
      </c>
      <c r="B8" s="156" t="s">
        <v>6773</v>
      </c>
      <c r="C8" s="156" t="s">
        <v>19</v>
      </c>
      <c r="D8" s="156" t="s">
        <v>6774</v>
      </c>
      <c r="E8" s="156" t="s">
        <v>467</v>
      </c>
      <c r="F8" s="156" t="s">
        <v>6775</v>
      </c>
      <c r="G8" s="156" t="s">
        <v>6776</v>
      </c>
      <c r="H8" s="156" t="s">
        <v>6777</v>
      </c>
      <c r="I8" s="156" t="s">
        <v>6778</v>
      </c>
      <c r="J8" s="156" t="s">
        <v>6779</v>
      </c>
      <c r="K8" s="156" t="s">
        <v>6780</v>
      </c>
    </row>
    <row r="9" ht="56" spans="1:23">
      <c r="A9" s="157" t="str">
        <f>'Bukti Aktivitas Pengembangan'!A9</f>
        <v>Managing Change</v>
      </c>
      <c r="B9" s="157" t="str">
        <f>'Bukti Aktivitas Pengembangan'!B9</f>
        <v>Personal Development</v>
      </c>
      <c r="C9" s="157">
        <f>'Bukti Aktivitas Pengembangan'!C9</f>
        <v>1</v>
      </c>
      <c r="D9" s="157" t="str">
        <f>'Bukti Aktivitas Pengembangan'!D9</f>
        <v>Melakukan analisa dampak perubahan terhadap pekerjaan dan unit kerja</v>
      </c>
      <c r="E9" s="157" t="str">
        <f>'Bukti Aktivitas Pengembangan'!E9</f>
        <v>Meningkatkan kemampuan memahami dampak perubahan dan kebutuhan adaptasi</v>
      </c>
      <c r="F9" s="157" t="str">
        <f>'Bukti Aktivitas Pengembangan'!F9</f>
        <v>Talent memilih satu perubahan yang terjadi di organisasi/unit kerja, kemudian mengidentifikasi alasan perubahan, dampak terhadap pekerjaan, tantangan adaptasi, serta tindakan yang perlu dilakukan</v>
      </c>
      <c r="G9" s="157" t="str">
        <f>'Bukti Aktivitas Pengembangan'!G9</f>
        <v>Change Impact Analysis Document (minimal 1, maksimal 3)</v>
      </c>
      <c r="H9" s="157" t="str">
        <f>'Bukti Aktivitas Pengembangan'!H9</f>
        <v>Bulan 1–12</v>
      </c>
      <c r="I9" s="157" t="str">
        <f>'Bukti Aktivitas Pengembangan'!I9</f>
        <v>Bulanan</v>
      </c>
      <c r="J9" s="157" t="str">
        <f>'Bukti Aktivitas Pengembangan'!J9</f>
        <v>Mampu menjelaskan minimal 3 dampak perubahan terhadap pekerjaan dan menyusun langkah adaptasi yang relevan</v>
      </c>
      <c r="K9" s="138"/>
    </row>
    <row r="10" ht="28" spans="1:23">
      <c r="A10" s="138" t="str">
        <f>'Bukti Aktivitas Pengembangan'!A12</f>
        <v>Managing Change</v>
      </c>
      <c r="B10" s="138" t="str">
        <f>'Bukti Aktivitas Pengembangan'!B12</f>
        <v>Personal Development</v>
      </c>
      <c r="C10" s="138">
        <f>'Bukti Aktivitas Pengembangan'!C12</f>
        <v>2</v>
      </c>
      <c r="D10" s="138" t="str">
        <f>'Bukti Aktivitas Pengembangan'!D12</f>
        <v>Menyusun rencana peningkatan kemampuan adaptasi pribadi</v>
      </c>
      <c r="E10" s="138" t="str">
        <f>'Bukti Aktivitas Pengembangan'!E12</f>
        <v>Meningkatkan awareness terhadap perilaku yang mendukung perubahan</v>
      </c>
      <c r="F10" s="138" t="str">
        <f>'Bukti Aktivitas Pengembangan'!F12</f>
        <v>Talent melakukan refleksi terhadap respon ketika menghadapi perubahan dan menyusun rencana perbaikan perilaku</v>
      </c>
      <c r="G10" s="138" t="str">
        <f>'Bukti Aktivitas Pengembangan'!G12</f>
        <v>Individual Adaptability Plan (minimal 1 dokumen)</v>
      </c>
      <c r="H10" s="138" t="str">
        <f>'Bukti Aktivitas Pengembangan'!H12</f>
        <v>Bulan 1–12</v>
      </c>
      <c r="I10" s="138" t="str">
        <f>'Bukti Aktivitas Pengembangan'!I12</f>
        <v>Bulanan</v>
      </c>
      <c r="J10" s="138" t="str">
        <f>'Bukti Aktivitas Pengembangan'!J12</f>
        <v>Memiliki minimal 2 area pengembangan dan action plan adaptasi</v>
      </c>
      <c r="K10" s="138"/>
    </row>
    <row r="11" ht="111" customHeight="1" spans="1:23">
      <c r="A11" s="157" t="str">
        <f>'Bukti Aktivitas Pengembangan'!A13</f>
        <v>Controlling &amp; Corrective Action</v>
      </c>
      <c r="B11" s="157" t="str">
        <f>'Bukti Aktivitas Pengembangan'!B13</f>
        <v>Personal Development</v>
      </c>
      <c r="C11" s="157">
        <f>'Bukti Aktivitas Pengembangan'!C13</f>
        <v>3</v>
      </c>
      <c r="D11" s="157" t="str">
        <f>'Bukti Aktivitas Pengembangan'!D13</f>
        <v>Jurnal Pembelajaran dari Keberhasilan dan Kegagalan</v>
      </c>
      <c r="E11" s="157" t="str">
        <f>'Bukti Aktivitas Pengembangan'!E13</f>
        <v>Meningkatkan kemampuan mengevaluasi hasil dan mengidentifikasi area perbaikan.</v>
      </c>
      <c r="F11" s="157" t="str">
        <f>'Bukti Aktivitas Pengembangan'!F13</f>
        <v>Talent memilih minimal satu keberhasilan dan satu kegagalan yang dialami setiap minggu, menuliskan faktor penyebab, pelajaran yang diperoleh, dan hal yang perlu diperbaiki, menentukan satu corrective action yang akan diterapkan pada pekerjaan berikutnya, dan mereview kembali hasil penerapan corrective action pada minggu berikutnya.</v>
      </c>
      <c r="G11" s="157" t="str">
        <f>'Bukti Aktivitas Pengembangan'!G13</f>
        <v>Jurnal pembelajaran mingguan dan daftar corrective action. (minimal 8 entri, maksimal 20 entri/bulan)</v>
      </c>
      <c r="H11" s="157" t="str">
        <f>'Bukti Aktivitas Pengembangan'!H13</f>
        <v>Bulan 1–12</v>
      </c>
      <c r="I11" s="157" t="str">
        <f>'Bukti Aktivitas Pengembangan'!I13</f>
        <v>Per bulan</v>
      </c>
      <c r="J11" s="157" t="str">
        <f>'Bukti Aktivitas Pengembangan'!J13</f>
        <v>Minimal 8 jurnal pembelajaran selesai dan ≥80% corrective action diterapkan.</v>
      </c>
      <c r="K11" s="157"/>
    </row>
    <row r="12" ht="28" spans="1:23">
      <c r="A12" s="102" t="str">
        <f>'Bukti Aktivitas Pengembangan'!A14</f>
        <v>Managing Change</v>
      </c>
      <c r="B12" s="102" t="str">
        <f>'Bukti Aktivitas Pengembangan'!B14</f>
        <v>Education-Based Development</v>
      </c>
      <c r="C12" s="102">
        <f>'Bukti Aktivitas Pengembangan'!C14</f>
        <v>1</v>
      </c>
      <c r="D12" s="102" t="str">
        <f>'Bukti Aktivitas Pengembangan'!D14</f>
        <v>Mengikuti pelatihan Change Management dan Adaptive Mindset</v>
      </c>
      <c r="E12" s="102" t="str">
        <f>'Bukti Aktivitas Pengembangan'!E14</f>
        <v>Memahami konsep pengelolaan perubahan dan faktor keberhasilan perubahan</v>
      </c>
      <c r="F12" s="102" t="str">
        <f>'Bukti Aktivitas Pengembangan'!F14</f>
        <v>Talent mengikuti training mengenai tahapan perubahan, faktor resistensi, dan strategi adaptasi perubahan</v>
      </c>
      <c r="G12" s="102" t="str">
        <f>'Bukti Aktivitas Pengembangan'!G14</f>
        <v>Training Assessment Result (1 kali)</v>
      </c>
      <c r="H12" s="102" t="str">
        <f>'Bukti Aktivitas Pengembangan'!H14</f>
        <v>Bulan 1–12</v>
      </c>
      <c r="I12" s="102" t="str">
        <f>'Bukti Aktivitas Pengembangan'!I14</f>
        <v>Bulanan</v>
      </c>
      <c r="J12" s="102" t="str">
        <f>'Bukti Aktivitas Pengembangan'!J14</f>
        <v>Nilai assessment minimal 80%</v>
      </c>
      <c r="K12" s="102"/>
    </row>
    <row r="13" ht="42" spans="1:23">
      <c r="A13" s="157" t="str">
        <f>'Bukti Aktivitas Pengembangan'!A16</f>
        <v>Managing Change</v>
      </c>
      <c r="B13" s="157" t="str">
        <f>'Bukti Aktivitas Pengembangan'!B16</f>
        <v>Education-Based Development</v>
      </c>
      <c r="C13" s="157">
        <f>'Bukti Aktivitas Pengembangan'!C16</f>
        <v>2</v>
      </c>
      <c r="D13" s="157" t="str">
        <f>'Bukti Aktivitas Pengembangan'!D16</f>
        <v>Menganalisa studi kasus perubahan organisasi</v>
      </c>
      <c r="E13" s="157" t="str">
        <f>'Bukti Aktivitas Pengembangan'!E16</f>
        <v>Mengembangkan kemampuan memahami penyebab dan dampak perubahan</v>
      </c>
      <c r="F13" s="157" t="str">
        <f>'Bukti Aktivitas Pengembangan'!F16</f>
        <v>Talent menganalisa kasus perubahan organisasi, mengidentifikasi tantangan, resistensi, dan strategi adaptasi</v>
      </c>
      <c r="G13" s="157" t="str">
        <f>'Bukti Aktivitas Pengembangan'!G16</f>
        <v>Change Case Analysis Report (maksimal 3 laporan)</v>
      </c>
      <c r="H13" s="157" t="str">
        <f>'Bukti Aktivitas Pengembangan'!H16</f>
        <v>Bulan 1–12</v>
      </c>
      <c r="I13" s="157" t="str">
        <f>'Bukti Aktivitas Pengembangan'!I16</f>
        <v>Bulanan</v>
      </c>
      <c r="J13" s="157" t="str">
        <f>'Bukti Aktivitas Pengembangan'!J16</f>
        <v>Mampu mengidentifikasi faktor pendukung dan hambatan perubahan</v>
      </c>
      <c r="K13" s="102"/>
    </row>
    <row r="14" ht="42" spans="1:23">
      <c r="A14" s="102" t="str">
        <f>'Bukti Aktivitas Pengembangan'!A18</f>
        <v>Controlling &amp; Corrective Action</v>
      </c>
      <c r="B14" s="102" t="str">
        <f>'Bukti Aktivitas Pengembangan'!B18</f>
        <v>Education-Based Development</v>
      </c>
      <c r="C14" s="102">
        <f>'Bukti Aktivitas Pengembangan'!C18</f>
        <v>3</v>
      </c>
      <c r="D14" s="102" t="str">
        <f>'Bukti Aktivitas Pengembangan'!D18</f>
        <v>Workshop Root Cause Analysis dan Action Improvement</v>
      </c>
      <c r="E14" s="102" t="str">
        <f>'Bukti Aktivitas Pengembangan'!E18</f>
        <v>Mengembangkan kemampuan mengimplementasikan tindakan perbaikan untuk meningkatkan kualitas dan efektivitas hasil kerja.</v>
      </c>
      <c r="F14" s="102" t="str">
        <f>'Bukti Aktivitas Pengembangan'!F18</f>
        <v>Talent mengikuti workshop Root Cause Analysis, mempelajari metode 5 Why dan Fishbone Diagram, dan menyusun rencana tindakan perbaikan untuk satu kasus nyata di area kerja.</v>
      </c>
      <c r="G14" s="102" t="str">
        <f>'Bukti Aktivitas Pengembangan'!G18</f>
        <v>Action plan perbaikan dan analisis akar masalah. (1 dokumen)</v>
      </c>
      <c r="H14" s="102" t="str">
        <f>'Bukti Aktivitas Pengembangan'!H18</f>
        <v>Bulan 1–12</v>
      </c>
      <c r="I14" s="102" t="str">
        <f>'Bukti Aktivitas Pengembangan'!I18</f>
        <v>Per bulan</v>
      </c>
      <c r="J14" s="102" t="str">
        <f>'Bukti Aktivitas Pengembangan'!J18</f>
        <v>Menghasilkan action plan yang memuat akar masalah, solusi, PIC, dan target implementasi.</v>
      </c>
      <c r="K14" s="102"/>
    </row>
    <row r="15" ht="28" spans="1:23">
      <c r="A15" s="157" t="str">
        <f>'Bukti Aktivitas Pengembangan'!A19</f>
        <v>Managing Change</v>
      </c>
      <c r="B15" s="157" t="str">
        <f>'Bukti Aktivitas Pengembangan'!B19</f>
        <v>Relation-Based Development</v>
      </c>
      <c r="C15" s="157">
        <f>'Bukti Aktivitas Pengembangan'!C19</f>
        <v>1</v>
      </c>
      <c r="D15" s="157" t="str">
        <f>'Bukti Aktivitas Pengembangan'!D19</f>
        <v>Berdiskusi dengan leader mengenai pengalaman menghadapi perubahan</v>
      </c>
      <c r="E15" s="157" t="str">
        <f>'Bukti Aktivitas Pengembangan'!E19</f>
        <v>Memperluas perspektif mengenai cara menghadapi perubahan</v>
      </c>
      <c r="F15" s="157" t="str">
        <f>'Bukti Aktivitas Pengembangan'!F19</f>
        <v>Talent melakukan diskusi dengan atasan mengenai pengalaman perubahan besar, tantangan, dan cara mengatasinya</v>
      </c>
      <c r="G15" s="157" t="str">
        <f>'Bukti Aktivitas Pengembangan'!G19</f>
        <v>Change Learning Note (minimal 2 sesi)</v>
      </c>
      <c r="H15" s="157" t="str">
        <f>'Bukti Aktivitas Pengembangan'!H19</f>
        <v>Bulan 1–12</v>
      </c>
      <c r="I15" s="157" t="str">
        <f>'Bukti Aktivitas Pengembangan'!I19</f>
        <v>Bulanan</v>
      </c>
      <c r="J15" s="157" t="str">
        <f>'Bukti Aktivitas Pengembangan'!J19</f>
        <v>Mampu mengambil minimal 3 insight dari pengalaman orang lain</v>
      </c>
      <c r="K15" s="138"/>
    </row>
    <row r="16" ht="28" spans="1:23">
      <c r="A16" s="138" t="str">
        <f>'Bukti Aktivitas Pengembangan'!A21</f>
        <v>Managing Change</v>
      </c>
      <c r="B16" s="138" t="str">
        <f>'Bukti Aktivitas Pengembangan'!B21</f>
        <v>Relation-Based Development</v>
      </c>
      <c r="C16" s="138">
        <f>'Bukti Aktivitas Pengembangan'!C21</f>
        <v>2</v>
      </c>
      <c r="D16" s="138" t="str">
        <f>'Bukti Aktivitas Pengembangan'!D21</f>
        <v>Meminta feedback terkait kemampuan adaptasi terhadap perubahan</v>
      </c>
      <c r="E16" s="138" t="str">
        <f>'Bukti Aktivitas Pengembangan'!E21</f>
        <v>Meningkatkan self awareness dalam menghadapi perubahan</v>
      </c>
      <c r="F16" s="138" t="str">
        <f>'Bukti Aktivitas Pengembangan'!F21</f>
        <v>Talent meminta feedback dari atasan dan stakeholder terkait respon terhadap perubahan</v>
      </c>
      <c r="G16" s="138" t="str">
        <f>'Bukti Aktivitas Pengembangan'!G21</f>
        <v>Adaptability Feedback Summary (minimal 1 kali)</v>
      </c>
      <c r="H16" s="138" t="str">
        <f>'Bukti Aktivitas Pengembangan'!H21</f>
        <v>Bulan 1–12</v>
      </c>
      <c r="I16" s="138" t="str">
        <f>'Bukti Aktivitas Pengembangan'!I21</f>
        <v>Bulanan</v>
      </c>
      <c r="J16" s="138" t="str">
        <f>'Bukti Aktivitas Pengembangan'!J21</f>
        <v>Mengidentifikasi area improvement dan tindak lanjut perbaikan</v>
      </c>
      <c r="K16" s="138"/>
    </row>
    <row r="17" ht="70" spans="1:11">
      <c r="A17" s="157" t="str">
        <f>'Bukti Aktivitas Pengembangan'!A23</f>
        <v>Controlling &amp; Corrective Action</v>
      </c>
      <c r="B17" s="157" t="str">
        <f>'Bukti Aktivitas Pengembangan'!B23</f>
        <v>Relation-Based Development</v>
      </c>
      <c r="C17" s="157">
        <f>'Bukti Aktivitas Pengembangan'!C23</f>
        <v>3</v>
      </c>
      <c r="D17" s="157" t="str">
        <f>'Bukti Aktivitas Pengembangan'!D23</f>
        <v>Sesi After Action Review (AAR) bersama atasan atau mentor</v>
      </c>
      <c r="E17" s="157" t="str">
        <f>'Bukti Aktivitas Pengembangan'!E23</f>
        <v>Mengembangkan kemampuan mengevaluasi hasil kerja, mengidentifikasi faktor keberhasilan dan kegagalan, serta memperoleh pembelajaran yang dapat diterapkan untuk peningkatan kinerja berikutnya.</v>
      </c>
      <c r="F17" s="157" t="str">
        <f>'Bukti Aktivitas Pengembangan'!F23</f>
        <v>Talent memilih satu pekerjaan atau proyek yang telah selesai, menjadwalkan diskusi dengan atasan atau mentor, membahas target, hasil aktual, faktor pendukung, hambatan, dan area perbaikan, mencatat minimal tiga pembelajaran, dan menyusun rencana tindakan perbaikan.</v>
      </c>
      <c r="G17" s="157" t="str">
        <f>'Bukti Aktivitas Pengembangan'!G23</f>
        <v>Dokumen After Action Review (AAR) dan action plan perbaikan. (minimal 2 sesi)</v>
      </c>
      <c r="H17" s="157" t="str">
        <f>'Bukti Aktivitas Pengembangan'!H23</f>
        <v>Bulan 1–12</v>
      </c>
      <c r="I17" s="157" t="str">
        <f>'Bukti Aktivitas Pengembangan'!I23</f>
        <v>Per bulan</v>
      </c>
      <c r="J17" s="157" t="str">
        <f>'Bukti Aktivitas Pengembangan'!J23</f>
        <v>Mendokumentasikan minimal 3 pembelajaran dan menyusun minimal 2 tindakan perbaikan yang disetujui atasan atau mentor.</v>
      </c>
      <c r="K17" s="138"/>
    </row>
    <row r="18" ht="28" spans="1:11">
      <c r="A18" s="102" t="str">
        <f>'Bukti Aktivitas Pengembangan'!A24</f>
        <v>Managing Change</v>
      </c>
      <c r="B18" s="102" t="str">
        <f>'Bukti Aktivitas Pengembangan'!B24</f>
        <v>Experience-Based Development</v>
      </c>
      <c r="C18" s="102">
        <f>'Bukti Aktivitas Pengembangan'!C24</f>
        <v>1</v>
      </c>
      <c r="D18" s="102" t="str">
        <f>'Bukti Aktivitas Pengembangan'!D24</f>
        <v>Menginisiasi perbaikan kecil akibat perubahan proses kerja</v>
      </c>
      <c r="E18" s="102" t="str">
        <f>'Bukti Aktivitas Pengembangan'!E24</f>
        <v>Mengembangkan mindset bahwa perubahan dapat menjadi peluang improvement</v>
      </c>
      <c r="F18" s="102" t="str">
        <f>'Bukti Aktivitas Pengembangan'!F24</f>
        <v>Talent mengidentifikasi satu peluang perbaikan dan menjalankan improvement sederhana</v>
      </c>
      <c r="G18" s="102" t="str">
        <f>'Bukti Aktivitas Pengembangan'!G24</f>
        <v>Improvement Initiative Report (minimal 1 laporan)</v>
      </c>
      <c r="H18" s="102" t="str">
        <f>'Bukti Aktivitas Pengembangan'!H24</f>
        <v>Bulan 1–12</v>
      </c>
      <c r="I18" s="102" t="str">
        <f>'Bukti Aktivitas Pengembangan'!I24</f>
        <v>Bulanan</v>
      </c>
      <c r="J18" s="102" t="str">
        <f>'Bukti Aktivitas Pengembangan'!J24</f>
        <v>Memberikan kontribusi nyata terhadap peningkatan proses kerja</v>
      </c>
      <c r="K18" s="102"/>
    </row>
    <row r="19" ht="84" customHeight="1" spans="1:11">
      <c r="A19" s="157" t="str">
        <f>'Bukti Aktivitas Pengembangan'!A26</f>
        <v>Managing Change</v>
      </c>
      <c r="B19" s="157" t="str">
        <f>'Bukti Aktivitas Pengembangan'!B26</f>
        <v>Experience-Based Development</v>
      </c>
      <c r="C19" s="157">
        <f>'Bukti Aktivitas Pengembangan'!C26</f>
        <v>2</v>
      </c>
      <c r="D19" s="157" t="str">
        <f>'Bukti Aktivitas Pengembangan'!D26</f>
        <v>Menyusun "Personal Change Resilience Portfolio" dan mempresentasikannya kepada atasan (menggantikan assessment formal)</v>
      </c>
      <c r="E19" s="157" t="str">
        <f>'Bukti Aktivitas Pengembangan'!E26</f>
        <v>Mengintegrasikan seluruh kemampuan adaptasi: analisis dampak, adaptasi metode kerja, perbaikan proses, dan pembelajaran dari pengalaman, menjadi portofolio yang membuktikan kemampuan menyesuaikan diri dan tetap produktif di bawah tekanan perubahan</v>
      </c>
      <c r="F19" s="157" t="str">
        <f>'Bukti Aktivitas Pengembangan'!F26</f>
        <v>Talent mengumpulkan bukti dari seluruh aktivitas (analisis dampak, adaptasi metode, implementasi perubahan, improvement, feedback) dan menyusun portofolio yang menceritakan perjalanan adaptasi, pembelajaran kunci, bukti ketahanan di bawah tekanan, serta rencana adaptasi ke depan. Portofolio dipresentasikan kepada atasan.</v>
      </c>
      <c r="G19" s="157" t="str">
        <f>'Bukti Aktivitas Pengembangan'!G26</f>
        <v>Personal Change Resilience Portfolio (1 dokumen + presentasi singkat)</v>
      </c>
      <c r="H19" s="157" t="str">
        <f>'Bukti Aktivitas Pengembangan'!H26</f>
        <v>Bulan 1–12</v>
      </c>
      <c r="I19" s="157" t="str">
        <f>'Bukti Aktivitas Pengembangan'!I26</f>
        <v>Bulanan</v>
      </c>
      <c r="J19" s="157" t="str">
        <f>'Bukti Aktivitas Pengembangan'!J26</f>
        <v>Portofolio menunjukkan pemahaman dampak perubahan, bukti adaptasi dan ketahanan, serta rencana pengembangan adaptasi yang jelas. Atasan menilai dengan skor ≥3.</v>
      </c>
      <c r="K19" s="102"/>
    </row>
    <row r="20" ht="148.15" hidden="1" customHeight="1" spans="1:11">
      <c r="A20" s="102" t="e">
        <f>'Bukti Aktivitas Pengembangan'!#REF!</f>
        <v>#REF!</v>
      </c>
      <c r="B20" s="102" t="e">
        <f>'Bukti Aktivitas Pengembangan'!#REF!</f>
        <v>#REF!</v>
      </c>
      <c r="C20" s="102" t="e">
        <f>'Bukti Aktivitas Pengembangan'!#REF!</f>
        <v>#REF!</v>
      </c>
      <c r="D20" s="102" t="e">
        <f>'Bukti Aktivitas Pengembangan'!#REF!</f>
        <v>#REF!</v>
      </c>
      <c r="E20" s="102" t="e">
        <f>'Bukti Aktivitas Pengembangan'!#REF!</f>
        <v>#REF!</v>
      </c>
      <c r="F20" s="102" t="e">
        <f>'Bukti Aktivitas Pengembangan'!#REF!</f>
        <v>#REF!</v>
      </c>
      <c r="G20" s="102" t="e">
        <f>'Bukti Aktivitas Pengembangan'!#REF!</f>
        <v>#REF!</v>
      </c>
      <c r="H20" s="102" t="e">
        <f>'Bukti Aktivitas Pengembangan'!#REF!</f>
        <v>#REF!</v>
      </c>
      <c r="I20" s="102" t="e">
        <f>'Bukti Aktivitas Pengembangan'!#REF!</f>
        <v>#REF!</v>
      </c>
      <c r="J20" s="102" t="e">
        <f>'Bukti Aktivitas Pengembangan'!#REF!</f>
        <v>#REF!</v>
      </c>
      <c r="K20" s="102"/>
    </row>
    <row r="21" ht="14.75" spans="1:11">
      <c r="A21" s="158"/>
      <c r="B21"/>
      <c r="C21"/>
      <c r="D21"/>
      <c r="E21"/>
      <c r="F21"/>
      <c r="G21"/>
      <c r="H21"/>
      <c r="I21"/>
      <c r="J21"/>
      <c r="K21"/>
    </row>
  </sheetData>
  <mergeCells count="1">
    <mergeCell ref="B1:K1"/>
  </mergeCells>
  <pageMargins left="0.7" right="0.7" top="0.75" bottom="0.75" header="0.3" footer="0.3"/>
  <headerFooter/>
  <tableParts count="1">
    <tablePart r:id="rId1"/>
  </tableParts>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showGridLines="0" zoomScale="85" zoomScaleNormal="85" topLeftCell="A33" workbookViewId="0">
      <selection activeCell="J11" sqref="J11"/>
    </sheetView>
  </sheetViews>
  <sheetFormatPr defaultColWidth="8.83636363636364" defaultRowHeight="14"/>
  <cols>
    <col min="1" max="1" width="27.4181818181818" style="94" customWidth="1"/>
    <col min="2" max="2" width="31.1636363636364" style="94" customWidth="1"/>
    <col min="3" max="3" width="6.75454545454545" style="94" customWidth="1"/>
    <col min="4" max="4" width="35.5818181818182" style="94" customWidth="1"/>
    <col min="5" max="5" width="38.8363636363636" style="94" customWidth="1"/>
    <col min="6" max="6" width="64.2545454545455" style="94" customWidth="1"/>
    <col min="7" max="7" width="36.8363636363636" style="94" customWidth="1"/>
    <col min="8" max="9" width="15.5818181818182" style="94" customWidth="1"/>
    <col min="10" max="11" width="50" style="94" customWidth="1"/>
    <col min="12" max="13" width="9.83636363636364" style="94" customWidth="1"/>
    <col min="14" max="14" width="9.83636363636364" style="134" customWidth="1"/>
    <col min="15" max="16" width="9.83636363636364" style="94" customWidth="1"/>
    <col min="17" max="17" width="17.7545454545455" style="94" customWidth="1"/>
    <col min="18" max="18" width="38.8363636363636" style="94" customWidth="1"/>
    <col min="19" max="16384" width="8.83636363636364" style="94"/>
  </cols>
  <sheetData>
    <row r="1" s="92" customFormat="1" ht="19.15" customHeight="1" spans="1:26">
      <c r="A1" s="117" t="s">
        <v>6781</v>
      </c>
      <c r="B1" s="117"/>
      <c r="C1" s="117"/>
      <c r="D1" s="117"/>
      <c r="E1" s="117"/>
      <c r="F1" s="117"/>
      <c r="G1" s="117"/>
      <c r="H1" s="117"/>
      <c r="I1" s="117"/>
      <c r="J1" s="117"/>
      <c r="K1" s="117"/>
      <c r="L1" s="117"/>
      <c r="M1" s="117"/>
      <c r="N1" s="117"/>
      <c r="O1" s="117"/>
      <c r="P1" s="117"/>
      <c r="Q1" s="117"/>
      <c r="R1" s="117"/>
      <c r="S1" s="97"/>
      <c r="T1" s="97"/>
      <c r="U1" s="97"/>
      <c r="V1" s="97"/>
      <c r="W1" s="97"/>
      <c r="X1" s="97"/>
      <c r="Y1" s="97"/>
      <c r="Z1" s="97"/>
    </row>
    <row r="2" s="92" customFormat="1" spans="1:26">
      <c r="A2" s="98" t="s">
        <v>0</v>
      </c>
      <c r="B2" s="92" t="str">
        <f>Dasboard!B3</f>
        <v>Febrian Dwi Christian</v>
      </c>
      <c r="I2" s="102"/>
      <c r="J2" s="102"/>
      <c r="K2" s="102"/>
      <c r="L2" s="102"/>
    </row>
    <row r="3" s="92" customFormat="1" spans="1:26">
      <c r="A3" s="98" t="s">
        <v>6743</v>
      </c>
      <c r="B3" s="92" t="str">
        <f>Dasboard!B4</f>
        <v>Analyst</v>
      </c>
      <c r="I3" s="95"/>
      <c r="J3" s="95"/>
      <c r="K3" s="95"/>
      <c r="L3" s="102"/>
    </row>
    <row r="4" s="92" customFormat="1" spans="1:26">
      <c r="A4" s="98" t="s">
        <v>6744</v>
      </c>
      <c r="B4" s="92" t="str">
        <f>Dasboard!B5</f>
        <v>Unit Head</v>
      </c>
      <c r="I4" s="95"/>
      <c r="J4" s="95"/>
      <c r="K4" s="95"/>
      <c r="L4" s="102"/>
    </row>
    <row r="5" s="92" customFormat="1" spans="1:26">
      <c r="A5" s="98" t="s">
        <v>6771</v>
      </c>
      <c r="B5" s="92" t="str">
        <f>Dasboard!B6</f>
        <v>Juli 2026 - Juli 2027</v>
      </c>
      <c r="I5" s="95"/>
      <c r="J5" s="95"/>
      <c r="K5" s="95"/>
      <c r="L5" s="102"/>
    </row>
    <row r="6" s="92" customFormat="1" spans="1:26">
      <c r="A6" s="98" t="s">
        <v>6772</v>
      </c>
      <c r="B6" s="92" t="str">
        <f>Dasboard!B7</f>
        <v>Desember 2026</v>
      </c>
      <c r="I6" s="95"/>
      <c r="J6" s="95"/>
      <c r="K6" s="95"/>
      <c r="L6" s="102"/>
    </row>
    <row r="8" ht="28" spans="1:26">
      <c r="A8" s="135" t="s">
        <v>426</v>
      </c>
      <c r="B8" s="101" t="s">
        <v>6773</v>
      </c>
      <c r="C8" s="101" t="s">
        <v>19</v>
      </c>
      <c r="D8" s="101" t="s">
        <v>6774</v>
      </c>
      <c r="E8" s="101" t="s">
        <v>467</v>
      </c>
      <c r="F8" s="101" t="s">
        <v>6775</v>
      </c>
      <c r="G8" s="101" t="s">
        <v>469</v>
      </c>
      <c r="H8" s="101" t="s">
        <v>6777</v>
      </c>
      <c r="I8" s="101" t="s">
        <v>6778</v>
      </c>
      <c r="J8" s="101" t="s">
        <v>6779</v>
      </c>
      <c r="K8" s="101" t="s">
        <v>6782</v>
      </c>
      <c r="L8" s="101" t="s">
        <v>6783</v>
      </c>
      <c r="M8" s="101" t="s">
        <v>6784</v>
      </c>
      <c r="N8" s="136" t="s">
        <v>6785</v>
      </c>
      <c r="O8" s="101" t="s">
        <v>6786</v>
      </c>
      <c r="P8" s="101" t="s">
        <v>6787</v>
      </c>
      <c r="Q8" s="101" t="s">
        <v>6761</v>
      </c>
      <c r="R8" s="101" t="s">
        <v>6780</v>
      </c>
    </row>
    <row r="9" ht="70" spans="1:26">
      <c r="A9" s="137" t="s">
        <v>449</v>
      </c>
      <c r="B9" s="138" t="s">
        <v>473</v>
      </c>
      <c r="C9" s="138">
        <v>1</v>
      </c>
      <c r="D9" s="138" t="s">
        <v>6788</v>
      </c>
      <c r="E9" s="138" t="s">
        <v>6789</v>
      </c>
      <c r="F9" s="138" t="s">
        <v>6790</v>
      </c>
      <c r="G9" s="138" t="s">
        <v>6791</v>
      </c>
      <c r="H9" s="138" t="s">
        <v>478</v>
      </c>
      <c r="I9" s="138" t="s">
        <v>6792</v>
      </c>
      <c r="J9" s="138" t="s">
        <v>6793</v>
      </c>
      <c r="K9" s="102" t="s">
        <v>6794</v>
      </c>
      <c r="L9" s="139" t="s">
        <v>6795</v>
      </c>
      <c r="M9" s="138">
        <v>16</v>
      </c>
      <c r="N9" s="138">
        <v>5</v>
      </c>
      <c r="O9" s="140">
        <f>AktivitasTable8[[#This Row],[aktual]]/AktivitasTable8[[#This Row],[target]]</f>
        <v>0.3125</v>
      </c>
      <c r="P9" s="141">
        <f>IF(AktivitasTable8[[#This Row],[%]]*5&gt;5,5,MAX(AktivitasTable8[[#This Row],[%]]*5,1))</f>
        <v>1.5625</v>
      </c>
      <c r="Q9" s="138" t="s">
        <v>6796</v>
      </c>
      <c r="R9" s="138" t="s">
        <v>6797</v>
      </c>
    </row>
    <row r="10" ht="56" spans="1:26">
      <c r="A10" s="137" t="s">
        <v>449</v>
      </c>
      <c r="B10" s="138" t="s">
        <v>473</v>
      </c>
      <c r="C10" s="138">
        <v>1</v>
      </c>
      <c r="D10" s="138" t="s">
        <v>6788</v>
      </c>
      <c r="E10" s="138" t="s">
        <v>6789</v>
      </c>
      <c r="F10" s="138" t="s">
        <v>6790</v>
      </c>
      <c r="G10" s="138" t="s">
        <v>6791</v>
      </c>
      <c r="H10" s="138" t="s">
        <v>478</v>
      </c>
      <c r="I10" s="138" t="s">
        <v>6792</v>
      </c>
      <c r="J10" s="138" t="s">
        <v>6793</v>
      </c>
      <c r="K10" s="102" t="s">
        <v>6798</v>
      </c>
      <c r="L10" s="139" t="s">
        <v>6795</v>
      </c>
      <c r="M10" s="138">
        <v>10</v>
      </c>
      <c r="N10" s="138">
        <v>4</v>
      </c>
      <c r="O10" s="140">
        <f>AktivitasTable8[[#This Row],[aktual]]/AktivitasTable8[[#This Row],[target]]</f>
        <v>0.4</v>
      </c>
      <c r="P10" s="141">
        <f>IF(AktivitasTable8[[#This Row],[%]]*5&gt;5,5,MAX(AktivitasTable8[[#This Row],[%]]*5,1))</f>
        <v>2</v>
      </c>
      <c r="Q10" s="138" t="s">
        <v>6796</v>
      </c>
      <c r="R10" s="138" t="s">
        <v>6797</v>
      </c>
    </row>
    <row r="11" ht="70" spans="1:26">
      <c r="A11" s="137" t="s">
        <v>449</v>
      </c>
      <c r="B11" s="138" t="s">
        <v>473</v>
      </c>
      <c r="C11" s="138">
        <v>2</v>
      </c>
      <c r="D11" s="138" t="s">
        <v>6799</v>
      </c>
      <c r="E11" s="138" t="s">
        <v>6800</v>
      </c>
      <c r="F11" s="138" t="s">
        <v>6801</v>
      </c>
      <c r="G11" s="138" t="s">
        <v>6802</v>
      </c>
      <c r="H11" s="138" t="s">
        <v>478</v>
      </c>
      <c r="I11" s="138" t="s">
        <v>6792</v>
      </c>
      <c r="J11" s="138" t="s">
        <v>6803</v>
      </c>
      <c r="K11" s="102" t="s">
        <v>6804</v>
      </c>
      <c r="L11" s="139" t="s">
        <v>6805</v>
      </c>
      <c r="M11" s="138">
        <v>4</v>
      </c>
      <c r="N11" s="138">
        <v>3</v>
      </c>
      <c r="O11" s="140">
        <f>AktivitasTable8[[#This Row],[aktual]]/AktivitasTable8[[#This Row],[target]]</f>
        <v>0.75</v>
      </c>
      <c r="P11" s="141">
        <f>IF(AktivitasTable8[[#This Row],[%]]*5&gt;5,5,MAX(AktivitasTable8[[#This Row],[%]]*5,1))</f>
        <v>3.75</v>
      </c>
      <c r="Q11" s="138" t="s">
        <v>6796</v>
      </c>
      <c r="R11" s="138" t="s">
        <v>6797</v>
      </c>
    </row>
    <row r="12" ht="42" spans="1:26">
      <c r="A12" s="137" t="s">
        <v>449</v>
      </c>
      <c r="B12" s="138" t="s">
        <v>473</v>
      </c>
      <c r="C12" s="138">
        <v>2</v>
      </c>
      <c r="D12" s="138" t="s">
        <v>6799</v>
      </c>
      <c r="E12" s="138" t="s">
        <v>6800</v>
      </c>
      <c r="F12" s="138" t="s">
        <v>6801</v>
      </c>
      <c r="G12" s="138" t="s">
        <v>6802</v>
      </c>
      <c r="H12" s="138" t="s">
        <v>478</v>
      </c>
      <c r="I12" s="138" t="s">
        <v>6792</v>
      </c>
      <c r="J12" s="138" t="s">
        <v>6803</v>
      </c>
      <c r="K12" s="102" t="s">
        <v>6806</v>
      </c>
      <c r="L12" s="142" t="s">
        <v>6805</v>
      </c>
      <c r="M12" s="138">
        <v>1</v>
      </c>
      <c r="N12" s="138">
        <v>3</v>
      </c>
      <c r="O12" s="140">
        <f>AktivitasTable8[[#This Row],[aktual]]/AktivitasTable8[[#This Row],[target]]</f>
        <v>3</v>
      </c>
      <c r="P12" s="141">
        <f>IF(AktivitasTable8[[#This Row],[%]]*5&gt;5,5,MAX(AktivitasTable8[[#This Row],[%]]*5,1))</f>
        <v>5</v>
      </c>
      <c r="Q12" s="138" t="s">
        <v>6796</v>
      </c>
      <c r="R12" s="138" t="s">
        <v>6797</v>
      </c>
    </row>
    <row r="13" ht="112" spans="1:26">
      <c r="A13" s="137" t="s">
        <v>447</v>
      </c>
      <c r="B13" s="138" t="s">
        <v>473</v>
      </c>
      <c r="C13" s="138">
        <v>3</v>
      </c>
      <c r="D13" s="138" t="s">
        <v>1982</v>
      </c>
      <c r="E13" s="138" t="s">
        <v>1983</v>
      </c>
      <c r="F13" s="138" t="s">
        <v>6807</v>
      </c>
      <c r="G13" s="138" t="s">
        <v>6808</v>
      </c>
      <c r="H13" s="138" t="s">
        <v>478</v>
      </c>
      <c r="I13" s="138" t="s">
        <v>479</v>
      </c>
      <c r="J13" s="138" t="s">
        <v>1986</v>
      </c>
      <c r="K13" s="102" t="s">
        <v>6809</v>
      </c>
      <c r="L13" s="139" t="s">
        <v>6795</v>
      </c>
      <c r="M13" s="138">
        <v>16</v>
      </c>
      <c r="N13" s="138">
        <v>5</v>
      </c>
      <c r="O13" s="140">
        <f>AktivitasTable8[[#This Row],[aktual]]/AktivitasTable8[[#This Row],[target]]</f>
        <v>0.3125</v>
      </c>
      <c r="P13" s="141">
        <f>IF(AktivitasTable8[[#This Row],[%]]*5&gt;5,5,MAX(AktivitasTable8[[#This Row],[%]]*5,1))</f>
        <v>1.5625</v>
      </c>
      <c r="Q13" s="138" t="s">
        <v>6796</v>
      </c>
      <c r="R13" s="138" t="s">
        <v>6797</v>
      </c>
    </row>
    <row r="14" ht="28" spans="1:26">
      <c r="A14" s="143" t="s">
        <v>449</v>
      </c>
      <c r="B14" s="102" t="s">
        <v>491</v>
      </c>
      <c r="C14" s="102">
        <v>1</v>
      </c>
      <c r="D14" s="102" t="s">
        <v>6810</v>
      </c>
      <c r="E14" s="102" t="s">
        <v>6811</v>
      </c>
      <c r="F14" s="102" t="s">
        <v>6812</v>
      </c>
      <c r="G14" s="102" t="s">
        <v>6813</v>
      </c>
      <c r="H14" s="102" t="s">
        <v>478</v>
      </c>
      <c r="I14" s="102" t="s">
        <v>6792</v>
      </c>
      <c r="J14" s="102" t="s">
        <v>6814</v>
      </c>
      <c r="K14" s="102" t="s">
        <v>6815</v>
      </c>
      <c r="L14" s="93" t="s">
        <v>6816</v>
      </c>
      <c r="M14" s="144">
        <v>1</v>
      </c>
      <c r="N14" s="102">
        <v>1</v>
      </c>
      <c r="O14" s="145">
        <f>AktivitasTable8[[#This Row],[aktual]]/AktivitasTable8[[#This Row],[target]]</f>
        <v>1</v>
      </c>
      <c r="P14" s="146">
        <f>IF(AktivitasTable8[[#This Row],[%]]*5&gt;5,5,MAX(AktivitasTable8[[#This Row],[%]]*5,1))</f>
        <v>5</v>
      </c>
      <c r="Q14" s="102" t="s">
        <v>6796</v>
      </c>
      <c r="R14" s="102" t="s">
        <v>6797</v>
      </c>
    </row>
    <row r="15" ht="28" spans="1:26">
      <c r="A15" s="143" t="s">
        <v>449</v>
      </c>
      <c r="B15" s="102" t="s">
        <v>491</v>
      </c>
      <c r="C15" s="102">
        <v>1</v>
      </c>
      <c r="D15" s="102" t="s">
        <v>6810</v>
      </c>
      <c r="E15" s="102" t="s">
        <v>6811</v>
      </c>
      <c r="F15" s="102" t="s">
        <v>6812</v>
      </c>
      <c r="G15" s="102" t="s">
        <v>6813</v>
      </c>
      <c r="H15" s="102" t="s">
        <v>478</v>
      </c>
      <c r="I15" s="102" t="s">
        <v>6792</v>
      </c>
      <c r="J15" s="102" t="s">
        <v>6814</v>
      </c>
      <c r="K15" s="102" t="s">
        <v>6817</v>
      </c>
      <c r="L15" s="147" t="s">
        <v>6818</v>
      </c>
      <c r="M15" s="102">
        <v>80</v>
      </c>
      <c r="N15" s="102">
        <v>1</v>
      </c>
      <c r="O15" s="145">
        <f>AktivitasTable8[[#This Row],[aktual]]/AktivitasTable8[[#This Row],[target]]</f>
        <v>0.0125</v>
      </c>
      <c r="P15" s="146">
        <f>IF(AktivitasTable8[[#This Row],[%]]*5&gt;5,5,MAX(AktivitasTable8[[#This Row],[%]]*5,1))</f>
        <v>1</v>
      </c>
      <c r="Q15" s="102" t="s">
        <v>6796</v>
      </c>
      <c r="R15" s="102" t="s">
        <v>6797</v>
      </c>
    </row>
    <row r="16" ht="70" spans="1:26">
      <c r="A16" s="143" t="s">
        <v>449</v>
      </c>
      <c r="B16" s="102" t="s">
        <v>491</v>
      </c>
      <c r="C16" s="102">
        <v>2</v>
      </c>
      <c r="D16" s="102" t="s">
        <v>6819</v>
      </c>
      <c r="E16" s="102" t="s">
        <v>6820</v>
      </c>
      <c r="F16" s="102" t="s">
        <v>6821</v>
      </c>
      <c r="G16" s="102" t="s">
        <v>6822</v>
      </c>
      <c r="H16" s="102" t="s">
        <v>478</v>
      </c>
      <c r="I16" s="102" t="s">
        <v>6792</v>
      </c>
      <c r="J16" s="102" t="s">
        <v>6823</v>
      </c>
      <c r="K16" s="102" t="s">
        <v>6824</v>
      </c>
      <c r="L16" s="147" t="s">
        <v>6795</v>
      </c>
      <c r="M16" s="102">
        <v>1</v>
      </c>
      <c r="N16" s="102">
        <v>80</v>
      </c>
      <c r="O16" s="145">
        <f>AktivitasTable8[[#This Row],[aktual]]/AktivitasTable8[[#This Row],[target]]</f>
        <v>80</v>
      </c>
      <c r="P16" s="146">
        <f>IF(AktivitasTable8[[#This Row],[%]]*5&gt;5,5,MAX(AktivitasTable8[[#This Row],[%]]*5,1))</f>
        <v>5</v>
      </c>
      <c r="Q16" s="102" t="s">
        <v>6796</v>
      </c>
      <c r="R16" s="102" t="s">
        <v>6797</v>
      </c>
    </row>
    <row r="17" ht="42" spans="1:18">
      <c r="A17" s="143" t="s">
        <v>449</v>
      </c>
      <c r="B17" s="102" t="s">
        <v>491</v>
      </c>
      <c r="C17" s="102">
        <v>2</v>
      </c>
      <c r="D17" s="102" t="s">
        <v>6819</v>
      </c>
      <c r="E17" s="102" t="s">
        <v>6820</v>
      </c>
      <c r="F17" s="102" t="s">
        <v>6821</v>
      </c>
      <c r="G17" s="102" t="s">
        <v>6822</v>
      </c>
      <c r="H17" s="102" t="s">
        <v>478</v>
      </c>
      <c r="I17" s="102" t="s">
        <v>6792</v>
      </c>
      <c r="J17" s="102" t="s">
        <v>6823</v>
      </c>
      <c r="K17" s="102" t="s">
        <v>6825</v>
      </c>
      <c r="L17" s="147" t="s">
        <v>6795</v>
      </c>
      <c r="M17" s="102">
        <v>4</v>
      </c>
      <c r="N17" s="102">
        <v>1</v>
      </c>
      <c r="O17" s="145">
        <f>AktivitasTable8[[#This Row],[aktual]]/AktivitasTable8[[#This Row],[target]]</f>
        <v>0.25</v>
      </c>
      <c r="P17" s="146">
        <f>IF(AktivitasTable8[[#This Row],[%]]*5&gt;5,5,MAX(AktivitasTable8[[#This Row],[%]]*5,1))</f>
        <v>1.25</v>
      </c>
      <c r="Q17" s="102" t="s">
        <v>6796</v>
      </c>
      <c r="R17" s="102" t="s">
        <v>6797</v>
      </c>
    </row>
    <row r="18" ht="70" spans="1:18">
      <c r="A18" s="143" t="s">
        <v>447</v>
      </c>
      <c r="B18" s="102" t="s">
        <v>491</v>
      </c>
      <c r="C18" s="102">
        <v>3</v>
      </c>
      <c r="D18" s="102" t="s">
        <v>2007</v>
      </c>
      <c r="E18" s="102" t="s">
        <v>2008</v>
      </c>
      <c r="F18" s="102" t="s">
        <v>6826</v>
      </c>
      <c r="G18" s="102" t="s">
        <v>6827</v>
      </c>
      <c r="H18" s="102" t="s">
        <v>478</v>
      </c>
      <c r="I18" s="102" t="s">
        <v>479</v>
      </c>
      <c r="J18" s="102" t="s">
        <v>2011</v>
      </c>
      <c r="K18" s="102" t="s">
        <v>6828</v>
      </c>
      <c r="L18" s="93" t="s">
        <v>6795</v>
      </c>
      <c r="M18" s="102">
        <v>1</v>
      </c>
      <c r="N18" s="102">
        <v>3</v>
      </c>
      <c r="O18" s="145">
        <f>AktivitasTable8[[#This Row],[aktual]]/AktivitasTable8[[#This Row],[target]]</f>
        <v>3</v>
      </c>
      <c r="P18" s="146">
        <f>IF(AktivitasTable8[[#This Row],[%]]*5&gt;5,5,MAX(AktivitasTable8[[#This Row],[%]]*5,1))</f>
        <v>5</v>
      </c>
      <c r="Q18" s="102" t="s">
        <v>6796</v>
      </c>
      <c r="R18" s="102" t="s">
        <v>6797</v>
      </c>
    </row>
    <row r="19" s="133" customFormat="1" ht="70" spans="1:18">
      <c r="A19" s="137" t="s">
        <v>449</v>
      </c>
      <c r="B19" s="138" t="s">
        <v>6755</v>
      </c>
      <c r="C19" s="138">
        <v>1</v>
      </c>
      <c r="D19" s="138" t="s">
        <v>6829</v>
      </c>
      <c r="E19" s="138" t="s">
        <v>6830</v>
      </c>
      <c r="F19" s="138" t="s">
        <v>6831</v>
      </c>
      <c r="G19" s="138" t="s">
        <v>6832</v>
      </c>
      <c r="H19" s="138" t="s">
        <v>478</v>
      </c>
      <c r="I19" s="138" t="s">
        <v>6792</v>
      </c>
      <c r="J19" s="138" t="s">
        <v>6833</v>
      </c>
      <c r="K19" s="138" t="s">
        <v>6834</v>
      </c>
      <c r="L19" s="139" t="s">
        <v>6795</v>
      </c>
      <c r="M19" s="138">
        <v>6</v>
      </c>
      <c r="N19" s="138">
        <v>4</v>
      </c>
      <c r="O19" s="140">
        <f>AktivitasTable8[[#This Row],[aktual]]/AktivitasTable8[[#This Row],[target]]</f>
        <v>0.666666666666667</v>
      </c>
      <c r="P19" s="141">
        <f>IF(AktivitasTable8[[#This Row],[%]]*5&gt;5,5,MAX(AktivitasTable8[[#This Row],[%]]*5,1))</f>
        <v>3.33333333333333</v>
      </c>
      <c r="Q19" s="138" t="s">
        <v>6796</v>
      </c>
      <c r="R19" s="138" t="s">
        <v>6797</v>
      </c>
    </row>
    <row r="20" s="133" customFormat="1" ht="28" spans="1:18">
      <c r="A20" s="137" t="s">
        <v>449</v>
      </c>
      <c r="B20" s="138" t="s">
        <v>6755</v>
      </c>
      <c r="C20" s="138">
        <v>1</v>
      </c>
      <c r="D20" s="138" t="s">
        <v>6829</v>
      </c>
      <c r="E20" s="138" t="s">
        <v>6830</v>
      </c>
      <c r="F20" s="138" t="s">
        <v>6831</v>
      </c>
      <c r="G20" s="138" t="s">
        <v>6832</v>
      </c>
      <c r="H20" s="138" t="s">
        <v>478</v>
      </c>
      <c r="I20" s="138" t="s">
        <v>6792</v>
      </c>
      <c r="J20" s="138" t="s">
        <v>6833</v>
      </c>
      <c r="K20" s="138" t="s">
        <v>6835</v>
      </c>
      <c r="L20" s="139" t="s">
        <v>6795</v>
      </c>
      <c r="M20" s="138">
        <v>3</v>
      </c>
      <c r="N20" s="138">
        <v>70</v>
      </c>
      <c r="O20" s="140">
        <f>AktivitasTable8[[#This Row],[aktual]]/AktivitasTable8[[#This Row],[target]]</f>
        <v>23.3333333333333</v>
      </c>
      <c r="P20" s="141">
        <f>IF(AktivitasTable8[[#This Row],[%]]*5&gt;5,5,MAX(AktivitasTable8[[#This Row],[%]]*5,1))</f>
        <v>5</v>
      </c>
      <c r="Q20" s="138" t="s">
        <v>6796</v>
      </c>
      <c r="R20" s="138" t="s">
        <v>6797</v>
      </c>
    </row>
    <row r="21" s="133" customFormat="1" ht="70" spans="1:18">
      <c r="A21" s="137" t="s">
        <v>449</v>
      </c>
      <c r="B21" s="138" t="s">
        <v>6755</v>
      </c>
      <c r="C21" s="138">
        <v>2</v>
      </c>
      <c r="D21" s="138" t="s">
        <v>6836</v>
      </c>
      <c r="E21" s="138" t="s">
        <v>6837</v>
      </c>
      <c r="F21" s="138" t="s">
        <v>6838</v>
      </c>
      <c r="G21" s="138" t="s">
        <v>6839</v>
      </c>
      <c r="H21" s="138" t="s">
        <v>478</v>
      </c>
      <c r="I21" s="138" t="s">
        <v>6792</v>
      </c>
      <c r="J21" s="138" t="s">
        <v>6840</v>
      </c>
      <c r="K21" s="138" t="s">
        <v>6841</v>
      </c>
      <c r="L21" s="138" t="s">
        <v>6795</v>
      </c>
      <c r="M21" s="138">
        <v>2</v>
      </c>
      <c r="N21" s="138">
        <v>5</v>
      </c>
      <c r="O21" s="140">
        <f>AktivitasTable8[[#This Row],[aktual]]/AktivitasTable8[[#This Row],[target]]</f>
        <v>2.5</v>
      </c>
      <c r="P21" s="141">
        <f>IF(AktivitasTable8[[#This Row],[%]]*5&gt;5,5,MAX(AktivitasTable8[[#This Row],[%]]*5,1))</f>
        <v>5</v>
      </c>
      <c r="Q21" s="138" t="s">
        <v>6796</v>
      </c>
      <c r="R21" s="138" t="s">
        <v>6797</v>
      </c>
    </row>
    <row r="22" s="133" customFormat="1" ht="42" spans="1:18">
      <c r="A22" s="137" t="s">
        <v>449</v>
      </c>
      <c r="B22" s="138" t="s">
        <v>6755</v>
      </c>
      <c r="C22" s="138">
        <v>2</v>
      </c>
      <c r="D22" s="138" t="s">
        <v>6836</v>
      </c>
      <c r="E22" s="138" t="s">
        <v>6837</v>
      </c>
      <c r="F22" s="138" t="s">
        <v>6838</v>
      </c>
      <c r="G22" s="138" t="s">
        <v>6839</v>
      </c>
      <c r="H22" s="138" t="s">
        <v>478</v>
      </c>
      <c r="I22" s="138" t="s">
        <v>6792</v>
      </c>
      <c r="J22" s="138" t="s">
        <v>6840</v>
      </c>
      <c r="K22" s="138" t="s">
        <v>6842</v>
      </c>
      <c r="L22" s="139" t="s">
        <v>6843</v>
      </c>
      <c r="M22" s="138">
        <v>5</v>
      </c>
      <c r="N22" s="138">
        <v>2</v>
      </c>
      <c r="O22" s="140">
        <f>AktivitasTable8[[#This Row],[aktual]]/AktivitasTable8[[#This Row],[target]]</f>
        <v>0.4</v>
      </c>
      <c r="P22" s="141">
        <f>IF(AktivitasTable8[[#This Row],[%]]*5&gt;5,5,MAX(AktivitasTable8[[#This Row],[%]]*5,1))</f>
        <v>2</v>
      </c>
      <c r="Q22" s="138" t="s">
        <v>6796</v>
      </c>
      <c r="R22" s="138" t="s">
        <v>6797</v>
      </c>
    </row>
    <row r="23" s="133" customFormat="1" ht="45" customHeight="1" spans="1:18">
      <c r="A23" s="137" t="s">
        <v>447</v>
      </c>
      <c r="B23" s="138" t="s">
        <v>6755</v>
      </c>
      <c r="C23" s="138">
        <v>3</v>
      </c>
      <c r="D23" s="138" t="s">
        <v>2012</v>
      </c>
      <c r="E23" s="138" t="s">
        <v>2013</v>
      </c>
      <c r="F23" s="138" t="s">
        <v>6844</v>
      </c>
      <c r="G23" s="138" t="s">
        <v>6845</v>
      </c>
      <c r="H23" s="138" t="s">
        <v>478</v>
      </c>
      <c r="I23" s="138" t="s">
        <v>479</v>
      </c>
      <c r="J23" s="138" t="s">
        <v>2016</v>
      </c>
      <c r="K23" s="138" t="s">
        <v>6846</v>
      </c>
      <c r="L23" s="142" t="s">
        <v>6847</v>
      </c>
      <c r="M23" s="148">
        <v>1</v>
      </c>
      <c r="N23" s="138">
        <v>1</v>
      </c>
      <c r="O23" s="140">
        <f>AktivitasTable8[[#This Row],[aktual]]/AktivitasTable8[[#This Row],[target]]</f>
        <v>1</v>
      </c>
      <c r="P23" s="141">
        <f>IF(AktivitasTable8[[#This Row],[%]]*5&gt;5,5,MAX(AktivitasTable8[[#This Row],[%]]*5,1))</f>
        <v>5</v>
      </c>
      <c r="Q23" s="138" t="s">
        <v>6796</v>
      </c>
      <c r="R23" s="138" t="s">
        <v>6797</v>
      </c>
    </row>
    <row r="24" ht="90.65" customHeight="1" spans="1:18">
      <c r="A24" s="143" t="s">
        <v>449</v>
      </c>
      <c r="B24" s="102" t="s">
        <v>523</v>
      </c>
      <c r="C24" s="102">
        <v>1</v>
      </c>
      <c r="D24" s="102" t="s">
        <v>6848</v>
      </c>
      <c r="E24" s="102" t="s">
        <v>6849</v>
      </c>
      <c r="F24" s="102" t="s">
        <v>6850</v>
      </c>
      <c r="G24" s="102" t="s">
        <v>6851</v>
      </c>
      <c r="H24" s="138" t="s">
        <v>478</v>
      </c>
      <c r="I24" s="138" t="s">
        <v>6792</v>
      </c>
      <c r="J24" s="102" t="s">
        <v>6852</v>
      </c>
      <c r="K24" s="102" t="s">
        <v>6853</v>
      </c>
      <c r="L24" s="147" t="s">
        <v>6795</v>
      </c>
      <c r="M24" s="102">
        <v>1</v>
      </c>
      <c r="N24" s="102">
        <v>1</v>
      </c>
      <c r="O24" s="140">
        <f>AktivitasTable8[[#This Row],[aktual]]/AktivitasTable8[[#This Row],[target]]</f>
        <v>1</v>
      </c>
      <c r="P24" s="141">
        <f>IF(AktivitasTable8[[#This Row],[%]]*5&gt;5,5,MAX(AktivitasTable8[[#This Row],[%]]*5,1))</f>
        <v>5</v>
      </c>
      <c r="Q24" s="102" t="s">
        <v>6796</v>
      </c>
      <c r="R24" s="102" t="s">
        <v>6797</v>
      </c>
    </row>
    <row r="25" ht="28" spans="1:18">
      <c r="A25" s="143" t="s">
        <v>449</v>
      </c>
      <c r="B25" s="102" t="s">
        <v>523</v>
      </c>
      <c r="C25" s="102">
        <v>1</v>
      </c>
      <c r="D25" s="102" t="s">
        <v>6848</v>
      </c>
      <c r="E25" s="102" t="s">
        <v>6849</v>
      </c>
      <c r="F25" s="102" t="s">
        <v>6850</v>
      </c>
      <c r="G25" s="102" t="s">
        <v>6851</v>
      </c>
      <c r="H25" s="138" t="s">
        <v>478</v>
      </c>
      <c r="I25" s="138" t="s">
        <v>6792</v>
      </c>
      <c r="J25" s="102" t="s">
        <v>6852</v>
      </c>
      <c r="K25" s="102" t="s">
        <v>6854</v>
      </c>
      <c r="L25" s="147" t="s">
        <v>6795</v>
      </c>
      <c r="M25" s="102">
        <v>3</v>
      </c>
      <c r="N25" s="102">
        <v>2</v>
      </c>
      <c r="O25" s="140">
        <f>AktivitasTable8[[#This Row],[aktual]]/AktivitasTable8[[#This Row],[target]]</f>
        <v>0.666666666666667</v>
      </c>
      <c r="P25" s="141">
        <f>IF(AktivitasTable8[[#This Row],[%]]*5&gt;5,5,MAX(AktivitasTable8[[#This Row],[%]]*5,1))</f>
        <v>3.33333333333333</v>
      </c>
      <c r="Q25" s="102" t="s">
        <v>6796</v>
      </c>
      <c r="R25" s="102" t="s">
        <v>6797</v>
      </c>
    </row>
    <row r="26" ht="98" spans="1:18">
      <c r="A26" s="143" t="s">
        <v>449</v>
      </c>
      <c r="B26" s="102" t="s">
        <v>523</v>
      </c>
      <c r="C26" s="102">
        <v>2</v>
      </c>
      <c r="D26" s="102" t="s">
        <v>6855</v>
      </c>
      <c r="E26" s="102" t="s">
        <v>6856</v>
      </c>
      <c r="F26" s="102" t="s">
        <v>6857</v>
      </c>
      <c r="G26" s="102" t="s">
        <v>6858</v>
      </c>
      <c r="H26" s="138" t="s">
        <v>478</v>
      </c>
      <c r="I26" s="138" t="s">
        <v>6792</v>
      </c>
      <c r="J26" s="102" t="s">
        <v>6859</v>
      </c>
      <c r="K26" s="102" t="s">
        <v>6860</v>
      </c>
      <c r="L26" s="147" t="s">
        <v>6795</v>
      </c>
      <c r="M26" s="102">
        <v>1</v>
      </c>
      <c r="N26" s="102">
        <v>1</v>
      </c>
      <c r="O26" s="140">
        <f>AktivitasTable8[[#This Row],[aktual]]/AktivitasTable8[[#This Row],[target]]</f>
        <v>1</v>
      </c>
      <c r="P26" s="141">
        <f>IF(AktivitasTable8[[#This Row],[%]]*5&gt;5,5,MAX(AktivitasTable8[[#This Row],[%]]*5,1))</f>
        <v>5</v>
      </c>
      <c r="Q26" s="102" t="s">
        <v>6796</v>
      </c>
      <c r="R26" s="102" t="s">
        <v>6797</v>
      </c>
    </row>
    <row r="27" ht="98" spans="1:18">
      <c r="A27" s="143" t="s">
        <v>449</v>
      </c>
      <c r="B27" s="102" t="s">
        <v>523</v>
      </c>
      <c r="C27" s="102">
        <v>2</v>
      </c>
      <c r="D27" s="102" t="s">
        <v>6855</v>
      </c>
      <c r="E27" s="102" t="s">
        <v>6856</v>
      </c>
      <c r="F27" s="102" t="s">
        <v>6857</v>
      </c>
      <c r="G27" s="102" t="s">
        <v>6858</v>
      </c>
      <c r="H27" s="138" t="s">
        <v>478</v>
      </c>
      <c r="I27" s="138" t="s">
        <v>6792</v>
      </c>
      <c r="J27" s="102" t="s">
        <v>6859</v>
      </c>
      <c r="K27" s="102" t="s">
        <v>6861</v>
      </c>
      <c r="L27" s="147" t="s">
        <v>6795</v>
      </c>
      <c r="M27" s="102">
        <v>3</v>
      </c>
      <c r="N27" s="102">
        <v>1</v>
      </c>
      <c r="O27" s="140">
        <f>AktivitasTable8[[#This Row],[aktual]]/AktivitasTable8[[#This Row],[target]]</f>
        <v>0.333333333333333</v>
      </c>
      <c r="P27" s="141">
        <f>IF(AktivitasTable8[[#This Row],[%]]*5&gt;5,5,MAX(AktivitasTable8[[#This Row],[%]]*5,1))</f>
        <v>1.66666666666667</v>
      </c>
      <c r="Q27" s="102" t="s">
        <v>6796</v>
      </c>
      <c r="R27" s="102"/>
    </row>
    <row r="28" hidden="1" spans="1:18">
      <c r="A28" s="149"/>
      <c r="B28" s="102"/>
      <c r="C28" s="102"/>
      <c r="D28" s="102"/>
      <c r="E28" s="102"/>
      <c r="F28" s="102"/>
      <c r="G28" s="102"/>
      <c r="H28" s="102"/>
      <c r="I28" s="102"/>
      <c r="J28" s="102"/>
      <c r="K28" s="102"/>
      <c r="L28" s="102"/>
      <c r="M28" s="102"/>
      <c r="N28" s="150"/>
      <c r="O28" s="151"/>
      <c r="P28" s="146"/>
      <c r="Q28" s="102"/>
      <c r="R28" s="102"/>
    </row>
    <row r="29" hidden="1" spans="1:18">
      <c r="A29" s="149"/>
      <c r="B29" s="102"/>
      <c r="C29" s="102"/>
      <c r="D29" s="102"/>
      <c r="E29" s="102"/>
      <c r="F29" s="102"/>
      <c r="G29" s="102"/>
      <c r="H29" s="102"/>
      <c r="I29" s="102"/>
      <c r="J29" s="102"/>
      <c r="K29" s="102"/>
      <c r="L29" s="102"/>
      <c r="M29" s="102"/>
      <c r="N29" s="150"/>
      <c r="O29" s="151"/>
      <c r="P29" s="146"/>
      <c r="Q29" s="102"/>
      <c r="R29" s="102"/>
    </row>
    <row r="30" hidden="1" spans="1:18">
      <c r="A30" s="149"/>
      <c r="B30" s="102"/>
      <c r="C30" s="102"/>
      <c r="D30" s="102"/>
      <c r="E30" s="102"/>
      <c r="F30" s="102"/>
      <c r="G30" s="102"/>
      <c r="H30" s="102"/>
      <c r="I30" s="102"/>
      <c r="J30" s="102"/>
      <c r="K30" s="102"/>
      <c r="L30" s="102"/>
      <c r="M30" s="102"/>
      <c r="N30" s="150"/>
      <c r="O30" s="151"/>
      <c r="P30" s="146"/>
      <c r="Q30" s="102"/>
      <c r="R30" s="102"/>
    </row>
    <row r="31" hidden="1" spans="1:18">
      <c r="A31" s="149"/>
      <c r="B31" s="102"/>
      <c r="C31" s="102"/>
      <c r="D31" s="102"/>
      <c r="E31" s="102"/>
      <c r="F31" s="102"/>
      <c r="G31" s="102"/>
      <c r="H31" s="102"/>
      <c r="I31" s="102"/>
      <c r="J31" s="102"/>
      <c r="K31" s="102"/>
      <c r="L31" s="102"/>
      <c r="M31" s="102"/>
      <c r="N31" s="150"/>
      <c r="O31" s="151"/>
      <c r="P31" s="146"/>
      <c r="Q31" s="102"/>
      <c r="R31" s="102"/>
    </row>
    <row r="32" hidden="1" spans="1:18">
      <c r="A32" s="149"/>
      <c r="B32" s="102"/>
      <c r="C32" s="102"/>
      <c r="D32" s="102"/>
      <c r="E32" s="102"/>
      <c r="F32" s="102"/>
      <c r="G32" s="102"/>
      <c r="H32" s="102"/>
      <c r="I32" s="102"/>
      <c r="J32" s="102"/>
      <c r="K32" s="102"/>
      <c r="L32" s="102"/>
      <c r="M32" s="102"/>
      <c r="N32" s="150"/>
      <c r="O32" s="151"/>
      <c r="P32" s="146"/>
      <c r="Q32" s="102"/>
      <c r="R32" s="102"/>
    </row>
    <row r="33" spans="2:18">
      <c r="B33"/>
      <c r="C33"/>
      <c r="D33"/>
      <c r="E33"/>
      <c r="F33"/>
      <c r="G33"/>
      <c r="H33"/>
      <c r="I33"/>
      <c r="J33"/>
      <c r="K33"/>
      <c r="L33"/>
      <c r="M33"/>
      <c r="N33" s="152"/>
      <c r="O33" s="153">
        <f>SUBTOTAL(101,AktivitasTable8[%])</f>
        <v>6.3125</v>
      </c>
      <c r="P33" s="154">
        <f>SUBTOTAL(101,AktivitasTable8[Skor])</f>
        <v>3.49780701754386</v>
      </c>
      <c r="Q33"/>
      <c r="R33"/>
    </row>
  </sheetData>
  <mergeCells count="1">
    <mergeCell ref="A1:R1"/>
  </mergeCells>
  <dataValidations count="1">
    <dataValidation type="list" sqref="Q9:Q32">
      <formula1>"Belum Mulai,Berjalan,Selesai,Tertunda"</formula1>
    </dataValidation>
  </dataValidations>
  <pageMargins left="0.7" right="0.7" top="0.75" bottom="0.75" header="0.3" footer="0.3"/>
  <headerFooter/>
  <tableParts count="1">
    <tablePart r:id="rId1"/>
  </tableParts>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33"/>
  <sheetViews>
    <sheetView zoomScale="25" zoomScaleNormal="25" workbookViewId="0">
      <selection activeCell="E12" sqref="E12"/>
    </sheetView>
  </sheetViews>
  <sheetFormatPr defaultColWidth="8.83636363636364" defaultRowHeight="14"/>
  <cols>
    <col min="1" max="1" width="27.4181818181818" style="94" customWidth="1"/>
    <col min="2" max="2" width="19.2545454545455" style="92" customWidth="1"/>
    <col min="3" max="3" width="46.7545454545455" style="92" customWidth="1"/>
    <col min="4" max="4" width="31.7545454545455" style="92" customWidth="1"/>
    <col min="5" max="5" width="45.7545454545455" style="92" customWidth="1"/>
    <col min="6" max="7" width="42.2545454545455" style="92" customWidth="1"/>
    <col min="8" max="8" width="45.7545454545455" style="93" customWidth="1"/>
    <col min="9" max="11" width="50.7545454545455" style="95" customWidth="1"/>
    <col min="12" max="12" width="50.7545454545455" style="102" customWidth="1"/>
    <col min="13" max="13" width="50.7545454545455" style="93" customWidth="1"/>
    <col min="14" max="17" width="17.4181818181818" style="92" customWidth="1"/>
    <col min="18" max="18" width="8.83636363636364" style="116"/>
    <col min="19" max="16384" width="8.83636363636364" style="92"/>
  </cols>
  <sheetData>
    <row r="1" ht="19.15" customHeight="1" spans="1:26">
      <c r="A1" s="117" t="s">
        <v>6862</v>
      </c>
      <c r="B1" s="117"/>
      <c r="C1" s="117"/>
      <c r="D1" s="117"/>
      <c r="E1" s="117"/>
      <c r="F1" s="117"/>
      <c r="G1" s="117"/>
      <c r="H1" s="117"/>
      <c r="I1" s="117"/>
      <c r="J1" s="117"/>
      <c r="K1" s="117"/>
      <c r="L1" s="117"/>
      <c r="M1" s="117"/>
      <c r="N1" s="117"/>
      <c r="O1" s="117"/>
      <c r="P1" s="117"/>
      <c r="Q1" s="117"/>
      <c r="R1" s="118"/>
      <c r="S1" s="97"/>
      <c r="T1" s="97"/>
      <c r="U1" s="97"/>
      <c r="V1" s="97"/>
      <c r="W1" s="97"/>
      <c r="X1" s="97"/>
      <c r="Y1" s="97"/>
      <c r="Z1" s="97"/>
    </row>
    <row r="2" s="94" customFormat="1" spans="1:26">
      <c r="H2" s="95"/>
      <c r="I2" s="95"/>
      <c r="J2" s="113"/>
      <c r="K2" s="113"/>
      <c r="L2" s="113"/>
      <c r="M2" s="113"/>
      <c r="R2" s="119"/>
    </row>
    <row r="3" s="94" customFormat="1" spans="1:26">
      <c r="A3" s="98" t="s">
        <v>0</v>
      </c>
      <c r="B3" s="99" t="str">
        <f>[3]Dashboard!B3</f>
        <v>bbbbb</v>
      </c>
      <c r="H3" s="95"/>
      <c r="I3" s="95"/>
      <c r="J3" s="113"/>
      <c r="K3" s="113"/>
      <c r="L3" s="113"/>
      <c r="M3" s="113"/>
      <c r="R3" s="119"/>
    </row>
    <row r="4" s="94" customFormat="1" spans="1:26">
      <c r="A4" s="98" t="s">
        <v>6743</v>
      </c>
      <c r="B4" s="99" t="str">
        <f>[3]Dashboard!B4</f>
        <v>Analyst</v>
      </c>
      <c r="H4" s="95"/>
      <c r="I4" s="95"/>
      <c r="J4" s="113"/>
      <c r="K4" s="113"/>
      <c r="L4" s="113"/>
      <c r="M4" s="113"/>
      <c r="R4" s="119"/>
    </row>
    <row r="5" s="94" customFormat="1" ht="28" spans="1:26">
      <c r="A5" s="98" t="s">
        <v>6744</v>
      </c>
      <c r="B5" s="99" t="str">
        <f>[3]Dashboard!B5</f>
        <v>Unit Head/Specialist</v>
      </c>
      <c r="H5" s="95"/>
      <c r="I5" s="95"/>
      <c r="J5" s="113"/>
      <c r="K5" s="113"/>
      <c r="L5" s="113"/>
      <c r="M5" s="113"/>
      <c r="R5" s="119"/>
    </row>
    <row r="6" s="94" customFormat="1" ht="28" spans="1:26">
      <c r="A6" s="98" t="s">
        <v>6863</v>
      </c>
      <c r="B6" s="99" t="str">
        <f>[3]Dashboard!B6</f>
        <v>Juli 2026 - Juli 2027</v>
      </c>
      <c r="H6" s="95"/>
      <c r="I6" s="95"/>
      <c r="J6" s="113"/>
      <c r="K6" s="113"/>
      <c r="L6" s="113"/>
      <c r="M6" s="113"/>
      <c r="R6" s="119"/>
    </row>
    <row r="7" s="94" customFormat="1" spans="1:26">
      <c r="A7" s="98" t="s">
        <v>6771</v>
      </c>
      <c r="B7" s="99" t="str">
        <f>[3]Dashboard!B7</f>
        <v>Desember 2026</v>
      </c>
      <c r="H7" s="95"/>
      <c r="I7" s="95"/>
      <c r="J7" s="113"/>
      <c r="K7" s="113"/>
      <c r="L7" s="113"/>
      <c r="M7" s="113"/>
      <c r="R7" s="119"/>
    </row>
    <row r="8" s="94" customFormat="1" spans="1:26">
      <c r="A8" s="98" t="s">
        <v>6772</v>
      </c>
      <c r="B8" s="99" t="str">
        <f>[3]Dashboard!B8</f>
        <v>Juli 2027</v>
      </c>
      <c r="H8" s="95"/>
      <c r="I8" s="95"/>
      <c r="J8" s="113"/>
      <c r="K8" s="113"/>
      <c r="L8" s="113"/>
      <c r="M8" s="113"/>
      <c r="R8" s="119"/>
    </row>
    <row r="9" s="94" customFormat="1" spans="1:26">
      <c r="A9" s="100"/>
      <c r="B9" s="99"/>
      <c r="H9" s="95"/>
      <c r="I9" s="95"/>
      <c r="J9" s="113"/>
      <c r="K9" s="113"/>
      <c r="L9" s="113"/>
      <c r="M9" s="113"/>
      <c r="R9" s="119"/>
    </row>
    <row r="10" ht="49.9" customHeight="1"/>
    <row r="11" ht="49.9" customHeight="1" spans="1:26">
      <c r="A11" s="120" t="s">
        <v>426</v>
      </c>
      <c r="B11" s="120" t="s">
        <v>6864</v>
      </c>
      <c r="C11" s="120" t="s">
        <v>6865</v>
      </c>
      <c r="D11" s="120" t="s">
        <v>6866</v>
      </c>
      <c r="E11" s="120" t="s">
        <v>6867</v>
      </c>
      <c r="F11" s="120" t="s">
        <v>6868</v>
      </c>
      <c r="G11" s="120" t="s">
        <v>6869</v>
      </c>
      <c r="H11" s="120" t="s">
        <v>6870</v>
      </c>
      <c r="I11" s="120" t="s">
        <v>6871</v>
      </c>
      <c r="J11" s="120" t="s">
        <v>6872</v>
      </c>
      <c r="K11" s="120" t="s">
        <v>6873</v>
      </c>
      <c r="L11" s="120" t="s">
        <v>6874</v>
      </c>
      <c r="M11" s="120" t="s">
        <v>6875</v>
      </c>
      <c r="N11" s="120" t="s">
        <v>6876</v>
      </c>
      <c r="O11" s="120" t="s">
        <v>6877</v>
      </c>
      <c r="P11" s="120" t="s">
        <v>6878</v>
      </c>
      <c r="Q11" s="120" t="s">
        <v>6879</v>
      </c>
    </row>
    <row r="12" s="115" customFormat="1" ht="49.9" customHeight="1" spans="1:26">
      <c r="A12" s="121" t="s">
        <v>449</v>
      </c>
      <c r="B12" s="122" t="s">
        <v>473</v>
      </c>
      <c r="C12" s="122" t="s">
        <v>6880</v>
      </c>
      <c r="D12" s="122" t="s">
        <v>6881</v>
      </c>
      <c r="E12" s="123" t="s">
        <v>6882</v>
      </c>
      <c r="F12" s="123"/>
      <c r="G12" s="123"/>
      <c r="H12" s="124" t="s">
        <v>6883</v>
      </c>
      <c r="I12" s="124" t="s">
        <v>6884</v>
      </c>
      <c r="J12" s="124" t="s">
        <v>6885</v>
      </c>
      <c r="K12" s="124" t="s">
        <v>6886</v>
      </c>
      <c r="L12" s="124" t="s">
        <v>6887</v>
      </c>
      <c r="M12" s="124" t="s">
        <v>6888</v>
      </c>
      <c r="N12" s="125">
        <v>1</v>
      </c>
      <c r="O12" s="125">
        <v>2</v>
      </c>
      <c r="P12" s="125">
        <v>3</v>
      </c>
      <c r="Q12" s="126">
        <f>AVERAGE(N12:P14)</f>
        <v>2</v>
      </c>
      <c r="R12" s="127">
        <f>AVERAGE(N12:P14)</f>
        <v>2</v>
      </c>
    </row>
    <row r="13" s="115" customFormat="1" ht="49.9" customHeight="1" spans="1:26">
      <c r="A13" s="121"/>
      <c r="B13" s="122"/>
      <c r="C13" s="122"/>
      <c r="D13" s="122"/>
      <c r="E13" s="123" t="s">
        <v>6889</v>
      </c>
      <c r="F13" s="123"/>
      <c r="G13" s="123"/>
      <c r="H13" s="128"/>
      <c r="I13" s="128"/>
      <c r="J13" s="128"/>
      <c r="K13" s="128"/>
      <c r="L13" s="128"/>
      <c r="M13" s="128"/>
      <c r="N13" s="125"/>
      <c r="O13" s="125"/>
      <c r="P13" s="125"/>
      <c r="Q13" s="126"/>
      <c r="R13" s="116"/>
    </row>
    <row r="14" s="115" customFormat="1" ht="49.9" customHeight="1" spans="1:26">
      <c r="A14" s="121"/>
      <c r="B14" s="122"/>
      <c r="C14" s="122"/>
      <c r="D14" s="122"/>
      <c r="E14" s="123" t="s">
        <v>6890</v>
      </c>
      <c r="F14" s="123"/>
      <c r="G14" s="123"/>
      <c r="H14" s="129"/>
      <c r="I14" s="129"/>
      <c r="J14" s="129"/>
      <c r="K14" s="129"/>
      <c r="L14" s="129"/>
      <c r="M14" s="129"/>
      <c r="N14" s="125"/>
      <c r="O14" s="125"/>
      <c r="P14" s="125"/>
      <c r="Q14" s="126"/>
      <c r="R14" s="116"/>
    </row>
    <row r="15" s="115" customFormat="1" ht="49.9" customHeight="1" spans="1:26">
      <c r="A15" s="121" t="s">
        <v>449</v>
      </c>
      <c r="B15" s="122" t="s">
        <v>491</v>
      </c>
      <c r="C15" s="122" t="s">
        <v>6891</v>
      </c>
      <c r="D15" s="122" t="s">
        <v>6892</v>
      </c>
      <c r="E15" s="123" t="s">
        <v>6893</v>
      </c>
      <c r="F15" s="123"/>
      <c r="G15" s="123"/>
      <c r="H15" s="124" t="s">
        <v>6894</v>
      </c>
      <c r="I15" s="124" t="s">
        <v>6895</v>
      </c>
      <c r="J15" s="124" t="s">
        <v>6896</v>
      </c>
      <c r="K15" s="124" t="s">
        <v>6897</v>
      </c>
      <c r="L15" s="124" t="s">
        <v>6898</v>
      </c>
      <c r="M15" s="124" t="s">
        <v>6899</v>
      </c>
      <c r="N15" s="125">
        <v>2</v>
      </c>
      <c r="O15" s="125">
        <v>3</v>
      </c>
      <c r="P15" s="125">
        <v>4</v>
      </c>
      <c r="Q15" s="126">
        <f>AVERAGE(N15:P17)</f>
        <v>3</v>
      </c>
      <c r="R15" s="127">
        <f>AVERAGE(N15:P17)</f>
        <v>3</v>
      </c>
    </row>
    <row r="16" s="115" customFormat="1" ht="49.9" customHeight="1" spans="1:26">
      <c r="A16" s="121"/>
      <c r="B16" s="122"/>
      <c r="C16" s="122"/>
      <c r="D16" s="122"/>
      <c r="E16" s="123" t="s">
        <v>6900</v>
      </c>
      <c r="F16" s="123"/>
      <c r="G16" s="123"/>
      <c r="H16" s="128"/>
      <c r="I16" s="128"/>
      <c r="J16" s="128"/>
      <c r="K16" s="128"/>
      <c r="L16" s="128"/>
      <c r="M16" s="128"/>
      <c r="N16" s="125"/>
      <c r="O16" s="125"/>
      <c r="P16" s="125"/>
      <c r="Q16" s="126"/>
      <c r="R16" s="116"/>
    </row>
    <row r="17" s="115" customFormat="1" ht="49.9" customHeight="1" spans="1:18">
      <c r="A17" s="121"/>
      <c r="B17" s="122"/>
      <c r="C17" s="122"/>
      <c r="D17" s="122"/>
      <c r="E17" s="123" t="s">
        <v>6901</v>
      </c>
      <c r="F17" s="123"/>
      <c r="G17" s="123"/>
      <c r="H17" s="129"/>
      <c r="I17" s="129"/>
      <c r="J17" s="129"/>
      <c r="K17" s="129"/>
      <c r="L17" s="129"/>
      <c r="M17" s="129"/>
      <c r="N17" s="125"/>
      <c r="O17" s="125"/>
      <c r="P17" s="125"/>
      <c r="Q17" s="126"/>
      <c r="R17" s="116"/>
    </row>
    <row r="18" s="115" customFormat="1" ht="49.9" customHeight="1" spans="1:18">
      <c r="A18" s="121" t="s">
        <v>449</v>
      </c>
      <c r="B18" s="122" t="s">
        <v>6755</v>
      </c>
      <c r="C18" s="122" t="s">
        <v>6902</v>
      </c>
      <c r="D18" s="122" t="s">
        <v>6903</v>
      </c>
      <c r="E18" s="123" t="s">
        <v>6904</v>
      </c>
      <c r="F18" s="123"/>
      <c r="G18" s="123"/>
      <c r="H18" s="124" t="s">
        <v>6905</v>
      </c>
      <c r="I18" s="124" t="s">
        <v>6906</v>
      </c>
      <c r="J18" s="124" t="s">
        <v>6907</v>
      </c>
      <c r="K18" s="124" t="s">
        <v>6908</v>
      </c>
      <c r="L18" s="124" t="s">
        <v>6909</v>
      </c>
      <c r="M18" s="124" t="s">
        <v>6910</v>
      </c>
      <c r="N18" s="125">
        <v>3</v>
      </c>
      <c r="O18" s="125">
        <v>4</v>
      </c>
      <c r="P18" s="125">
        <v>5</v>
      </c>
      <c r="Q18" s="126">
        <f>AVERAGE(N18:P20)</f>
        <v>4</v>
      </c>
      <c r="R18" s="127">
        <f>AVERAGE(N18:P20)</f>
        <v>4</v>
      </c>
    </row>
    <row r="19" s="115" customFormat="1" ht="49.9" customHeight="1" spans="1:18">
      <c r="A19" s="121"/>
      <c r="B19" s="122"/>
      <c r="C19" s="122"/>
      <c r="D19" s="122"/>
      <c r="E19" s="123" t="s">
        <v>6911</v>
      </c>
      <c r="F19" s="123"/>
      <c r="G19" s="123"/>
      <c r="H19" s="128"/>
      <c r="I19" s="128"/>
      <c r="J19" s="128"/>
      <c r="K19" s="128"/>
      <c r="L19" s="128"/>
      <c r="M19" s="128"/>
      <c r="N19" s="125"/>
      <c r="O19" s="125"/>
      <c r="P19" s="125"/>
      <c r="Q19" s="126"/>
      <c r="R19" s="116"/>
    </row>
    <row r="20" s="115" customFormat="1" ht="49.9" customHeight="1" spans="1:18">
      <c r="A20" s="121"/>
      <c r="B20" s="122"/>
      <c r="C20" s="122"/>
      <c r="D20" s="122"/>
      <c r="E20" s="123" t="s">
        <v>6912</v>
      </c>
      <c r="F20" s="123"/>
      <c r="G20" s="123"/>
      <c r="H20" s="129"/>
      <c r="I20" s="129"/>
      <c r="J20" s="129"/>
      <c r="K20" s="129"/>
      <c r="L20" s="129"/>
      <c r="M20" s="129"/>
      <c r="N20" s="125"/>
      <c r="O20" s="125"/>
      <c r="P20" s="125"/>
      <c r="Q20" s="126"/>
      <c r="R20" s="116"/>
    </row>
    <row r="21" s="115" customFormat="1" ht="49.9" customHeight="1" spans="1:18">
      <c r="A21" s="121" t="s">
        <v>449</v>
      </c>
      <c r="B21" s="122" t="s">
        <v>523</v>
      </c>
      <c r="C21" s="122" t="s">
        <v>6913</v>
      </c>
      <c r="D21" s="122" t="s">
        <v>6914</v>
      </c>
      <c r="E21" s="123" t="s">
        <v>6915</v>
      </c>
      <c r="F21" s="123"/>
      <c r="G21" s="123"/>
      <c r="H21" s="124" t="s">
        <v>6916</v>
      </c>
      <c r="I21" s="124" t="s">
        <v>6917</v>
      </c>
      <c r="J21" s="124" t="s">
        <v>6918</v>
      </c>
      <c r="K21" s="124" t="s">
        <v>6919</v>
      </c>
      <c r="L21" s="124" t="s">
        <v>6920</v>
      </c>
      <c r="M21" s="124" t="s">
        <v>6921</v>
      </c>
      <c r="N21" s="125">
        <v>4</v>
      </c>
      <c r="O21" s="125">
        <v>5</v>
      </c>
      <c r="P21" s="125">
        <v>1</v>
      </c>
      <c r="Q21" s="126">
        <f>AVERAGE(N21:P23)</f>
        <v>3.33333333333333</v>
      </c>
      <c r="R21" s="127">
        <f>AVERAGE(N21:P23)</f>
        <v>3.33333333333333</v>
      </c>
    </row>
    <row r="22" s="115" customFormat="1" ht="49.9" customHeight="1" spans="1:18">
      <c r="A22" s="121"/>
      <c r="B22" s="122"/>
      <c r="C22" s="122"/>
      <c r="D22" s="122"/>
      <c r="E22" s="123" t="s">
        <v>6922</v>
      </c>
      <c r="F22" s="123"/>
      <c r="G22" s="123"/>
      <c r="H22" s="128"/>
      <c r="I22" s="128"/>
      <c r="J22" s="128"/>
      <c r="K22" s="128"/>
      <c r="L22" s="128"/>
      <c r="M22" s="128"/>
      <c r="N22" s="125"/>
      <c r="O22" s="125"/>
      <c r="P22" s="125"/>
      <c r="Q22" s="126"/>
      <c r="R22" s="116"/>
    </row>
    <row r="23" s="115" customFormat="1" ht="49.9" customHeight="1" spans="1:18">
      <c r="A23" s="121"/>
      <c r="B23" s="122"/>
      <c r="C23" s="122"/>
      <c r="D23" s="122"/>
      <c r="E23" s="123" t="s">
        <v>6923</v>
      </c>
      <c r="F23" s="123"/>
      <c r="G23" s="123"/>
      <c r="H23" s="129"/>
      <c r="I23" s="129"/>
      <c r="J23" s="129"/>
      <c r="K23" s="129"/>
      <c r="L23" s="129"/>
      <c r="M23" s="129"/>
      <c r="N23" s="125"/>
      <c r="O23" s="125"/>
      <c r="P23" s="125"/>
      <c r="Q23" s="126"/>
      <c r="R23" s="116"/>
    </row>
    <row r="24" s="115" customFormat="1" ht="49.9" customHeight="1" spans="1:18">
      <c r="A24" s="130" t="s">
        <v>447</v>
      </c>
      <c r="B24" s="130" t="s">
        <v>473</v>
      </c>
      <c r="C24" s="130" t="s">
        <v>6924</v>
      </c>
      <c r="D24" s="130" t="s">
        <v>6925</v>
      </c>
      <c r="E24" s="130" t="s">
        <v>6926</v>
      </c>
      <c r="F24" s="131"/>
      <c r="G24" s="131"/>
      <c r="H24" s="130" t="s">
        <v>6927</v>
      </c>
      <c r="I24" s="130" t="s">
        <v>6928</v>
      </c>
      <c r="J24" s="130" t="s">
        <v>6929</v>
      </c>
      <c r="K24" s="130" t="s">
        <v>6930</v>
      </c>
      <c r="L24" s="130" t="s">
        <v>6931</v>
      </c>
      <c r="M24" s="130" t="s">
        <v>6932</v>
      </c>
      <c r="N24" s="125">
        <v>5</v>
      </c>
      <c r="O24" s="125">
        <v>1</v>
      </c>
      <c r="P24" s="125">
        <v>2</v>
      </c>
      <c r="Q24" s="126">
        <f>AVERAGE(N24:P26)</f>
        <v>2.66666666666667</v>
      </c>
      <c r="R24" s="127">
        <f>AVERAGE(N24:P26)</f>
        <v>2.66666666666667</v>
      </c>
    </row>
    <row r="25" s="115" customFormat="1" ht="49.9" customHeight="1" spans="1:18">
      <c r="A25" s="130"/>
      <c r="B25" s="130"/>
      <c r="C25" s="130"/>
      <c r="D25" s="130"/>
      <c r="E25" s="130" t="s">
        <v>6933</v>
      </c>
      <c r="F25" s="131"/>
      <c r="G25" s="131"/>
      <c r="H25" s="130"/>
      <c r="I25" s="130"/>
      <c r="J25" s="130"/>
      <c r="K25" s="130"/>
      <c r="L25" s="130"/>
      <c r="M25" s="130"/>
      <c r="N25" s="125"/>
      <c r="O25" s="125"/>
      <c r="P25" s="125"/>
      <c r="Q25" s="126"/>
      <c r="R25" s="116"/>
    </row>
    <row r="26" s="115" customFormat="1" ht="49.9" customHeight="1" spans="1:18">
      <c r="A26" s="130"/>
      <c r="B26" s="130"/>
      <c r="C26" s="130"/>
      <c r="D26" s="130"/>
      <c r="E26" s="130" t="s">
        <v>6934</v>
      </c>
      <c r="F26" s="131"/>
      <c r="G26" s="131"/>
      <c r="H26" s="130"/>
      <c r="I26" s="130"/>
      <c r="J26" s="130"/>
      <c r="K26" s="130"/>
      <c r="L26" s="130"/>
      <c r="M26" s="130"/>
      <c r="N26" s="125"/>
      <c r="O26" s="125"/>
      <c r="P26" s="125"/>
      <c r="Q26" s="126"/>
      <c r="R26" s="116"/>
    </row>
    <row r="27" s="115" customFormat="1" ht="49.9" customHeight="1" spans="1:18">
      <c r="A27" s="130" t="s">
        <v>447</v>
      </c>
      <c r="B27" s="130" t="s">
        <v>491</v>
      </c>
      <c r="C27" s="130" t="s">
        <v>6935</v>
      </c>
      <c r="D27" s="130" t="s">
        <v>6936</v>
      </c>
      <c r="E27" s="130" t="s">
        <v>6937</v>
      </c>
      <c r="F27" s="131"/>
      <c r="G27" s="131"/>
      <c r="H27" s="130" t="s">
        <v>6938</v>
      </c>
      <c r="I27" s="130" t="s">
        <v>6939</v>
      </c>
      <c r="J27" s="130" t="s">
        <v>6940</v>
      </c>
      <c r="K27" s="130" t="s">
        <v>6941</v>
      </c>
      <c r="L27" s="130" t="s">
        <v>6942</v>
      </c>
      <c r="M27" s="130" t="s">
        <v>6943</v>
      </c>
      <c r="N27" s="125">
        <v>1</v>
      </c>
      <c r="O27" s="125">
        <v>2</v>
      </c>
      <c r="P27" s="125">
        <v>3</v>
      </c>
      <c r="Q27" s="126">
        <f>AVERAGE(N27:P29)</f>
        <v>2</v>
      </c>
      <c r="R27" s="127">
        <f>AVERAGE(N27:P29)</f>
        <v>2</v>
      </c>
    </row>
    <row r="28" s="115" customFormat="1" ht="49.9" customHeight="1" spans="1:18">
      <c r="A28" s="130"/>
      <c r="B28" s="130"/>
      <c r="C28" s="130"/>
      <c r="D28" s="130"/>
      <c r="E28" s="130" t="s">
        <v>6944</v>
      </c>
      <c r="F28" s="131"/>
      <c r="G28" s="131"/>
      <c r="H28" s="130"/>
      <c r="I28" s="130"/>
      <c r="J28" s="130"/>
      <c r="K28" s="130"/>
      <c r="L28" s="130"/>
      <c r="M28" s="130"/>
      <c r="N28" s="125"/>
      <c r="O28" s="125"/>
      <c r="P28" s="125"/>
      <c r="Q28" s="126"/>
      <c r="R28" s="116"/>
    </row>
    <row r="29" s="115" customFormat="1" ht="49.9" customHeight="1" spans="1:18">
      <c r="A29" s="130"/>
      <c r="B29" s="130"/>
      <c r="C29" s="130"/>
      <c r="D29" s="130"/>
      <c r="E29" s="130" t="s">
        <v>6945</v>
      </c>
      <c r="F29" s="131"/>
      <c r="G29" s="131"/>
      <c r="H29" s="130"/>
      <c r="I29" s="130"/>
      <c r="J29" s="130"/>
      <c r="K29" s="130"/>
      <c r="L29" s="130"/>
      <c r="M29" s="130"/>
      <c r="N29" s="125"/>
      <c r="O29" s="125"/>
      <c r="P29" s="125"/>
      <c r="Q29" s="126"/>
      <c r="R29" s="116"/>
    </row>
    <row r="30" s="115" customFormat="1" ht="49.9" customHeight="1" spans="1:18">
      <c r="A30" s="130" t="s">
        <v>447</v>
      </c>
      <c r="B30" s="130" t="s">
        <v>6755</v>
      </c>
      <c r="C30" s="130" t="s">
        <v>6946</v>
      </c>
      <c r="D30" s="130" t="s">
        <v>6947</v>
      </c>
      <c r="E30" s="130" t="s">
        <v>6948</v>
      </c>
      <c r="F30" s="131"/>
      <c r="G30" s="131"/>
      <c r="H30" s="130" t="s">
        <v>6949</v>
      </c>
      <c r="I30" s="130" t="s">
        <v>6950</v>
      </c>
      <c r="J30" s="130" t="s">
        <v>6951</v>
      </c>
      <c r="K30" s="130" t="s">
        <v>6952</v>
      </c>
      <c r="L30" s="130" t="s">
        <v>6953</v>
      </c>
      <c r="M30" s="130" t="s">
        <v>6954</v>
      </c>
      <c r="N30" s="125">
        <v>2</v>
      </c>
      <c r="O30" s="125">
        <v>3</v>
      </c>
      <c r="P30" s="125">
        <v>4</v>
      </c>
      <c r="Q30" s="126">
        <f>AVERAGE(N30:P32)</f>
        <v>3</v>
      </c>
      <c r="R30" s="127">
        <f>AVERAGE(N30:P32)</f>
        <v>3</v>
      </c>
    </row>
    <row r="31" s="115" customFormat="1" ht="49.9" customHeight="1" spans="1:18">
      <c r="A31" s="130"/>
      <c r="B31" s="130"/>
      <c r="C31" s="130"/>
      <c r="D31" s="130"/>
      <c r="E31" s="130" t="s">
        <v>6955</v>
      </c>
      <c r="F31" s="131"/>
      <c r="G31" s="131"/>
      <c r="H31" s="130"/>
      <c r="I31" s="130"/>
      <c r="J31" s="130"/>
      <c r="K31" s="130"/>
      <c r="L31" s="130"/>
      <c r="M31" s="130"/>
      <c r="N31" s="125"/>
      <c r="O31" s="125"/>
      <c r="P31" s="125"/>
      <c r="Q31" s="126"/>
      <c r="R31" s="116"/>
    </row>
    <row r="32" s="115" customFormat="1" ht="49.9" customHeight="1" spans="1:18">
      <c r="A32" s="130"/>
      <c r="B32" s="130"/>
      <c r="C32" s="130"/>
      <c r="D32" s="130"/>
      <c r="E32" s="130" t="s">
        <v>6956</v>
      </c>
      <c r="F32" s="131"/>
      <c r="G32" s="131"/>
      <c r="H32" s="130"/>
      <c r="I32" s="130"/>
      <c r="J32" s="130"/>
      <c r="K32" s="130"/>
      <c r="L32" s="130"/>
      <c r="M32" s="130"/>
      <c r="N32" s="125"/>
      <c r="O32" s="125"/>
      <c r="P32" s="125"/>
      <c r="Q32" s="126"/>
      <c r="R32" s="116"/>
    </row>
    <row r="33" spans="17:17">
      <c r="Q33" s="132">
        <f>AVERAGE(Q12:Q32)</f>
        <v>2.85714285714286</v>
      </c>
    </row>
  </sheetData>
  <mergeCells count="99">
    <mergeCell ref="A1:Q1"/>
    <mergeCell ref="A12:A14"/>
    <mergeCell ref="A15:A17"/>
    <mergeCell ref="A18:A20"/>
    <mergeCell ref="A21:A23"/>
    <mergeCell ref="A24:A26"/>
    <mergeCell ref="A27:A29"/>
    <mergeCell ref="A30:A32"/>
    <mergeCell ref="B12:B14"/>
    <mergeCell ref="B15:B17"/>
    <mergeCell ref="B18:B20"/>
    <mergeCell ref="B21:B23"/>
    <mergeCell ref="B24:B26"/>
    <mergeCell ref="B27:B29"/>
    <mergeCell ref="B30:B32"/>
    <mergeCell ref="C12:C14"/>
    <mergeCell ref="C15:C17"/>
    <mergeCell ref="C18:C20"/>
    <mergeCell ref="C21:C23"/>
    <mergeCell ref="C24:C26"/>
    <mergeCell ref="C27:C29"/>
    <mergeCell ref="C30:C32"/>
    <mergeCell ref="D12:D14"/>
    <mergeCell ref="D15:D17"/>
    <mergeCell ref="D18:D20"/>
    <mergeCell ref="D21:D23"/>
    <mergeCell ref="D24:D26"/>
    <mergeCell ref="D27:D29"/>
    <mergeCell ref="D30:D32"/>
    <mergeCell ref="H12:H14"/>
    <mergeCell ref="H15:H17"/>
    <mergeCell ref="H18:H20"/>
    <mergeCell ref="H21:H23"/>
    <mergeCell ref="H24:H26"/>
    <mergeCell ref="H27:H29"/>
    <mergeCell ref="H30:H32"/>
    <mergeCell ref="I12:I14"/>
    <mergeCell ref="I15:I17"/>
    <mergeCell ref="I18:I20"/>
    <mergeCell ref="I21:I23"/>
    <mergeCell ref="I24:I26"/>
    <mergeCell ref="I27:I29"/>
    <mergeCell ref="I30:I32"/>
    <mergeCell ref="J12:J14"/>
    <mergeCell ref="J15:J17"/>
    <mergeCell ref="J18:J20"/>
    <mergeCell ref="J21:J23"/>
    <mergeCell ref="J24:J26"/>
    <mergeCell ref="J27:J29"/>
    <mergeCell ref="J30:J32"/>
    <mergeCell ref="K12:K14"/>
    <mergeCell ref="K15:K17"/>
    <mergeCell ref="K18:K20"/>
    <mergeCell ref="K21:K23"/>
    <mergeCell ref="K24:K26"/>
    <mergeCell ref="K27:K29"/>
    <mergeCell ref="K30:K32"/>
    <mergeCell ref="L12:L14"/>
    <mergeCell ref="L15:L17"/>
    <mergeCell ref="L18:L20"/>
    <mergeCell ref="L21:L23"/>
    <mergeCell ref="L24:L26"/>
    <mergeCell ref="L27:L29"/>
    <mergeCell ref="L30:L32"/>
    <mergeCell ref="M12:M14"/>
    <mergeCell ref="M15:M17"/>
    <mergeCell ref="M18:M20"/>
    <mergeCell ref="M21:M23"/>
    <mergeCell ref="M24:M26"/>
    <mergeCell ref="M27:M29"/>
    <mergeCell ref="M30:M32"/>
    <mergeCell ref="N12:N14"/>
    <mergeCell ref="N15:N17"/>
    <mergeCell ref="N18:N20"/>
    <mergeCell ref="N21:N23"/>
    <mergeCell ref="N24:N26"/>
    <mergeCell ref="N27:N29"/>
    <mergeCell ref="N30:N32"/>
    <mergeCell ref="O12:O14"/>
    <mergeCell ref="O15:O17"/>
    <mergeCell ref="O18:O20"/>
    <mergeCell ref="O21:O23"/>
    <mergeCell ref="O24:O26"/>
    <mergeCell ref="O27:O29"/>
    <mergeCell ref="O30:O32"/>
    <mergeCell ref="P12:P14"/>
    <mergeCell ref="P15:P17"/>
    <mergeCell ref="P18:P20"/>
    <mergeCell ref="P21:P23"/>
    <mergeCell ref="P24:P26"/>
    <mergeCell ref="P27:P29"/>
    <mergeCell ref="P30:P32"/>
    <mergeCell ref="Q12:Q14"/>
    <mergeCell ref="Q15:Q17"/>
    <mergeCell ref="Q18:Q20"/>
    <mergeCell ref="Q21:Q23"/>
    <mergeCell ref="Q24:Q26"/>
    <mergeCell ref="Q27:Q29"/>
    <mergeCell ref="Q30:Q32"/>
  </mergeCells>
  <conditionalFormatting sqref="I10:L10;L11:L30">
    <cfRule type="colorScale" priority="17">
      <colorScale>
        <cfvo type="min"/>
        <cfvo type="percentile" val="50"/>
        <cfvo type="max"/>
        <color rgb="FFF4CCCC"/>
        <color rgb="FFFFF2CC"/>
        <color rgb="FFC6E0B4"/>
      </colorScale>
    </cfRule>
  </conditionalFormatting>
  <conditionalFormatting sqref="I11:K12">
    <cfRule type="colorScale" priority="4">
      <colorScale>
        <cfvo type="min"/>
        <cfvo type="percentile" val="50"/>
        <cfvo type="max"/>
        <color rgb="FFF4CCCC"/>
        <color rgb="FFFFF2CC"/>
        <color rgb="FFC6E0B4"/>
      </colorScale>
    </cfRule>
  </conditionalFormatting>
  <conditionalFormatting sqref="I14:K16">
    <cfRule type="colorScale" priority="3">
      <colorScale>
        <cfvo type="min"/>
        <cfvo type="percentile" val="50"/>
        <cfvo type="max"/>
        <color rgb="FFF4CCCC"/>
        <color rgb="FFFFF2CC"/>
        <color rgb="FFC6E0B4"/>
      </colorScale>
    </cfRule>
  </conditionalFormatting>
  <conditionalFormatting sqref="I18:K20">
    <cfRule type="colorScale" priority="2">
      <colorScale>
        <cfvo type="min"/>
        <cfvo type="percentile" val="50"/>
        <cfvo type="max"/>
        <color rgb="FFF4CCCC"/>
        <color rgb="FFFFF2CC"/>
        <color rgb="FFC6E0B4"/>
      </colorScale>
    </cfRule>
  </conditionalFormatting>
  <dataValidations count="1">
    <dataValidation type="list" allowBlank="1" showInputMessage="1" showErrorMessage="1" sqref="N12:P32">
      <formula1>"1,2,3,4,5"</formula1>
    </dataValidation>
  </dataValidations>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18"/>
  <sheetViews>
    <sheetView showGridLines="0" tabSelected="1" zoomScale="70" zoomScaleNormal="70" workbookViewId="0">
      <selection activeCell="E13" sqref="E13"/>
    </sheetView>
  </sheetViews>
  <sheetFormatPr defaultColWidth="8.83636363636364" defaultRowHeight="14"/>
  <cols>
    <col min="1" max="1" width="23.1636363636364" style="94" customWidth="1"/>
    <col min="2" max="2" width="33.2545454545455" style="94" customWidth="1"/>
    <col min="3" max="3" width="34.1636363636364" style="94" customWidth="1"/>
    <col min="4" max="7" width="45.2545454545455" style="94" customWidth="1"/>
    <col min="8" max="8" width="45.2545454545455" style="95" customWidth="1"/>
    <col min="9" max="9" width="15.5818181818182" style="95" customWidth="1"/>
    <col min="10" max="10" width="18.2545454545455" style="94" customWidth="1"/>
    <col min="11" max="11" width="15" style="94" customWidth="1"/>
    <col min="12" max="12" width="36.8363636363636" style="94" customWidth="1"/>
    <col min="13" max="16384" width="8.83636363636364" style="94"/>
  </cols>
  <sheetData>
    <row r="1" ht="19.15" customHeight="1" spans="1:26">
      <c r="A1" s="96" t="s">
        <v>6957</v>
      </c>
      <c r="B1" s="96"/>
      <c r="C1" s="96"/>
      <c r="D1" s="96"/>
      <c r="E1" s="96"/>
      <c r="F1" s="96"/>
      <c r="G1" s="96"/>
      <c r="H1" s="96"/>
      <c r="I1" s="96"/>
      <c r="J1" s="96"/>
      <c r="K1" s="96"/>
      <c r="L1" s="96"/>
      <c r="M1" s="97"/>
      <c r="N1" s="97"/>
      <c r="O1" s="97"/>
      <c r="P1" s="97"/>
      <c r="Q1" s="97"/>
      <c r="R1" s="97"/>
      <c r="S1" s="97"/>
      <c r="T1" s="97"/>
      <c r="U1" s="97"/>
      <c r="V1" s="97"/>
      <c r="W1" s="97"/>
      <c r="X1" s="97"/>
      <c r="Y1" s="97"/>
      <c r="Z1" s="97"/>
    </row>
    <row r="3" spans="1:26">
      <c r="A3" s="98" t="s">
        <v>0</v>
      </c>
      <c r="B3" s="99" t="str">
        <f>Dasboard!B3</f>
        <v>Febrian Dwi Christian</v>
      </c>
    </row>
    <row r="4" ht="28" spans="1:26">
      <c r="A4" s="98" t="s">
        <v>6743</v>
      </c>
      <c r="B4" s="99" t="str">
        <f>Dasboard!B4</f>
        <v>Analyst</v>
      </c>
    </row>
    <row r="5" spans="1:26">
      <c r="A5" s="98" t="s">
        <v>6744</v>
      </c>
      <c r="B5" s="99" t="str">
        <f>Dasboard!B5</f>
        <v>Unit Head</v>
      </c>
    </row>
    <row r="6" spans="1:26">
      <c r="A6" s="98" t="s">
        <v>6863</v>
      </c>
      <c r="B6" s="99" t="str">
        <f>Dasboard!B6</f>
        <v>Juli 2026 - Juli 2027</v>
      </c>
    </row>
    <row r="7" spans="1:26">
      <c r="A7" s="98" t="s">
        <v>6771</v>
      </c>
      <c r="B7" s="99" t="str">
        <f>Dasboard!B7</f>
        <v>Desember 2026</v>
      </c>
    </row>
    <row r="8" spans="1:26">
      <c r="A8" s="98" t="s">
        <v>6772</v>
      </c>
      <c r="B8" s="99" t="str">
        <f>Dasboard!B8</f>
        <v>Juli 2027</v>
      </c>
    </row>
    <row r="9" spans="1:26">
      <c r="A9" s="100"/>
      <c r="B9" s="99"/>
    </row>
    <row r="10" spans="1:26">
      <c r="A10" s="100"/>
      <c r="B10" s="99"/>
    </row>
    <row r="11" s="92" customFormat="1" ht="28" spans="1:26">
      <c r="A11" s="101" t="s">
        <v>19</v>
      </c>
      <c r="B11" s="101" t="s">
        <v>6958</v>
      </c>
      <c r="C11" s="101" t="s">
        <v>6959</v>
      </c>
      <c r="D11" s="102" t="s">
        <v>6960</v>
      </c>
      <c r="E11" s="102" t="s">
        <v>6961</v>
      </c>
      <c r="F11" s="102" t="s">
        <v>6962</v>
      </c>
      <c r="G11" s="102" t="s">
        <v>6963</v>
      </c>
      <c r="H11" s="102" t="s">
        <v>6964</v>
      </c>
      <c r="I11" s="103" t="s">
        <v>6965</v>
      </c>
      <c r="J11" s="103" t="s">
        <v>6966</v>
      </c>
      <c r="K11" s="103" t="s">
        <v>6967</v>
      </c>
      <c r="L11" s="104" t="s">
        <v>6780</v>
      </c>
    </row>
    <row r="12" s="93" customFormat="1" ht="56" spans="1:26">
      <c r="A12" s="95">
        <v>1</v>
      </c>
      <c r="B12" s="93" t="s">
        <v>6968</v>
      </c>
      <c r="C12" s="93" t="s">
        <v>6969</v>
      </c>
      <c r="D12" s="93" t="s">
        <v>6970</v>
      </c>
      <c r="E12" s="93" t="s">
        <v>6971</v>
      </c>
      <c r="F12" s="93" t="s">
        <v>6972</v>
      </c>
      <c r="G12" s="93" t="s">
        <v>6973</v>
      </c>
      <c r="H12" s="93" t="s">
        <v>6974</v>
      </c>
      <c r="I12" s="105">
        <v>1</v>
      </c>
      <c r="J12" s="106">
        <v>0.25</v>
      </c>
      <c r="K12" s="107">
        <f>IFERROR(I12*J12,0)</f>
        <v>0.25</v>
      </c>
      <c r="L12" s="108"/>
    </row>
    <row r="13" s="93" customFormat="1" ht="56" spans="1:26">
      <c r="A13" s="95">
        <v>2</v>
      </c>
      <c r="B13" s="93" t="s">
        <v>6975</v>
      </c>
      <c r="C13" s="93" t="s">
        <v>6976</v>
      </c>
      <c r="D13" s="93" t="s">
        <v>6977</v>
      </c>
      <c r="E13" s="93" t="s">
        <v>6978</v>
      </c>
      <c r="F13" s="93" t="s">
        <v>6979</v>
      </c>
      <c r="G13" s="93" t="s">
        <v>6980</v>
      </c>
      <c r="H13" s="93" t="s">
        <v>6981</v>
      </c>
      <c r="I13" s="109">
        <v>2</v>
      </c>
      <c r="J13" s="110">
        <v>0.2</v>
      </c>
      <c r="K13" s="111">
        <f t="shared" ref="K13:K16" si="0">IFERROR(I13*J13,0)</f>
        <v>0.4</v>
      </c>
      <c r="L13" s="112"/>
    </row>
    <row r="14" s="93" customFormat="1" ht="70" spans="1:26">
      <c r="A14" s="95">
        <v>3</v>
      </c>
      <c r="B14" s="93" t="s">
        <v>6982</v>
      </c>
      <c r="C14" s="93" t="s">
        <v>6983</v>
      </c>
      <c r="D14" s="93" t="s">
        <v>6984</v>
      </c>
      <c r="E14" s="93" t="s">
        <v>6985</v>
      </c>
      <c r="F14" s="93" t="s">
        <v>6986</v>
      </c>
      <c r="G14" s="93" t="s">
        <v>6987</v>
      </c>
      <c r="H14" s="93" t="s">
        <v>6988</v>
      </c>
      <c r="I14" s="105">
        <v>3</v>
      </c>
      <c r="J14" s="106">
        <v>0.2</v>
      </c>
      <c r="K14" s="107">
        <f t="shared" si="0"/>
        <v>0.6</v>
      </c>
      <c r="L14" s="108"/>
    </row>
    <row r="15" s="93" customFormat="1" ht="56" spans="1:26">
      <c r="A15" s="95">
        <v>4</v>
      </c>
      <c r="B15" s="93" t="s">
        <v>6989</v>
      </c>
      <c r="C15" s="93" t="s">
        <v>6990</v>
      </c>
      <c r="D15" s="93" t="s">
        <v>6991</v>
      </c>
      <c r="E15" s="93" t="s">
        <v>6992</v>
      </c>
      <c r="F15" s="93" t="s">
        <v>6993</v>
      </c>
      <c r="G15" s="93" t="s">
        <v>6994</v>
      </c>
      <c r="H15" s="93" t="s">
        <v>6995</v>
      </c>
      <c r="I15" s="109">
        <v>4</v>
      </c>
      <c r="J15" s="110">
        <v>0.2</v>
      </c>
      <c r="K15" s="111">
        <f t="shared" si="0"/>
        <v>0.8</v>
      </c>
      <c r="L15" s="112"/>
    </row>
    <row r="16" s="93" customFormat="1" ht="70" spans="1:26">
      <c r="A16" s="95">
        <v>5</v>
      </c>
      <c r="B16" s="93" t="s">
        <v>6996</v>
      </c>
      <c r="C16" s="93" t="s">
        <v>6997</v>
      </c>
      <c r="D16" s="93" t="s">
        <v>6998</v>
      </c>
      <c r="E16" s="93" t="s">
        <v>6999</v>
      </c>
      <c r="F16" s="93" t="s">
        <v>7000</v>
      </c>
      <c r="G16" s="93" t="s">
        <v>7001</v>
      </c>
      <c r="H16" s="93" t="s">
        <v>7002</v>
      </c>
      <c r="I16" s="105">
        <v>5</v>
      </c>
      <c r="J16" s="106">
        <v>0.15</v>
      </c>
      <c r="K16" s="107">
        <f t="shared" si="0"/>
        <v>0.75</v>
      </c>
      <c r="L16" s="108"/>
    </row>
    <row r="17" spans="1:12">
      <c r="A17" s="95"/>
      <c r="B17" s="93"/>
      <c r="C17" s="93"/>
      <c r="D17" s="113"/>
      <c r="E17" s="95"/>
      <c r="F17" s="95"/>
      <c r="G17" s="113"/>
      <c r="I17" s="114"/>
      <c r="J17" s="114"/>
      <c r="K17" s="111">
        <f>SUM(K12:K16)</f>
        <v>2.8</v>
      </c>
      <c r="L17" s="112"/>
    </row>
    <row r="18" s="93" customFormat="1" spans="1:12">
      <c r="A18" s="102"/>
    </row>
  </sheetData>
  <mergeCells count="1">
    <mergeCell ref="A1:L1"/>
  </mergeCells>
  <conditionalFormatting sqref="I12:I16">
    <cfRule type="colorScale" priority="1">
      <colorScale>
        <cfvo type="min"/>
        <cfvo type="percentile" val="50"/>
        <cfvo type="max"/>
        <color rgb="FFF4CCCC"/>
        <color rgb="FFFFF2CC"/>
        <color rgb="FFC6E0B4"/>
      </colorScale>
    </cfRule>
  </conditionalFormatting>
  <dataValidations count="1">
    <dataValidation type="list" sqref="I12:I16">
      <formula1>"1,2,3,4,5"</formula1>
    </dataValidation>
  </dataValidations>
  <pageMargins left="0.7" right="0.7" top="0.75" bottom="0.75" header="0.3" footer="0.3"/>
  <headerFooter/>
  <tableParts count="1">
    <tablePart r:id="rId1"/>
  </tableParts>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I225"/>
  <sheetViews>
    <sheetView zoomScale="55" zoomScaleNormal="55" topLeftCell="A158" workbookViewId="0">
      <selection activeCell="N13" sqref="A12:P23"/>
    </sheetView>
  </sheetViews>
  <sheetFormatPr defaultColWidth="9" defaultRowHeight="14"/>
  <cols>
    <col min="2" max="2" width="39" customWidth="1"/>
    <col min="3" max="8" width="32.7545454545455" customWidth="1"/>
  </cols>
  <sheetData>
    <row r="2" ht="17.5" spans="2:8">
      <c r="B2" s="1" t="s">
        <v>426</v>
      </c>
      <c r="C2" s="2" t="s">
        <v>6</v>
      </c>
      <c r="D2" s="2" t="s">
        <v>8</v>
      </c>
      <c r="E2" s="2" t="s">
        <v>18</v>
      </c>
      <c r="F2" s="2" t="s">
        <v>655</v>
      </c>
      <c r="G2" s="2" t="s">
        <v>712</v>
      </c>
      <c r="H2" s="2" t="s">
        <v>773</v>
      </c>
    </row>
    <row r="3" ht="40.15" customHeight="1" spans="2:8">
      <c r="B3" s="3" t="s">
        <v>443</v>
      </c>
      <c r="C3" s="2">
        <v>2</v>
      </c>
      <c r="D3" s="2">
        <v>3</v>
      </c>
      <c r="E3" s="2">
        <v>3</v>
      </c>
      <c r="F3" s="2">
        <v>4</v>
      </c>
      <c r="G3" s="2">
        <v>5</v>
      </c>
      <c r="H3" s="2" t="s">
        <v>7003</v>
      </c>
    </row>
    <row r="4" ht="40.15" customHeight="1" spans="2:8">
      <c r="B4" s="3" t="s">
        <v>444</v>
      </c>
      <c r="C4" s="2">
        <v>1</v>
      </c>
      <c r="D4" s="2">
        <v>2</v>
      </c>
      <c r="E4" s="2">
        <v>3</v>
      </c>
      <c r="F4" s="2">
        <v>4</v>
      </c>
      <c r="G4" s="2">
        <v>5</v>
      </c>
      <c r="H4" s="2" t="s">
        <v>7003</v>
      </c>
    </row>
    <row r="5" ht="40.15" customHeight="1" spans="2:8">
      <c r="B5" s="3" t="s">
        <v>445</v>
      </c>
      <c r="C5" s="2">
        <v>1</v>
      </c>
      <c r="D5" s="2">
        <v>2</v>
      </c>
      <c r="E5" s="2">
        <v>3</v>
      </c>
      <c r="F5" s="2">
        <v>5</v>
      </c>
      <c r="G5" s="2">
        <v>5</v>
      </c>
      <c r="H5" s="2" t="s">
        <v>7003</v>
      </c>
    </row>
    <row r="6" ht="40.15" customHeight="1" spans="2:8">
      <c r="B6" s="3" t="s">
        <v>446</v>
      </c>
      <c r="C6" s="2">
        <v>1</v>
      </c>
      <c r="D6" s="2">
        <v>2</v>
      </c>
      <c r="E6" s="2">
        <v>4</v>
      </c>
      <c r="F6" s="2">
        <v>4</v>
      </c>
      <c r="G6" s="2">
        <v>5</v>
      </c>
      <c r="H6" s="2" t="s">
        <v>7003</v>
      </c>
    </row>
    <row r="7" ht="40.15" customHeight="1" spans="2:8">
      <c r="B7" s="3" t="s">
        <v>447</v>
      </c>
      <c r="C7" s="2">
        <v>2</v>
      </c>
      <c r="D7" s="2">
        <v>3</v>
      </c>
      <c r="E7" s="2">
        <v>3</v>
      </c>
      <c r="F7" s="2">
        <v>4</v>
      </c>
      <c r="G7" s="2">
        <v>5</v>
      </c>
      <c r="H7" s="2" t="s">
        <v>7003</v>
      </c>
    </row>
    <row r="8" ht="40.15" customHeight="1" spans="2:8">
      <c r="B8" s="3" t="s">
        <v>448</v>
      </c>
      <c r="C8" s="2">
        <v>1</v>
      </c>
      <c r="D8" s="2">
        <v>2</v>
      </c>
      <c r="E8" s="2">
        <v>3</v>
      </c>
      <c r="F8" s="2">
        <v>4</v>
      </c>
      <c r="G8" s="2">
        <v>5</v>
      </c>
      <c r="H8" s="2" t="s">
        <v>7003</v>
      </c>
    </row>
    <row r="9" ht="40.15" customHeight="1" spans="2:8">
      <c r="B9" s="3" t="s">
        <v>449</v>
      </c>
      <c r="C9" s="2">
        <v>1</v>
      </c>
      <c r="D9" s="2">
        <v>2</v>
      </c>
      <c r="E9" s="2">
        <v>3</v>
      </c>
      <c r="F9" s="2">
        <v>4</v>
      </c>
      <c r="G9" s="2">
        <v>5</v>
      </c>
      <c r="H9" s="2" t="s">
        <v>7003</v>
      </c>
    </row>
    <row r="10" ht="40.15" customHeight="1" spans="2:8">
      <c r="B10" s="3" t="s">
        <v>450</v>
      </c>
      <c r="C10" s="2">
        <v>1</v>
      </c>
      <c r="D10" s="2">
        <v>2</v>
      </c>
      <c r="E10" s="2">
        <v>3</v>
      </c>
      <c r="F10" s="2">
        <v>4</v>
      </c>
      <c r="G10" s="2">
        <v>5</v>
      </c>
      <c r="H10" s="2" t="s">
        <v>7003</v>
      </c>
    </row>
    <row r="11" ht="40.15" customHeight="1" spans="2:8">
      <c r="B11" s="3" t="s">
        <v>451</v>
      </c>
      <c r="C11" s="2">
        <v>1</v>
      </c>
      <c r="D11" s="2">
        <v>2</v>
      </c>
      <c r="E11" s="2">
        <v>3</v>
      </c>
      <c r="F11" s="2">
        <v>4</v>
      </c>
      <c r="G11" s="2">
        <v>5</v>
      </c>
      <c r="H11" s="2" t="s">
        <v>7003</v>
      </c>
    </row>
    <row r="12" ht="40.15" customHeight="1" spans="2:8">
      <c r="B12" s="3" t="s">
        <v>452</v>
      </c>
      <c r="C12" s="2">
        <v>2</v>
      </c>
      <c r="D12" s="2">
        <v>3</v>
      </c>
      <c r="E12" s="2">
        <v>4</v>
      </c>
      <c r="F12" s="2">
        <v>5</v>
      </c>
      <c r="G12" s="2">
        <v>5</v>
      </c>
      <c r="H12" s="2" t="s">
        <v>7003</v>
      </c>
    </row>
    <row r="13" ht="40.15" customHeight="1" spans="2:8">
      <c r="B13" s="3" t="s">
        <v>453</v>
      </c>
      <c r="C13" s="2">
        <v>1</v>
      </c>
      <c r="D13" s="2">
        <v>2</v>
      </c>
      <c r="E13" s="2">
        <v>3</v>
      </c>
      <c r="F13" s="2">
        <v>4</v>
      </c>
      <c r="G13" s="2">
        <v>5</v>
      </c>
      <c r="H13" s="2" t="s">
        <v>7003</v>
      </c>
    </row>
    <row r="14" ht="40.15" customHeight="1" spans="2:8">
      <c r="B14" s="3" t="s">
        <v>454</v>
      </c>
      <c r="C14" s="2">
        <v>2</v>
      </c>
      <c r="D14" s="2">
        <v>3</v>
      </c>
      <c r="E14" s="2">
        <v>3</v>
      </c>
      <c r="F14" s="2">
        <v>4</v>
      </c>
      <c r="G14" s="2">
        <v>5</v>
      </c>
      <c r="H14" s="2" t="s">
        <v>7003</v>
      </c>
    </row>
    <row r="15" ht="40.15" customHeight="1" spans="2:8">
      <c r="B15" s="3" t="s">
        <v>455</v>
      </c>
      <c r="C15" s="2">
        <v>1</v>
      </c>
      <c r="D15" s="2">
        <v>2</v>
      </c>
      <c r="E15" s="2">
        <v>3</v>
      </c>
      <c r="F15" s="2">
        <v>4</v>
      </c>
      <c r="G15" s="2">
        <v>5</v>
      </c>
      <c r="H15" s="2" t="s">
        <v>7003</v>
      </c>
    </row>
    <row r="16" ht="40.15" customHeight="1" spans="2:8">
      <c r="B16" s="3" t="s">
        <v>456</v>
      </c>
      <c r="C16" s="2">
        <v>1</v>
      </c>
      <c r="D16" s="2">
        <v>2</v>
      </c>
      <c r="E16" s="2">
        <v>3</v>
      </c>
      <c r="F16" s="2">
        <v>4</v>
      </c>
      <c r="G16" s="2">
        <v>5</v>
      </c>
      <c r="H16" s="2" t="s">
        <v>7003</v>
      </c>
    </row>
    <row r="20" ht="17.5" spans="2:9">
      <c r="B20" s="4" t="s">
        <v>426</v>
      </c>
      <c r="C20" s="5" t="s">
        <v>6</v>
      </c>
      <c r="D20" s="5" t="s">
        <v>8</v>
      </c>
      <c r="E20" s="5" t="s">
        <v>18</v>
      </c>
      <c r="F20" s="5" t="s">
        <v>655</v>
      </c>
      <c r="G20" s="5" t="s">
        <v>712</v>
      </c>
      <c r="H20" s="5" t="s">
        <v>773</v>
      </c>
    </row>
    <row r="21" ht="70" spans="2:9">
      <c r="B21" s="6" t="s">
        <v>443</v>
      </c>
      <c r="C21" s="7" t="s">
        <v>7004</v>
      </c>
      <c r="D21" s="8" t="s">
        <v>7005</v>
      </c>
      <c r="E21" s="8" t="s">
        <v>7006</v>
      </c>
      <c r="F21" s="8" t="s">
        <v>7007</v>
      </c>
      <c r="G21" s="7" t="s">
        <v>7008</v>
      </c>
      <c r="H21" s="7" t="s">
        <v>7009</v>
      </c>
    </row>
    <row r="22" ht="98" spans="2:9">
      <c r="B22" s="9" t="s">
        <v>444</v>
      </c>
      <c r="C22" s="10" t="s">
        <v>7010</v>
      </c>
      <c r="D22" s="10" t="s">
        <v>7011</v>
      </c>
      <c r="E22" s="10" t="s">
        <v>7012</v>
      </c>
      <c r="F22" s="11" t="s">
        <v>7013</v>
      </c>
      <c r="G22" s="10" t="s">
        <v>7014</v>
      </c>
      <c r="H22" s="12" t="s">
        <v>7015</v>
      </c>
    </row>
    <row r="23" ht="84" spans="2:9">
      <c r="B23" s="6" t="s">
        <v>7016</v>
      </c>
      <c r="C23" s="8" t="s">
        <v>7017</v>
      </c>
      <c r="D23" s="7" t="s">
        <v>7018</v>
      </c>
      <c r="E23" s="7" t="s">
        <v>7019</v>
      </c>
      <c r="F23" s="7" t="s">
        <v>7020</v>
      </c>
      <c r="G23" s="7" t="s">
        <v>7021</v>
      </c>
      <c r="H23" s="7" t="s">
        <v>7022</v>
      </c>
    </row>
    <row r="24" ht="56" spans="2:9">
      <c r="B24" s="6" t="s">
        <v>446</v>
      </c>
      <c r="C24" s="13" t="s">
        <v>7023</v>
      </c>
      <c r="D24" s="14" t="s">
        <v>7024</v>
      </c>
      <c r="E24" s="14" t="s">
        <v>7025</v>
      </c>
      <c r="F24" s="14" t="s">
        <v>7026</v>
      </c>
      <c r="G24" s="15" t="s">
        <v>7027</v>
      </c>
      <c r="H24" s="15" t="s">
        <v>7028</v>
      </c>
      <c r="I24" s="16"/>
    </row>
    <row r="25" ht="57.65" customHeight="1" spans="2:9">
      <c r="B25" s="9" t="s">
        <v>447</v>
      </c>
      <c r="C25" s="17" t="s">
        <v>7029</v>
      </c>
      <c r="D25" s="18" t="s">
        <v>7030</v>
      </c>
      <c r="E25" s="17" t="s">
        <v>7031</v>
      </c>
      <c r="F25" s="18" t="s">
        <v>7032</v>
      </c>
      <c r="G25" s="19" t="s">
        <v>7033</v>
      </c>
      <c r="H25" s="19" t="s">
        <v>7034</v>
      </c>
      <c r="I25" s="16"/>
    </row>
    <row r="26" ht="84" spans="2:9">
      <c r="B26" s="20"/>
      <c r="C26" s="21"/>
      <c r="D26" s="22" t="s">
        <v>7035</v>
      </c>
      <c r="E26" s="21"/>
      <c r="F26" s="22" t="s">
        <v>7036</v>
      </c>
      <c r="G26" s="21"/>
      <c r="H26" s="21"/>
      <c r="I26" s="23"/>
    </row>
    <row r="27" ht="70" spans="2:9">
      <c r="B27" s="6" t="s">
        <v>448</v>
      </c>
      <c r="C27" s="24" t="s">
        <v>7037</v>
      </c>
      <c r="D27" s="25" t="s">
        <v>7038</v>
      </c>
      <c r="E27" s="26" t="s">
        <v>7039</v>
      </c>
      <c r="F27" s="26" t="s">
        <v>7040</v>
      </c>
      <c r="G27" s="14" t="s">
        <v>7041</v>
      </c>
      <c r="H27" s="14" t="s">
        <v>7042</v>
      </c>
      <c r="I27" s="23"/>
    </row>
    <row r="28" ht="56" spans="2:9">
      <c r="B28" s="9" t="s">
        <v>449</v>
      </c>
      <c r="C28" s="27" t="s">
        <v>7043</v>
      </c>
      <c r="D28" s="28" t="s">
        <v>7044</v>
      </c>
      <c r="E28" s="29" t="s">
        <v>7045</v>
      </c>
      <c r="F28" s="30" t="s">
        <v>7046</v>
      </c>
      <c r="G28" s="30" t="s">
        <v>7047</v>
      </c>
      <c r="H28" s="30" t="s">
        <v>7048</v>
      </c>
      <c r="I28" s="16"/>
    </row>
    <row r="29" ht="70" spans="2:9">
      <c r="B29" s="20"/>
      <c r="C29" s="31" t="s">
        <v>7049</v>
      </c>
      <c r="D29" s="32" t="s">
        <v>7050</v>
      </c>
      <c r="E29" s="33"/>
      <c r="F29" s="34"/>
      <c r="G29" s="34"/>
      <c r="H29" s="34"/>
      <c r="I29" s="16"/>
    </row>
    <row r="30" ht="84" spans="2:9">
      <c r="B30" s="6" t="s">
        <v>450</v>
      </c>
      <c r="C30" s="13" t="s">
        <v>7051</v>
      </c>
      <c r="D30" s="26" t="s">
        <v>7052</v>
      </c>
      <c r="E30" s="35" t="s">
        <v>7053</v>
      </c>
      <c r="F30" s="36" t="s">
        <v>7054</v>
      </c>
      <c r="G30" s="14" t="s">
        <v>7055</v>
      </c>
      <c r="H30" s="26" t="s">
        <v>7056</v>
      </c>
      <c r="I30" s="16"/>
    </row>
    <row r="31" ht="70" spans="2:9">
      <c r="B31" s="6" t="s">
        <v>451</v>
      </c>
      <c r="C31" s="13" t="s">
        <v>7057</v>
      </c>
      <c r="D31" s="26" t="s">
        <v>7052</v>
      </c>
      <c r="E31" s="26" t="s">
        <v>7058</v>
      </c>
      <c r="F31" s="26" t="s">
        <v>7059</v>
      </c>
      <c r="G31" s="26" t="s">
        <v>7060</v>
      </c>
      <c r="H31" s="26" t="s">
        <v>7061</v>
      </c>
      <c r="I31" s="16"/>
    </row>
    <row r="32" ht="70" spans="2:9">
      <c r="B32" s="6" t="s">
        <v>452</v>
      </c>
      <c r="C32" s="37" t="s">
        <v>7062</v>
      </c>
      <c r="D32" s="37" t="s">
        <v>7063</v>
      </c>
      <c r="E32" s="37" t="s">
        <v>7064</v>
      </c>
      <c r="F32" s="37" t="s">
        <v>7065</v>
      </c>
      <c r="G32" s="37" t="s">
        <v>7066</v>
      </c>
      <c r="H32" s="37" t="s">
        <v>7067</v>
      </c>
      <c r="I32" s="16"/>
    </row>
    <row r="33" ht="98" spans="1:9">
      <c r="B33" s="6" t="s">
        <v>453</v>
      </c>
      <c r="C33" s="38" t="s">
        <v>7068</v>
      </c>
      <c r="D33" s="38" t="s">
        <v>7069</v>
      </c>
      <c r="E33" s="38" t="s">
        <v>7070</v>
      </c>
      <c r="F33" s="38" t="s">
        <v>7071</v>
      </c>
      <c r="G33" s="38" t="s">
        <v>7072</v>
      </c>
      <c r="H33" s="38" t="s">
        <v>7073</v>
      </c>
      <c r="I33" s="16"/>
    </row>
    <row r="34" ht="98" spans="1:9">
      <c r="B34" s="6" t="s">
        <v>454</v>
      </c>
      <c r="C34" s="37" t="s">
        <v>7074</v>
      </c>
      <c r="D34" s="37" t="s">
        <v>7075</v>
      </c>
      <c r="E34" s="37" t="s">
        <v>7076</v>
      </c>
      <c r="F34" s="37" t="s">
        <v>7077</v>
      </c>
      <c r="G34" s="37" t="s">
        <v>7078</v>
      </c>
      <c r="H34" s="37" t="s">
        <v>7079</v>
      </c>
    </row>
    <row r="35" ht="98" spans="1:9">
      <c r="B35" s="6" t="s">
        <v>455</v>
      </c>
      <c r="C35" s="37" t="s">
        <v>7080</v>
      </c>
      <c r="D35" s="37" t="s">
        <v>7081</v>
      </c>
      <c r="E35" s="37" t="s">
        <v>7082</v>
      </c>
      <c r="F35" s="37" t="s">
        <v>7083</v>
      </c>
      <c r="G35" s="37" t="s">
        <v>7084</v>
      </c>
      <c r="H35" s="37" t="s">
        <v>7085</v>
      </c>
    </row>
    <row r="36" ht="98" spans="1:9">
      <c r="B36" s="6" t="s">
        <v>456</v>
      </c>
      <c r="C36" s="8" t="s">
        <v>7086</v>
      </c>
      <c r="D36" s="7" t="s">
        <v>7087</v>
      </c>
      <c r="E36" s="7" t="s">
        <v>7088</v>
      </c>
      <c r="F36" s="8" t="s">
        <v>7089</v>
      </c>
      <c r="G36" s="7" t="s">
        <v>7090</v>
      </c>
      <c r="H36" s="7" t="s">
        <v>7091</v>
      </c>
    </row>
    <row r="42" ht="28" spans="1:9">
      <c r="A42" s="39" t="s">
        <v>7092</v>
      </c>
      <c r="B42" s="40" t="s">
        <v>7093</v>
      </c>
      <c r="C42" s="41" t="s">
        <v>7094</v>
      </c>
      <c r="D42" s="42" t="s">
        <v>7095</v>
      </c>
      <c r="E42" s="43" t="s">
        <v>7096</v>
      </c>
      <c r="F42" s="44" t="s">
        <v>7097</v>
      </c>
      <c r="G42" s="45" t="s">
        <v>7098</v>
      </c>
    </row>
    <row r="43" ht="56" spans="1:9">
      <c r="A43" s="46">
        <v>1</v>
      </c>
      <c r="B43" s="47" t="s">
        <v>6</v>
      </c>
      <c r="C43" s="14" t="s">
        <v>7099</v>
      </c>
      <c r="D43" s="37" t="s">
        <v>7100</v>
      </c>
      <c r="E43" s="48" t="s">
        <v>7101</v>
      </c>
      <c r="F43" s="7" t="s">
        <v>7102</v>
      </c>
      <c r="G43" s="12" t="s">
        <v>7068</v>
      </c>
    </row>
    <row r="44" ht="70" spans="1:9">
      <c r="A44" s="46">
        <v>2</v>
      </c>
      <c r="B44" s="49"/>
      <c r="C44" s="14" t="s">
        <v>7103</v>
      </c>
      <c r="D44" s="37" t="s">
        <v>7104</v>
      </c>
      <c r="E44" s="48" t="s">
        <v>7105</v>
      </c>
      <c r="F44" s="7" t="s">
        <v>7004</v>
      </c>
      <c r="G44" s="12" t="s">
        <v>7106</v>
      </c>
    </row>
    <row r="45" ht="70" spans="1:9">
      <c r="A45" s="46">
        <v>3</v>
      </c>
      <c r="B45" s="50" t="s">
        <v>8</v>
      </c>
      <c r="C45" s="14" t="s">
        <v>7107</v>
      </c>
      <c r="D45" s="37" t="s">
        <v>7063</v>
      </c>
      <c r="E45" s="48" t="s">
        <v>7108</v>
      </c>
      <c r="F45" s="7" t="s">
        <v>7109</v>
      </c>
      <c r="G45" s="12" t="s">
        <v>7110</v>
      </c>
    </row>
    <row r="46" ht="70" spans="1:9">
      <c r="A46" s="46">
        <v>4</v>
      </c>
      <c r="B46" s="51"/>
      <c r="C46" s="14" t="s">
        <v>7111</v>
      </c>
      <c r="D46" s="52" t="s">
        <v>7112</v>
      </c>
      <c r="E46" s="48" t="s">
        <v>7113</v>
      </c>
      <c r="F46" s="7" t="s">
        <v>7114</v>
      </c>
      <c r="G46" s="12" t="s">
        <v>7115</v>
      </c>
    </row>
    <row r="47" ht="70" spans="1:9">
      <c r="A47" s="46">
        <v>5</v>
      </c>
      <c r="B47" s="47" t="s">
        <v>7116</v>
      </c>
      <c r="C47" s="14" t="s">
        <v>7117</v>
      </c>
      <c r="D47" s="52" t="s">
        <v>7082</v>
      </c>
      <c r="E47" s="48" t="s">
        <v>7118</v>
      </c>
      <c r="F47" s="7" t="s">
        <v>7119</v>
      </c>
      <c r="G47" s="12" t="s">
        <v>7012</v>
      </c>
    </row>
    <row r="48" ht="70" spans="1:9">
      <c r="A48" s="46">
        <v>6</v>
      </c>
      <c r="B48" s="49"/>
      <c r="C48" s="14" t="s">
        <v>7120</v>
      </c>
      <c r="D48" s="52" t="s">
        <v>7121</v>
      </c>
      <c r="E48" s="48" t="s">
        <v>7122</v>
      </c>
      <c r="F48" s="7" t="s">
        <v>7123</v>
      </c>
      <c r="G48" s="12" t="s">
        <v>7070</v>
      </c>
    </row>
    <row r="49" ht="56" spans="1:7">
      <c r="A49" s="46">
        <v>7</v>
      </c>
      <c r="B49" s="50" t="s">
        <v>655</v>
      </c>
      <c r="C49" s="14" t="s">
        <v>7026</v>
      </c>
      <c r="D49" s="52" t="s">
        <v>7065</v>
      </c>
      <c r="E49" s="48" t="s">
        <v>7124</v>
      </c>
      <c r="F49" s="7" t="s">
        <v>7032</v>
      </c>
      <c r="G49" s="12" t="s">
        <v>7125</v>
      </c>
    </row>
    <row r="50" ht="56" spans="1:7">
      <c r="A50" s="46">
        <v>8</v>
      </c>
      <c r="B50" s="51"/>
      <c r="C50" s="14" t="s">
        <v>7126</v>
      </c>
      <c r="D50" s="52" t="s">
        <v>7083</v>
      </c>
      <c r="E50" s="48" t="s">
        <v>7127</v>
      </c>
      <c r="F50" s="7" t="s">
        <v>7036</v>
      </c>
      <c r="G50" s="12" t="s">
        <v>7128</v>
      </c>
    </row>
    <row r="51" ht="70" spans="1:7">
      <c r="A51" s="46">
        <v>9</v>
      </c>
      <c r="B51" s="53" t="s">
        <v>712</v>
      </c>
      <c r="C51" s="14" t="s">
        <v>7027</v>
      </c>
      <c r="D51" s="52" t="s">
        <v>7066</v>
      </c>
      <c r="E51" s="48" t="s">
        <v>7129</v>
      </c>
      <c r="F51" s="7" t="s">
        <v>7008</v>
      </c>
      <c r="G51" s="12" t="s">
        <v>7014</v>
      </c>
    </row>
    <row r="52" ht="70" spans="1:7">
      <c r="A52" s="46">
        <v>10</v>
      </c>
      <c r="B52" s="54" t="s">
        <v>773</v>
      </c>
      <c r="C52" s="55" t="s">
        <v>7130</v>
      </c>
      <c r="D52" s="37" t="s">
        <v>7131</v>
      </c>
      <c r="E52" s="35" t="s">
        <v>7132</v>
      </c>
      <c r="F52" s="7" t="s">
        <v>7133</v>
      </c>
      <c r="G52" s="12" t="s">
        <v>7134</v>
      </c>
    </row>
    <row r="55" spans="1:7">
      <c r="B55" t="s">
        <v>7135</v>
      </c>
    </row>
    <row r="56" spans="1:7">
      <c r="B56" t="s">
        <v>7136</v>
      </c>
    </row>
    <row r="57" spans="1:7">
      <c r="B57" t="s">
        <v>7137</v>
      </c>
    </row>
    <row r="60" spans="1:7">
      <c r="B60" t="s">
        <v>7138</v>
      </c>
    </row>
    <row r="61" spans="1:7">
      <c r="B61" t="s">
        <v>7139</v>
      </c>
    </row>
    <row r="62" spans="1:7">
      <c r="B62" s="56" t="s">
        <v>31</v>
      </c>
      <c r="C62" s="56" t="s">
        <v>7140</v>
      </c>
    </row>
    <row r="63" spans="1:7">
      <c r="B63" s="57" t="s">
        <v>7141</v>
      </c>
      <c r="C63" s="57" t="s">
        <v>7142</v>
      </c>
    </row>
    <row r="64" spans="1:7">
      <c r="B64" s="57" t="s">
        <v>7143</v>
      </c>
      <c r="C64" s="57" t="s">
        <v>7144</v>
      </c>
    </row>
    <row r="65" spans="2:6">
      <c r="B65" s="57" t="s">
        <v>7145</v>
      </c>
      <c r="C65" s="57" t="s">
        <v>7146</v>
      </c>
    </row>
    <row r="66" spans="2:6">
      <c r="B66" s="57" t="s">
        <v>7147</v>
      </c>
      <c r="C66" s="57" t="s">
        <v>7148</v>
      </c>
    </row>
    <row r="67" spans="2:6">
      <c r="B67" s="57" t="s">
        <v>7149</v>
      </c>
      <c r="C67" s="57" t="s">
        <v>7150</v>
      </c>
    </row>
    <row r="71" spans="2:6">
      <c r="B71" s="57" t="s">
        <v>7151</v>
      </c>
    </row>
    <row r="72" spans="2:6">
      <c r="B72" s="58" t="s">
        <v>7152</v>
      </c>
      <c r="C72" s="58" t="s">
        <v>7153</v>
      </c>
      <c r="D72" s="58" t="s">
        <v>7154</v>
      </c>
      <c r="E72" s="58" t="s">
        <v>7155</v>
      </c>
      <c r="F72" s="58" t="s">
        <v>7156</v>
      </c>
    </row>
    <row r="73" spans="2:6">
      <c r="B73" s="59">
        <v>0.15</v>
      </c>
      <c r="C73" s="59">
        <v>0.1</v>
      </c>
      <c r="D73" s="59">
        <v>0.1</v>
      </c>
      <c r="E73" s="60">
        <v>0.075</v>
      </c>
      <c r="F73" s="59">
        <v>0.05</v>
      </c>
    </row>
    <row r="74" spans="2:6">
      <c r="B74" s="59">
        <v>0.2</v>
      </c>
      <c r="C74" s="59">
        <v>0.1</v>
      </c>
      <c r="D74" s="59">
        <v>0.1</v>
      </c>
      <c r="E74" s="60">
        <v>0.075</v>
      </c>
      <c r="F74" s="59">
        <v>0.05</v>
      </c>
    </row>
    <row r="75" spans="2:6">
      <c r="B75" s="59">
        <v>0.1</v>
      </c>
      <c r="C75" s="59">
        <v>0.15</v>
      </c>
      <c r="D75" s="59">
        <v>0.1</v>
      </c>
      <c r="E75" s="59">
        <v>0.1</v>
      </c>
      <c r="F75" s="60">
        <v>0.075</v>
      </c>
    </row>
    <row r="76" spans="2:6">
      <c r="B76" s="59">
        <v>0.1</v>
      </c>
      <c r="C76" s="59">
        <v>0.2</v>
      </c>
      <c r="D76" s="59">
        <v>0.1</v>
      </c>
      <c r="E76" s="59">
        <v>0.1</v>
      </c>
      <c r="F76" s="60">
        <v>0.075</v>
      </c>
    </row>
    <row r="77" spans="2:6">
      <c r="B77" s="59">
        <v>0.1</v>
      </c>
      <c r="C77" s="59">
        <v>0.1</v>
      </c>
      <c r="D77" s="59">
        <v>0.15</v>
      </c>
      <c r="E77" s="59">
        <v>0.1</v>
      </c>
      <c r="F77" s="59">
        <v>0.1</v>
      </c>
    </row>
    <row r="78" spans="2:6">
      <c r="B78" s="59">
        <v>0.1</v>
      </c>
      <c r="C78" s="59">
        <v>0.1</v>
      </c>
      <c r="D78" s="59">
        <v>0.2</v>
      </c>
      <c r="E78" s="59">
        <v>0.1</v>
      </c>
      <c r="F78" s="59">
        <v>0.1</v>
      </c>
    </row>
    <row r="79" spans="2:6">
      <c r="B79" s="60">
        <v>0.075</v>
      </c>
      <c r="C79" s="60">
        <v>0.075</v>
      </c>
      <c r="D79" s="60">
        <v>0.075</v>
      </c>
      <c r="E79" s="59">
        <v>0.15</v>
      </c>
      <c r="F79" s="59">
        <v>0.1</v>
      </c>
    </row>
    <row r="80" spans="2:6">
      <c r="B80" s="60">
        <v>0.075</v>
      </c>
      <c r="C80" s="60">
        <v>0.075</v>
      </c>
      <c r="D80" s="60">
        <v>0.075</v>
      </c>
      <c r="E80" s="59">
        <v>0.2</v>
      </c>
      <c r="F80" s="59">
        <v>0.1</v>
      </c>
    </row>
    <row r="81" spans="2:6">
      <c r="B81" s="59">
        <v>0.05</v>
      </c>
      <c r="C81" s="59">
        <v>0.05</v>
      </c>
      <c r="D81" s="59">
        <v>0.05</v>
      </c>
      <c r="E81" s="59">
        <v>0.05</v>
      </c>
      <c r="F81" s="59">
        <v>0.15</v>
      </c>
    </row>
    <row r="82" spans="2:6">
      <c r="B82" s="59">
        <v>0.05</v>
      </c>
      <c r="C82" s="59">
        <v>0.05</v>
      </c>
      <c r="D82" s="59">
        <v>0.05</v>
      </c>
      <c r="E82" s="59">
        <v>0.05</v>
      </c>
      <c r="F82" s="59">
        <v>0.2</v>
      </c>
    </row>
    <row r="85" spans="2:6">
      <c r="B85" t="s">
        <v>7157</v>
      </c>
    </row>
    <row r="87" spans="2:6">
      <c r="B87" t="s">
        <v>6</v>
      </c>
    </row>
    <row r="88" spans="2:6">
      <c r="B88" t="s">
        <v>8</v>
      </c>
    </row>
    <row r="89" spans="2:6">
      <c r="B89" t="s">
        <v>18</v>
      </c>
    </row>
    <row r="90" spans="2:6">
      <c r="B90" t="s">
        <v>655</v>
      </c>
    </row>
    <row r="91" spans="2:6">
      <c r="B91" t="s">
        <v>712</v>
      </c>
    </row>
    <row r="97" spans="2:8">
      <c r="B97" t="s">
        <v>7158</v>
      </c>
    </row>
    <row r="98" ht="28" spans="2:8">
      <c r="B98" s="61" t="s">
        <v>7094</v>
      </c>
      <c r="C98" s="62" t="s">
        <v>7152</v>
      </c>
      <c r="D98" s="62" t="s">
        <v>7153</v>
      </c>
      <c r="E98" s="62" t="s">
        <v>7154</v>
      </c>
      <c r="F98" s="62" t="s">
        <v>7155</v>
      </c>
      <c r="G98" s="62" t="s">
        <v>7156</v>
      </c>
      <c r="H98" s="62" t="s">
        <v>773</v>
      </c>
    </row>
    <row r="99" ht="42" spans="2:8">
      <c r="B99" s="63" t="s">
        <v>7159</v>
      </c>
      <c r="C99" s="64">
        <v>4</v>
      </c>
      <c r="D99" s="64">
        <v>4</v>
      </c>
      <c r="E99" s="64">
        <v>4</v>
      </c>
      <c r="F99" s="64">
        <v>4</v>
      </c>
      <c r="G99" s="64">
        <v>4</v>
      </c>
      <c r="H99" s="64">
        <v>4</v>
      </c>
    </row>
    <row r="100" ht="42" spans="2:8">
      <c r="B100" s="63" t="s">
        <v>7160</v>
      </c>
      <c r="C100" s="64">
        <v>4</v>
      </c>
      <c r="D100" s="64">
        <v>4</v>
      </c>
      <c r="E100" s="64">
        <v>4</v>
      </c>
      <c r="F100" s="64">
        <v>4</v>
      </c>
      <c r="G100" s="64">
        <v>4</v>
      </c>
      <c r="H100" s="64">
        <v>4</v>
      </c>
    </row>
    <row r="101" ht="42" spans="2:8">
      <c r="B101" s="63" t="s">
        <v>7161</v>
      </c>
      <c r="C101" s="64">
        <v>3</v>
      </c>
      <c r="D101" s="64">
        <v>4</v>
      </c>
      <c r="E101" s="64">
        <v>4</v>
      </c>
      <c r="F101" s="64">
        <v>4</v>
      </c>
      <c r="G101" s="64">
        <v>4</v>
      </c>
      <c r="H101" s="64">
        <v>4</v>
      </c>
    </row>
    <row r="102" ht="56" spans="2:8">
      <c r="B102" s="63" t="s">
        <v>7162</v>
      </c>
      <c r="C102" s="64">
        <v>3</v>
      </c>
      <c r="D102" s="64">
        <v>4</v>
      </c>
      <c r="E102" s="64">
        <v>4</v>
      </c>
      <c r="F102" s="64">
        <v>4</v>
      </c>
      <c r="G102" s="64">
        <v>4</v>
      </c>
      <c r="H102" s="64">
        <v>4</v>
      </c>
    </row>
    <row r="103" ht="42" spans="2:8">
      <c r="B103" s="63" t="s">
        <v>7163</v>
      </c>
      <c r="C103" s="64">
        <v>3</v>
      </c>
      <c r="D103" s="64">
        <v>3</v>
      </c>
      <c r="E103" s="64">
        <v>4</v>
      </c>
      <c r="F103" s="64">
        <v>4</v>
      </c>
      <c r="G103" s="64">
        <v>4</v>
      </c>
      <c r="H103" s="64">
        <v>4</v>
      </c>
    </row>
    <row r="104" ht="56" spans="2:8">
      <c r="B104" s="63" t="s">
        <v>7164</v>
      </c>
      <c r="C104" s="64">
        <v>3</v>
      </c>
      <c r="D104" s="64">
        <v>3</v>
      </c>
      <c r="E104" s="64">
        <v>4</v>
      </c>
      <c r="F104" s="64">
        <v>4</v>
      </c>
      <c r="G104" s="64">
        <v>4</v>
      </c>
      <c r="H104" s="64">
        <v>4</v>
      </c>
    </row>
    <row r="105" ht="42" spans="2:8">
      <c r="B105" s="63" t="s">
        <v>7165</v>
      </c>
      <c r="C105" s="64">
        <v>3</v>
      </c>
      <c r="D105" s="64">
        <v>3</v>
      </c>
      <c r="E105" s="64">
        <v>3</v>
      </c>
      <c r="F105" s="64">
        <v>4</v>
      </c>
      <c r="G105" s="64">
        <v>4</v>
      </c>
      <c r="H105" s="64">
        <v>4</v>
      </c>
    </row>
    <row r="106" ht="42" spans="2:8">
      <c r="B106" s="63" t="s">
        <v>7166</v>
      </c>
      <c r="C106" s="64">
        <v>3</v>
      </c>
      <c r="D106" s="64">
        <v>3</v>
      </c>
      <c r="E106" s="64">
        <v>3</v>
      </c>
      <c r="F106" s="64">
        <v>4</v>
      </c>
      <c r="G106" s="64">
        <v>4</v>
      </c>
      <c r="H106" s="64">
        <v>4</v>
      </c>
    </row>
    <row r="107" ht="42" spans="2:8">
      <c r="B107" s="63" t="s">
        <v>7167</v>
      </c>
      <c r="C107" s="64">
        <v>3</v>
      </c>
      <c r="D107" s="64">
        <v>3</v>
      </c>
      <c r="E107" s="64">
        <v>3</v>
      </c>
      <c r="F107" s="64">
        <v>3</v>
      </c>
      <c r="G107" s="64">
        <v>4</v>
      </c>
      <c r="H107" s="64">
        <v>4</v>
      </c>
    </row>
    <row r="108" ht="56" spans="2:8">
      <c r="B108" s="63" t="s">
        <v>7168</v>
      </c>
      <c r="C108" s="64">
        <v>3</v>
      </c>
      <c r="D108" s="64">
        <v>3</v>
      </c>
      <c r="E108" s="64">
        <v>3</v>
      </c>
      <c r="F108" s="64">
        <v>3</v>
      </c>
      <c r="G108" s="64">
        <v>3</v>
      </c>
      <c r="H108" s="64">
        <v>4</v>
      </c>
    </row>
    <row r="111" ht="28" spans="2:8">
      <c r="B111" s="65" t="s">
        <v>7095</v>
      </c>
      <c r="C111" s="66" t="s">
        <v>7152</v>
      </c>
      <c r="D111" s="66" t="s">
        <v>7153</v>
      </c>
      <c r="E111" s="66" t="s">
        <v>7154</v>
      </c>
      <c r="F111" s="66" t="s">
        <v>7155</v>
      </c>
      <c r="G111" s="66" t="s">
        <v>7156</v>
      </c>
      <c r="H111" s="66" t="s">
        <v>773</v>
      </c>
    </row>
    <row r="112" ht="42" spans="2:8">
      <c r="B112" s="63" t="s">
        <v>7169</v>
      </c>
      <c r="C112" s="64">
        <v>4</v>
      </c>
      <c r="D112" s="64">
        <v>4</v>
      </c>
      <c r="E112" s="64">
        <v>4</v>
      </c>
      <c r="F112" s="64">
        <v>4</v>
      </c>
      <c r="G112" s="64">
        <v>4</v>
      </c>
      <c r="H112" s="64">
        <v>4</v>
      </c>
    </row>
    <row r="113" ht="42" spans="2:8">
      <c r="B113" s="63" t="s">
        <v>7170</v>
      </c>
      <c r="C113" s="64">
        <v>4</v>
      </c>
      <c r="D113" s="64">
        <v>4</v>
      </c>
      <c r="E113" s="64">
        <v>4</v>
      </c>
      <c r="F113" s="64">
        <v>4</v>
      </c>
      <c r="G113" s="64">
        <v>4</v>
      </c>
      <c r="H113" s="64">
        <v>4</v>
      </c>
    </row>
    <row r="114" ht="56" spans="2:8">
      <c r="B114" s="63" t="s">
        <v>7171</v>
      </c>
      <c r="C114" s="64">
        <v>3</v>
      </c>
      <c r="D114" s="64">
        <v>4</v>
      </c>
      <c r="E114" s="64">
        <v>4</v>
      </c>
      <c r="F114" s="64">
        <v>4</v>
      </c>
      <c r="G114" s="64">
        <v>4</v>
      </c>
      <c r="H114" s="64">
        <v>4</v>
      </c>
    </row>
    <row r="115" ht="42" spans="2:8">
      <c r="B115" s="63" t="s">
        <v>7172</v>
      </c>
      <c r="C115" s="64">
        <v>3</v>
      </c>
      <c r="D115" s="64">
        <v>4</v>
      </c>
      <c r="E115" s="64">
        <v>4</v>
      </c>
      <c r="F115" s="64">
        <v>4</v>
      </c>
      <c r="G115" s="64">
        <v>4</v>
      </c>
      <c r="H115" s="64">
        <v>4</v>
      </c>
    </row>
    <row r="116" ht="56" spans="2:8">
      <c r="B116" s="63" t="s">
        <v>7173</v>
      </c>
      <c r="C116" s="64">
        <v>3</v>
      </c>
      <c r="D116" s="64">
        <v>3</v>
      </c>
      <c r="E116" s="64">
        <v>4</v>
      </c>
      <c r="F116" s="64">
        <v>4</v>
      </c>
      <c r="G116" s="64">
        <v>4</v>
      </c>
      <c r="H116" s="64">
        <v>4</v>
      </c>
    </row>
    <row r="117" ht="56" spans="2:8">
      <c r="B117" s="63" t="s">
        <v>7174</v>
      </c>
      <c r="C117" s="64">
        <v>3</v>
      </c>
      <c r="D117" s="64">
        <v>3</v>
      </c>
      <c r="E117" s="64">
        <v>4</v>
      </c>
      <c r="F117" s="64">
        <v>4</v>
      </c>
      <c r="G117" s="64">
        <v>4</v>
      </c>
      <c r="H117" s="64">
        <v>4</v>
      </c>
    </row>
    <row r="118" ht="56" spans="2:8">
      <c r="B118" s="63" t="s">
        <v>7175</v>
      </c>
      <c r="C118" s="64">
        <v>3</v>
      </c>
      <c r="D118" s="64">
        <v>3</v>
      </c>
      <c r="E118" s="64">
        <v>3</v>
      </c>
      <c r="F118" s="64">
        <v>4</v>
      </c>
      <c r="G118" s="64">
        <v>4</v>
      </c>
      <c r="H118" s="64">
        <v>4</v>
      </c>
    </row>
    <row r="119" ht="56" spans="2:8">
      <c r="B119" s="63" t="s">
        <v>7176</v>
      </c>
      <c r="C119" s="64">
        <v>3</v>
      </c>
      <c r="D119" s="64">
        <v>3</v>
      </c>
      <c r="E119" s="64">
        <v>3</v>
      </c>
      <c r="F119" s="64">
        <v>4</v>
      </c>
      <c r="G119" s="64">
        <v>4</v>
      </c>
      <c r="H119" s="64">
        <v>4</v>
      </c>
    </row>
    <row r="120" ht="56" spans="2:8">
      <c r="B120" s="63" t="s">
        <v>7177</v>
      </c>
      <c r="C120" s="64">
        <v>3</v>
      </c>
      <c r="D120" s="64">
        <v>3</v>
      </c>
      <c r="E120" s="64">
        <v>3</v>
      </c>
      <c r="F120" s="64">
        <v>3</v>
      </c>
      <c r="G120" s="64">
        <v>4</v>
      </c>
      <c r="H120" s="64">
        <v>4</v>
      </c>
    </row>
    <row r="121" ht="56" spans="2:8">
      <c r="B121" s="63" t="s">
        <v>7178</v>
      </c>
      <c r="C121" s="64">
        <v>3</v>
      </c>
      <c r="D121" s="64">
        <v>3</v>
      </c>
      <c r="E121" s="64">
        <v>3</v>
      </c>
      <c r="F121" s="64">
        <v>3</v>
      </c>
      <c r="G121" s="64">
        <v>3</v>
      </c>
      <c r="H121" s="64">
        <v>4</v>
      </c>
    </row>
    <row r="124" ht="28" spans="2:8">
      <c r="B124" s="67" t="s">
        <v>7096</v>
      </c>
      <c r="C124" s="68" t="s">
        <v>7152</v>
      </c>
      <c r="D124" s="68" t="s">
        <v>7153</v>
      </c>
      <c r="E124" s="68" t="s">
        <v>7154</v>
      </c>
      <c r="F124" s="68" t="s">
        <v>7155</v>
      </c>
      <c r="G124" s="68" t="s">
        <v>7156</v>
      </c>
      <c r="H124" s="68" t="s">
        <v>773</v>
      </c>
    </row>
    <row r="125" ht="42" spans="2:8">
      <c r="B125" s="63" t="s">
        <v>7179</v>
      </c>
      <c r="C125" s="64">
        <v>4</v>
      </c>
      <c r="D125" s="64">
        <v>4</v>
      </c>
      <c r="E125" s="64">
        <v>4</v>
      </c>
      <c r="F125" s="64">
        <v>4</v>
      </c>
      <c r="G125" s="64">
        <v>4</v>
      </c>
      <c r="H125" s="64">
        <v>4</v>
      </c>
    </row>
    <row r="126" ht="42" spans="2:8">
      <c r="B126" s="63" t="s">
        <v>7180</v>
      </c>
      <c r="C126" s="64">
        <v>4</v>
      </c>
      <c r="D126" s="64">
        <v>4</v>
      </c>
      <c r="E126" s="64">
        <v>4</v>
      </c>
      <c r="F126" s="64">
        <v>4</v>
      </c>
      <c r="G126" s="64">
        <v>4</v>
      </c>
      <c r="H126" s="64">
        <v>4</v>
      </c>
    </row>
    <row r="127" ht="56" spans="2:8">
      <c r="B127" s="63" t="s">
        <v>7181</v>
      </c>
      <c r="C127" s="64">
        <v>3</v>
      </c>
      <c r="D127" s="64">
        <v>4</v>
      </c>
      <c r="E127" s="64">
        <v>4</v>
      </c>
      <c r="F127" s="64">
        <v>4</v>
      </c>
      <c r="G127" s="64">
        <v>4</v>
      </c>
      <c r="H127" s="64">
        <v>4</v>
      </c>
    </row>
    <row r="128" ht="42" spans="2:8">
      <c r="B128" s="63" t="s">
        <v>7182</v>
      </c>
      <c r="C128" s="64">
        <v>3</v>
      </c>
      <c r="D128" s="64">
        <v>4</v>
      </c>
      <c r="E128" s="64">
        <v>4</v>
      </c>
      <c r="F128" s="64">
        <v>4</v>
      </c>
      <c r="G128" s="64">
        <v>4</v>
      </c>
      <c r="H128" s="64">
        <v>4</v>
      </c>
    </row>
    <row r="129" ht="42" spans="2:8">
      <c r="B129" s="63" t="s">
        <v>7183</v>
      </c>
      <c r="C129" s="64">
        <v>3</v>
      </c>
      <c r="D129" s="64">
        <v>3</v>
      </c>
      <c r="E129" s="64">
        <v>4</v>
      </c>
      <c r="F129" s="64">
        <v>4</v>
      </c>
      <c r="G129" s="64">
        <v>4</v>
      </c>
      <c r="H129" s="64">
        <v>4</v>
      </c>
    </row>
    <row r="130" ht="42" spans="2:8">
      <c r="B130" s="63" t="s">
        <v>7184</v>
      </c>
      <c r="C130" s="64">
        <v>3</v>
      </c>
      <c r="D130" s="64">
        <v>3</v>
      </c>
      <c r="E130" s="64">
        <v>4</v>
      </c>
      <c r="F130" s="64">
        <v>4</v>
      </c>
      <c r="G130" s="64">
        <v>4</v>
      </c>
      <c r="H130" s="64">
        <v>4</v>
      </c>
    </row>
    <row r="131" ht="42" spans="2:8">
      <c r="B131" s="63" t="s">
        <v>7185</v>
      </c>
      <c r="C131" s="64">
        <v>3</v>
      </c>
      <c r="D131" s="64">
        <v>3</v>
      </c>
      <c r="E131" s="64">
        <v>3</v>
      </c>
      <c r="F131" s="64">
        <v>4</v>
      </c>
      <c r="G131" s="64">
        <v>4</v>
      </c>
      <c r="H131" s="64">
        <v>4</v>
      </c>
    </row>
    <row r="132" ht="42" spans="2:8">
      <c r="B132" s="63" t="s">
        <v>7186</v>
      </c>
      <c r="C132" s="64">
        <v>3</v>
      </c>
      <c r="D132" s="64">
        <v>3</v>
      </c>
      <c r="E132" s="64">
        <v>3</v>
      </c>
      <c r="F132" s="64">
        <v>4</v>
      </c>
      <c r="G132" s="64">
        <v>4</v>
      </c>
      <c r="H132" s="64">
        <v>4</v>
      </c>
    </row>
    <row r="133" ht="42" spans="2:8">
      <c r="B133" s="63" t="s">
        <v>7187</v>
      </c>
      <c r="C133" s="64">
        <v>3</v>
      </c>
      <c r="D133" s="64">
        <v>3</v>
      </c>
      <c r="E133" s="64">
        <v>3</v>
      </c>
      <c r="F133" s="64">
        <v>3</v>
      </c>
      <c r="G133" s="64">
        <v>4</v>
      </c>
      <c r="H133" s="64">
        <v>4</v>
      </c>
    </row>
    <row r="134" ht="56" spans="2:8">
      <c r="B134" s="63" t="s">
        <v>7188</v>
      </c>
      <c r="C134" s="64">
        <v>3</v>
      </c>
      <c r="D134" s="64">
        <v>3</v>
      </c>
      <c r="E134" s="64">
        <v>3</v>
      </c>
      <c r="F134" s="64">
        <v>3</v>
      </c>
      <c r="G134" s="64">
        <v>3</v>
      </c>
      <c r="H134" s="64">
        <v>4</v>
      </c>
    </row>
    <row r="138" ht="28" spans="2:8">
      <c r="B138" s="69" t="s">
        <v>7097</v>
      </c>
      <c r="C138" s="70" t="s">
        <v>7152</v>
      </c>
      <c r="D138" s="70" t="s">
        <v>7153</v>
      </c>
      <c r="E138" s="70" t="s">
        <v>7154</v>
      </c>
      <c r="F138" s="70" t="s">
        <v>7155</v>
      </c>
      <c r="G138" s="70" t="s">
        <v>7156</v>
      </c>
      <c r="H138" s="70" t="s">
        <v>773</v>
      </c>
    </row>
    <row r="139" ht="42" spans="2:8">
      <c r="B139" s="63" t="s">
        <v>7189</v>
      </c>
      <c r="C139" s="64">
        <v>4</v>
      </c>
      <c r="D139" s="64">
        <v>4</v>
      </c>
      <c r="E139" s="64">
        <v>4</v>
      </c>
      <c r="F139" s="64">
        <v>4</v>
      </c>
      <c r="G139" s="64">
        <v>4</v>
      </c>
      <c r="H139" s="64">
        <v>4</v>
      </c>
    </row>
    <row r="140" ht="42" spans="2:8">
      <c r="B140" s="63" t="s">
        <v>7190</v>
      </c>
      <c r="C140" s="64">
        <v>4</v>
      </c>
      <c r="D140" s="64">
        <v>4</v>
      </c>
      <c r="E140" s="64">
        <v>4</v>
      </c>
      <c r="F140" s="64">
        <v>4</v>
      </c>
      <c r="G140" s="64">
        <v>4</v>
      </c>
      <c r="H140" s="64">
        <v>4</v>
      </c>
    </row>
    <row r="141" ht="42" spans="2:8">
      <c r="B141" s="63" t="s">
        <v>7191</v>
      </c>
      <c r="C141" s="64">
        <v>3</v>
      </c>
      <c r="D141" s="64">
        <v>4</v>
      </c>
      <c r="E141" s="64">
        <v>4</v>
      </c>
      <c r="F141" s="64">
        <v>4</v>
      </c>
      <c r="G141" s="64">
        <v>4</v>
      </c>
      <c r="H141" s="64">
        <v>4</v>
      </c>
    </row>
    <row r="142" ht="42" spans="2:8">
      <c r="B142" s="63" t="s">
        <v>7192</v>
      </c>
      <c r="C142" s="64">
        <v>3</v>
      </c>
      <c r="D142" s="64">
        <v>4</v>
      </c>
      <c r="E142" s="64">
        <v>4</v>
      </c>
      <c r="F142" s="64">
        <v>4</v>
      </c>
      <c r="G142" s="64">
        <v>4</v>
      </c>
      <c r="H142" s="64">
        <v>4</v>
      </c>
    </row>
    <row r="143" ht="56" spans="2:8">
      <c r="B143" s="63" t="s">
        <v>7193</v>
      </c>
      <c r="C143" s="64">
        <v>3</v>
      </c>
      <c r="D143" s="64">
        <v>3</v>
      </c>
      <c r="E143" s="64">
        <v>4</v>
      </c>
      <c r="F143" s="64">
        <v>4</v>
      </c>
      <c r="G143" s="64">
        <v>4</v>
      </c>
      <c r="H143" s="64">
        <v>4</v>
      </c>
    </row>
    <row r="144" ht="56" spans="2:8">
      <c r="B144" s="63" t="s">
        <v>7194</v>
      </c>
      <c r="C144" s="64">
        <v>3</v>
      </c>
      <c r="D144" s="64">
        <v>3</v>
      </c>
      <c r="E144" s="64">
        <v>4</v>
      </c>
      <c r="F144" s="64">
        <v>4</v>
      </c>
      <c r="G144" s="64">
        <v>4</v>
      </c>
      <c r="H144" s="64">
        <v>4</v>
      </c>
    </row>
    <row r="145" ht="42" spans="2:8">
      <c r="B145" s="63" t="s">
        <v>7195</v>
      </c>
      <c r="C145" s="64">
        <v>3</v>
      </c>
      <c r="D145" s="64">
        <v>3</v>
      </c>
      <c r="E145" s="64">
        <v>3</v>
      </c>
      <c r="F145" s="64">
        <v>4</v>
      </c>
      <c r="G145" s="64">
        <v>4</v>
      </c>
      <c r="H145" s="64">
        <v>4</v>
      </c>
    </row>
    <row r="146" ht="56" spans="2:8">
      <c r="B146" s="63" t="s">
        <v>7196</v>
      </c>
      <c r="C146" s="64">
        <v>3</v>
      </c>
      <c r="D146" s="64">
        <v>3</v>
      </c>
      <c r="E146" s="64">
        <v>3</v>
      </c>
      <c r="F146" s="64">
        <v>4</v>
      </c>
      <c r="G146" s="64">
        <v>4</v>
      </c>
      <c r="H146" s="64">
        <v>4</v>
      </c>
    </row>
    <row r="147" ht="42" spans="2:8">
      <c r="B147" s="63" t="s">
        <v>7197</v>
      </c>
      <c r="C147" s="64">
        <v>3</v>
      </c>
      <c r="D147" s="64">
        <v>3</v>
      </c>
      <c r="E147" s="64">
        <v>3</v>
      </c>
      <c r="F147" s="64">
        <v>3</v>
      </c>
      <c r="G147" s="64">
        <v>4</v>
      </c>
      <c r="H147" s="64">
        <v>4</v>
      </c>
    </row>
    <row r="148" ht="42" spans="2:8">
      <c r="B148" s="63" t="s">
        <v>7198</v>
      </c>
      <c r="C148" s="64">
        <v>3</v>
      </c>
      <c r="D148" s="64">
        <v>3</v>
      </c>
      <c r="E148" s="64">
        <v>3</v>
      </c>
      <c r="F148" s="64">
        <v>3</v>
      </c>
      <c r="G148" s="64">
        <v>3</v>
      </c>
      <c r="H148" s="64">
        <v>4</v>
      </c>
    </row>
    <row r="152" ht="28" spans="2:8">
      <c r="B152" s="71" t="s">
        <v>7098</v>
      </c>
      <c r="C152" s="72" t="s">
        <v>7152</v>
      </c>
      <c r="D152" s="72" t="s">
        <v>7153</v>
      </c>
      <c r="E152" s="72" t="s">
        <v>7154</v>
      </c>
      <c r="F152" s="72" t="s">
        <v>7155</v>
      </c>
      <c r="G152" s="72" t="s">
        <v>7156</v>
      </c>
      <c r="H152" s="72" t="s">
        <v>773</v>
      </c>
    </row>
    <row r="153" ht="42" spans="2:8">
      <c r="B153" s="63" t="s">
        <v>7199</v>
      </c>
      <c r="C153" s="64">
        <v>4</v>
      </c>
      <c r="D153" s="64">
        <v>5</v>
      </c>
      <c r="E153" s="64">
        <v>5</v>
      </c>
      <c r="F153" s="64">
        <v>5</v>
      </c>
      <c r="G153" s="64">
        <v>5</v>
      </c>
      <c r="H153" s="64">
        <v>5</v>
      </c>
    </row>
    <row r="154" ht="42" spans="2:8">
      <c r="B154" s="63" t="s">
        <v>7200</v>
      </c>
      <c r="C154" s="64">
        <v>4</v>
      </c>
      <c r="D154" s="64">
        <v>5</v>
      </c>
      <c r="E154" s="64">
        <v>5</v>
      </c>
      <c r="F154" s="64">
        <v>5</v>
      </c>
      <c r="G154" s="64">
        <v>5</v>
      </c>
      <c r="H154" s="64">
        <v>5</v>
      </c>
    </row>
    <row r="155" ht="42" spans="2:8">
      <c r="B155" s="63" t="s">
        <v>7201</v>
      </c>
      <c r="C155" s="64">
        <v>3</v>
      </c>
      <c r="D155" s="64">
        <v>4</v>
      </c>
      <c r="E155" s="64">
        <v>5</v>
      </c>
      <c r="F155" s="64">
        <v>5</v>
      </c>
      <c r="G155" s="64">
        <v>5</v>
      </c>
      <c r="H155" s="64">
        <v>5</v>
      </c>
    </row>
    <row r="156" ht="42" spans="2:8">
      <c r="B156" s="63" t="s">
        <v>7202</v>
      </c>
      <c r="C156" s="64">
        <v>3</v>
      </c>
      <c r="D156" s="64">
        <v>4</v>
      </c>
      <c r="E156" s="64">
        <v>5</v>
      </c>
      <c r="F156" s="64">
        <v>5</v>
      </c>
      <c r="G156" s="64">
        <v>5</v>
      </c>
      <c r="H156" s="64">
        <v>5</v>
      </c>
    </row>
    <row r="157" ht="42" spans="2:8">
      <c r="B157" s="63" t="s">
        <v>7203</v>
      </c>
      <c r="C157" s="64">
        <v>3</v>
      </c>
      <c r="D157" s="64">
        <v>3</v>
      </c>
      <c r="E157" s="64">
        <v>4</v>
      </c>
      <c r="F157" s="64">
        <v>5</v>
      </c>
      <c r="G157" s="64">
        <v>5</v>
      </c>
      <c r="H157" s="64">
        <v>5</v>
      </c>
    </row>
    <row r="158" ht="56" spans="2:8">
      <c r="B158" s="63" t="s">
        <v>7204</v>
      </c>
      <c r="C158" s="64">
        <v>3</v>
      </c>
      <c r="D158" s="64">
        <v>3</v>
      </c>
      <c r="E158" s="64">
        <v>4</v>
      </c>
      <c r="F158" s="64">
        <v>5</v>
      </c>
      <c r="G158" s="64">
        <v>5</v>
      </c>
      <c r="H158" s="64">
        <v>5</v>
      </c>
    </row>
    <row r="159" ht="42" spans="2:8">
      <c r="B159" s="63" t="s">
        <v>7205</v>
      </c>
      <c r="C159" s="64">
        <v>3</v>
      </c>
      <c r="D159" s="64">
        <v>3</v>
      </c>
      <c r="E159" s="64">
        <v>3</v>
      </c>
      <c r="F159" s="64">
        <v>4</v>
      </c>
      <c r="G159" s="64">
        <v>5</v>
      </c>
      <c r="H159" s="64">
        <v>5</v>
      </c>
    </row>
    <row r="160" ht="56" spans="2:8">
      <c r="B160" s="63" t="s">
        <v>7206</v>
      </c>
      <c r="C160" s="64">
        <v>3</v>
      </c>
      <c r="D160" s="64">
        <v>3</v>
      </c>
      <c r="E160" s="64">
        <v>3</v>
      </c>
      <c r="F160" s="64">
        <v>4</v>
      </c>
      <c r="G160" s="64">
        <v>5</v>
      </c>
      <c r="H160" s="64">
        <v>5</v>
      </c>
    </row>
    <row r="161" ht="42" spans="2:8">
      <c r="B161" s="63" t="s">
        <v>7207</v>
      </c>
      <c r="C161" s="64">
        <v>3</v>
      </c>
      <c r="D161" s="64">
        <v>3</v>
      </c>
      <c r="E161" s="64">
        <v>3</v>
      </c>
      <c r="F161" s="64">
        <v>3</v>
      </c>
      <c r="G161" s="64">
        <v>4</v>
      </c>
      <c r="H161" s="64">
        <v>5</v>
      </c>
    </row>
    <row r="162" ht="56" spans="2:8">
      <c r="B162" s="63" t="s">
        <v>7208</v>
      </c>
      <c r="C162" s="64">
        <v>3</v>
      </c>
      <c r="D162" s="64">
        <v>3</v>
      </c>
      <c r="E162" s="64">
        <v>3</v>
      </c>
      <c r="F162" s="64">
        <v>3</v>
      </c>
      <c r="G162" s="64">
        <v>3</v>
      </c>
      <c r="H162" s="64">
        <v>4</v>
      </c>
    </row>
    <row r="165" spans="2:8">
      <c r="C165" t="s">
        <v>7209</v>
      </c>
    </row>
    <row r="166" spans="2:8">
      <c r="B166" s="73"/>
      <c r="C166" s="74">
        <v>0</v>
      </c>
      <c r="D166" s="74">
        <v>1</v>
      </c>
      <c r="E166" s="74">
        <v>2</v>
      </c>
      <c r="F166" s="74">
        <v>3</v>
      </c>
      <c r="G166" s="74">
        <v>4</v>
      </c>
    </row>
    <row r="167" spans="2:8">
      <c r="B167" s="75">
        <v>0</v>
      </c>
      <c r="C167" s="75" t="s">
        <v>7210</v>
      </c>
      <c r="D167" s="75" t="s">
        <v>7211</v>
      </c>
      <c r="E167" s="75" t="s">
        <v>7212</v>
      </c>
      <c r="F167" s="75" t="s">
        <v>7212</v>
      </c>
      <c r="G167" s="75" t="s">
        <v>7212</v>
      </c>
    </row>
    <row r="168" spans="2:8">
      <c r="B168" s="75">
        <v>1</v>
      </c>
      <c r="C168" s="75" t="s">
        <v>7211</v>
      </c>
      <c r="D168" s="75" t="s">
        <v>7211</v>
      </c>
      <c r="E168" s="75" t="s">
        <v>7212</v>
      </c>
      <c r="F168" s="75" t="s">
        <v>7212</v>
      </c>
      <c r="G168" s="75" t="s">
        <v>7212</v>
      </c>
    </row>
    <row r="169" spans="2:8">
      <c r="B169" s="75">
        <v>2</v>
      </c>
      <c r="C169" s="75" t="s">
        <v>7212</v>
      </c>
      <c r="D169" s="75" t="s">
        <v>7212</v>
      </c>
      <c r="E169" s="75" t="s">
        <v>7212</v>
      </c>
      <c r="F169" s="75" t="s">
        <v>7212</v>
      </c>
      <c r="G169" s="75" t="s">
        <v>7212</v>
      </c>
    </row>
    <row r="170" spans="2:8">
      <c r="B170" s="75">
        <v>3</v>
      </c>
      <c r="C170" s="75" t="s">
        <v>7212</v>
      </c>
      <c r="D170" s="75" t="s">
        <v>7212</v>
      </c>
      <c r="E170" s="75" t="s">
        <v>7212</v>
      </c>
      <c r="F170" s="75" t="s">
        <v>7212</v>
      </c>
      <c r="G170" s="75" t="s">
        <v>7212</v>
      </c>
    </row>
    <row r="171" spans="2:8">
      <c r="B171" s="75">
        <v>4</v>
      </c>
      <c r="C171" s="75" t="s">
        <v>7212</v>
      </c>
      <c r="D171" s="75" t="s">
        <v>7212</v>
      </c>
      <c r="E171" s="75" t="s">
        <v>7212</v>
      </c>
      <c r="F171" s="75" t="s">
        <v>7212</v>
      </c>
      <c r="G171" s="75" t="s">
        <v>7212</v>
      </c>
    </row>
    <row r="172" spans="2:8">
      <c r="B172" s="75" t="s">
        <v>7213</v>
      </c>
      <c r="C172" s="75"/>
      <c r="D172" s="75"/>
      <c r="E172" s="75"/>
      <c r="F172" s="75"/>
      <c r="G172" s="75"/>
    </row>
    <row r="173" ht="16" spans="2:8">
      <c r="B173" s="76" t="s">
        <v>7214</v>
      </c>
    </row>
    <row r="174" ht="16" spans="2:8">
      <c r="B174" s="76" t="s">
        <v>7215</v>
      </c>
    </row>
    <row r="175" ht="16" spans="2:8">
      <c r="B175" s="76" t="s">
        <v>7216</v>
      </c>
    </row>
    <row r="176" ht="16" spans="2:8">
      <c r="B176" s="76" t="s">
        <v>7217</v>
      </c>
    </row>
    <row r="177" ht="16" spans="2:8">
      <c r="B177" s="76" t="s">
        <v>7218</v>
      </c>
    </row>
    <row r="181" spans="2:8">
      <c r="B181" s="77" t="s">
        <v>7219</v>
      </c>
      <c r="C181" s="77" t="s">
        <v>7220</v>
      </c>
      <c r="D181" s="77" t="s">
        <v>7221</v>
      </c>
    </row>
    <row r="182" spans="2:8">
      <c r="B182" s="78" t="s">
        <v>7146</v>
      </c>
      <c r="C182" s="78" t="s">
        <v>7222</v>
      </c>
      <c r="D182" s="78">
        <v>0</v>
      </c>
    </row>
    <row r="183" spans="2:8">
      <c r="B183" s="78" t="s">
        <v>7144</v>
      </c>
      <c r="C183" s="78" t="s">
        <v>7223</v>
      </c>
      <c r="D183" s="78">
        <v>1</v>
      </c>
    </row>
    <row r="184" spans="2:8">
      <c r="B184" s="78" t="s">
        <v>7142</v>
      </c>
      <c r="C184" s="78" t="s">
        <v>7224</v>
      </c>
      <c r="D184" s="78" t="s">
        <v>7225</v>
      </c>
    </row>
    <row r="185" spans="2:8">
      <c r="B185" s="78" t="s">
        <v>7148</v>
      </c>
      <c r="C185" s="78" t="s">
        <v>7226</v>
      </c>
      <c r="D185" s="78" t="s">
        <v>7227</v>
      </c>
    </row>
    <row r="186" spans="2:8">
      <c r="B186" s="78" t="s">
        <v>7150</v>
      </c>
      <c r="C186" s="78" t="s">
        <v>7228</v>
      </c>
      <c r="D186" s="78">
        <v>4</v>
      </c>
    </row>
    <row r="191" hidden="1"/>
    <row r="192" ht="15" hidden="1" customHeight="1" spans="2:8">
      <c r="B192" s="79" t="s">
        <v>7229</v>
      </c>
      <c r="C192" s="80" t="s">
        <v>7230</v>
      </c>
      <c r="D192" s="81"/>
      <c r="E192" s="81"/>
      <c r="F192" s="81"/>
      <c r="G192" s="81"/>
      <c r="H192" s="81"/>
    </row>
    <row r="193" ht="70" hidden="1" spans="2:8">
      <c r="B193" s="80"/>
      <c r="C193" s="80" t="s">
        <v>7231</v>
      </c>
      <c r="D193" s="82" t="s">
        <v>7232</v>
      </c>
      <c r="E193" s="82" t="s">
        <v>7232</v>
      </c>
      <c r="F193" s="82" t="s">
        <v>7232</v>
      </c>
      <c r="G193" s="82" t="s">
        <v>7232</v>
      </c>
      <c r="H193" s="81"/>
    </row>
    <row r="194" ht="70" hidden="1" spans="2:8">
      <c r="B194" s="80"/>
      <c r="C194" s="80" t="s">
        <v>7233</v>
      </c>
      <c r="D194" s="82" t="s">
        <v>7234</v>
      </c>
      <c r="E194" s="82" t="s">
        <v>7234</v>
      </c>
      <c r="F194" s="82" t="s">
        <v>7234</v>
      </c>
      <c r="G194" s="82" t="s">
        <v>7232</v>
      </c>
      <c r="H194" s="81"/>
    </row>
    <row r="195" ht="70" hidden="1" spans="2:8">
      <c r="B195" s="80"/>
      <c r="C195" s="80" t="s">
        <v>7235</v>
      </c>
      <c r="D195" s="82" t="s">
        <v>7236</v>
      </c>
      <c r="E195" s="82" t="s">
        <v>7236</v>
      </c>
      <c r="F195" s="82" t="s">
        <v>7234</v>
      </c>
      <c r="G195" s="82" t="s">
        <v>7232</v>
      </c>
      <c r="H195" s="81"/>
    </row>
    <row r="196" ht="70" hidden="1" spans="2:8">
      <c r="B196" s="80"/>
      <c r="C196" s="80" t="s">
        <v>7237</v>
      </c>
      <c r="D196" s="82" t="s">
        <v>7238</v>
      </c>
      <c r="E196" s="82" t="s">
        <v>7236</v>
      </c>
      <c r="F196" s="82" t="s">
        <v>7234</v>
      </c>
      <c r="G196" s="82" t="s">
        <v>7232</v>
      </c>
      <c r="H196" s="81"/>
    </row>
    <row r="197" hidden="1" spans="2:8">
      <c r="B197" s="83"/>
      <c r="C197" s="80"/>
      <c r="D197" s="83" t="s">
        <v>7237</v>
      </c>
      <c r="E197" s="83" t="s">
        <v>7235</v>
      </c>
      <c r="F197" s="83" t="s">
        <v>7233</v>
      </c>
      <c r="G197" s="83" t="s">
        <v>7231</v>
      </c>
      <c r="H197" s="83" t="s">
        <v>7230</v>
      </c>
    </row>
    <row r="198" hidden="1" spans="2:8">
      <c r="B198" s="83"/>
      <c r="C198" s="80"/>
      <c r="D198" s="84" t="s">
        <v>7209</v>
      </c>
      <c r="E198" s="84"/>
      <c r="F198" s="84"/>
      <c r="G198" s="84"/>
      <c r="H198" s="84"/>
    </row>
    <row r="201" ht="70" spans="2:8">
      <c r="B201" s="79" t="s">
        <v>7229</v>
      </c>
      <c r="C201" s="80" t="s">
        <v>7230</v>
      </c>
      <c r="D201" s="85" t="s">
        <v>7232</v>
      </c>
      <c r="E201" s="85" t="s">
        <v>7232</v>
      </c>
      <c r="F201" s="85" t="s">
        <v>7232</v>
      </c>
      <c r="G201" s="85" t="s">
        <v>7232</v>
      </c>
      <c r="H201" s="85" t="s">
        <v>7232</v>
      </c>
    </row>
    <row r="202" ht="70" spans="2:8">
      <c r="B202" s="80"/>
      <c r="C202" s="80" t="s">
        <v>7231</v>
      </c>
      <c r="D202" s="85" t="s">
        <v>7232</v>
      </c>
      <c r="E202" s="85" t="s">
        <v>7232</v>
      </c>
      <c r="F202" s="85" t="s">
        <v>7232</v>
      </c>
      <c r="G202" s="85" t="s">
        <v>7232</v>
      </c>
      <c r="H202" s="85" t="s">
        <v>7232</v>
      </c>
    </row>
    <row r="203" ht="88.15" customHeight="1" spans="2:8">
      <c r="B203" s="80"/>
      <c r="C203" s="80" t="s">
        <v>7233</v>
      </c>
      <c r="D203" s="85" t="s">
        <v>7232</v>
      </c>
      <c r="E203" s="85" t="s">
        <v>7232</v>
      </c>
      <c r="F203" s="85" t="s">
        <v>7232</v>
      </c>
      <c r="G203" s="85" t="s">
        <v>7232</v>
      </c>
      <c r="H203" s="85" t="s">
        <v>7232</v>
      </c>
    </row>
    <row r="204" ht="70" spans="2:8">
      <c r="B204" s="80"/>
      <c r="C204" s="80" t="s">
        <v>7235</v>
      </c>
      <c r="D204" s="85" t="s">
        <v>7234</v>
      </c>
      <c r="E204" s="85" t="s">
        <v>7234</v>
      </c>
      <c r="F204" s="85" t="s">
        <v>7232</v>
      </c>
      <c r="G204" s="85" t="s">
        <v>7232</v>
      </c>
      <c r="H204" s="85" t="s">
        <v>7232</v>
      </c>
    </row>
    <row r="205" ht="70" spans="2:8">
      <c r="B205" s="80"/>
      <c r="C205" s="80" t="s">
        <v>7237</v>
      </c>
      <c r="D205" s="85" t="s">
        <v>7236</v>
      </c>
      <c r="E205" s="85" t="s">
        <v>7234</v>
      </c>
      <c r="F205" s="85" t="s">
        <v>7232</v>
      </c>
      <c r="G205" s="85" t="s">
        <v>7232</v>
      </c>
      <c r="H205" s="85" t="s">
        <v>7232</v>
      </c>
    </row>
    <row r="206" spans="2:8">
      <c r="B206" s="83"/>
      <c r="C206" s="80"/>
      <c r="D206" s="83" t="s">
        <v>7237</v>
      </c>
      <c r="E206" s="83" t="s">
        <v>7235</v>
      </c>
      <c r="F206" s="83" t="s">
        <v>7233</v>
      </c>
      <c r="G206" s="83" t="s">
        <v>7231</v>
      </c>
      <c r="H206" s="83" t="s">
        <v>7230</v>
      </c>
    </row>
    <row r="207" spans="2:8">
      <c r="B207" s="83"/>
      <c r="C207" s="80"/>
      <c r="D207" s="84" t="s">
        <v>7209</v>
      </c>
      <c r="E207" s="84"/>
      <c r="F207" s="84"/>
      <c r="G207" s="84"/>
      <c r="H207" s="84"/>
    </row>
    <row r="210" spans="2:8">
      <c r="B210" s="79" t="s">
        <v>7229</v>
      </c>
      <c r="C210" s="80" t="s">
        <v>7237</v>
      </c>
      <c r="D210" s="85" t="s">
        <v>7210</v>
      </c>
      <c r="E210" s="86" t="s">
        <v>7211</v>
      </c>
      <c r="F210" s="87" t="s">
        <v>7212</v>
      </c>
      <c r="G210" s="88" t="s">
        <v>7212</v>
      </c>
      <c r="H210" s="89" t="s">
        <v>7212</v>
      </c>
    </row>
    <row r="211" spans="2:8">
      <c r="B211" s="79"/>
      <c r="C211" s="80" t="s">
        <v>7235</v>
      </c>
      <c r="D211" s="86" t="s">
        <v>7211</v>
      </c>
      <c r="E211" s="86" t="s">
        <v>7211</v>
      </c>
      <c r="F211" s="87" t="s">
        <v>7212</v>
      </c>
      <c r="G211" s="88" t="s">
        <v>7212</v>
      </c>
      <c r="H211" s="89" t="s">
        <v>7212</v>
      </c>
    </row>
    <row r="212" spans="2:8">
      <c r="B212" s="79"/>
      <c r="C212" s="80" t="s">
        <v>7233</v>
      </c>
      <c r="D212" s="87" t="s">
        <v>7212</v>
      </c>
      <c r="E212" s="87" t="s">
        <v>7212</v>
      </c>
      <c r="F212" s="87" t="s">
        <v>7212</v>
      </c>
      <c r="G212" s="88" t="s">
        <v>7212</v>
      </c>
      <c r="H212" s="89" t="s">
        <v>7212</v>
      </c>
    </row>
    <row r="213" spans="2:8">
      <c r="B213" s="79"/>
      <c r="C213" s="80" t="s">
        <v>7231</v>
      </c>
      <c r="D213" s="88" t="s">
        <v>7212</v>
      </c>
      <c r="E213" s="88" t="s">
        <v>7212</v>
      </c>
      <c r="F213" s="88" t="s">
        <v>7212</v>
      </c>
      <c r="G213" s="88" t="s">
        <v>7212</v>
      </c>
      <c r="H213" s="89" t="s">
        <v>7212</v>
      </c>
    </row>
    <row r="214" ht="15" customHeight="1" spans="2:8">
      <c r="B214" s="79"/>
      <c r="C214" s="80" t="s">
        <v>7230</v>
      </c>
      <c r="D214" s="89" t="s">
        <v>7212</v>
      </c>
      <c r="E214" s="89" t="s">
        <v>7212</v>
      </c>
      <c r="F214" s="89" t="s">
        <v>7212</v>
      </c>
      <c r="G214" s="89" t="s">
        <v>7212</v>
      </c>
      <c r="H214" s="89" t="s">
        <v>7212</v>
      </c>
    </row>
    <row r="215" spans="2:8">
      <c r="B215" s="83"/>
      <c r="C215" s="80"/>
      <c r="D215" s="83" t="s">
        <v>7237</v>
      </c>
      <c r="E215" s="83" t="s">
        <v>7235</v>
      </c>
      <c r="F215" s="83" t="s">
        <v>7233</v>
      </c>
      <c r="G215" s="83" t="s">
        <v>7231</v>
      </c>
      <c r="H215" s="83" t="s">
        <v>7230</v>
      </c>
    </row>
    <row r="216" spans="2:8">
      <c r="B216" s="83"/>
      <c r="C216" s="80"/>
      <c r="D216" s="84" t="s">
        <v>7209</v>
      </c>
      <c r="E216" s="84"/>
      <c r="F216" s="84"/>
      <c r="G216" s="84"/>
      <c r="H216" s="84"/>
    </row>
    <row r="219" spans="2:8">
      <c r="B219" s="79" t="s">
        <v>7229</v>
      </c>
      <c r="C219" s="80" t="s">
        <v>7237</v>
      </c>
      <c r="D219" s="90">
        <v>1</v>
      </c>
      <c r="E219" s="86" t="s">
        <v>7210</v>
      </c>
      <c r="F219" s="87" t="s">
        <v>7211</v>
      </c>
      <c r="G219" s="88" t="s">
        <v>7212</v>
      </c>
      <c r="H219" s="91" t="s">
        <v>7212</v>
      </c>
    </row>
    <row r="220" spans="2:8">
      <c r="B220" s="79"/>
      <c r="C220" s="80" t="s">
        <v>7235</v>
      </c>
      <c r="D220" s="86" t="s">
        <v>7210</v>
      </c>
      <c r="E220" s="86" t="s">
        <v>7210</v>
      </c>
      <c r="F220" s="87" t="s">
        <v>7211</v>
      </c>
      <c r="G220" s="88" t="s">
        <v>7212</v>
      </c>
      <c r="H220" s="91" t="s">
        <v>7212</v>
      </c>
    </row>
    <row r="221" spans="2:8">
      <c r="B221" s="79"/>
      <c r="C221" s="80" t="s">
        <v>7233</v>
      </c>
      <c r="D221" s="87" t="s">
        <v>7211</v>
      </c>
      <c r="E221" s="87" t="s">
        <v>7211</v>
      </c>
      <c r="F221" s="87" t="s">
        <v>7211</v>
      </c>
      <c r="G221" s="88" t="s">
        <v>7212</v>
      </c>
      <c r="H221" s="91" t="s">
        <v>7212</v>
      </c>
    </row>
    <row r="222" spans="2:8">
      <c r="B222" s="79"/>
      <c r="C222" s="80" t="s">
        <v>7231</v>
      </c>
      <c r="D222" s="88" t="s">
        <v>7212</v>
      </c>
      <c r="E222" s="88" t="s">
        <v>7212</v>
      </c>
      <c r="F222" s="88" t="s">
        <v>7212</v>
      </c>
      <c r="G222" s="88" t="s">
        <v>7212</v>
      </c>
      <c r="H222" s="91" t="s">
        <v>7212</v>
      </c>
    </row>
    <row r="223" spans="2:8">
      <c r="B223" s="79"/>
      <c r="C223" s="80" t="s">
        <v>7230</v>
      </c>
      <c r="D223" s="91" t="s">
        <v>7212</v>
      </c>
      <c r="E223" s="91" t="s">
        <v>7212</v>
      </c>
      <c r="F223" s="91" t="s">
        <v>7212</v>
      </c>
      <c r="G223" s="91" t="s">
        <v>7212</v>
      </c>
      <c r="H223" s="91" t="s">
        <v>7212</v>
      </c>
    </row>
    <row r="224" spans="2:8">
      <c r="B224" s="83"/>
      <c r="C224" s="80"/>
      <c r="D224" s="83" t="s">
        <v>7237</v>
      </c>
      <c r="E224" s="83" t="s">
        <v>7235</v>
      </c>
      <c r="F224" s="83" t="s">
        <v>7233</v>
      </c>
      <c r="G224" s="83" t="s">
        <v>7231</v>
      </c>
      <c r="H224" s="83" t="s">
        <v>7230</v>
      </c>
    </row>
    <row r="225" spans="2:8">
      <c r="B225" s="83"/>
      <c r="C225" s="80"/>
      <c r="D225" s="84" t="s">
        <v>7209</v>
      </c>
      <c r="E225" s="84"/>
      <c r="F225" s="84"/>
      <c r="G225" s="84"/>
      <c r="H225" s="84"/>
    </row>
  </sheetData>
  <mergeCells count="22">
    <mergeCell ref="D198:H198"/>
    <mergeCell ref="D207:H207"/>
    <mergeCell ref="D216:H216"/>
    <mergeCell ref="D225:H225"/>
    <mergeCell ref="B25:B26"/>
    <mergeCell ref="B28:B29"/>
    <mergeCell ref="B43:B44"/>
    <mergeCell ref="B45:B46"/>
    <mergeCell ref="B47:B48"/>
    <mergeCell ref="B49:B50"/>
    <mergeCell ref="B192:B196"/>
    <mergeCell ref="B201:B205"/>
    <mergeCell ref="B210:B214"/>
    <mergeCell ref="B219:B223"/>
    <mergeCell ref="C25:C26"/>
    <mergeCell ref="E25:E26"/>
    <mergeCell ref="E28:E29"/>
    <mergeCell ref="F28:F29"/>
    <mergeCell ref="G25:G26"/>
    <mergeCell ref="G28:G29"/>
    <mergeCell ref="H25:H26"/>
    <mergeCell ref="H28:H29"/>
  </mergeCell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56D3BE2A-6CE5-4696-9B7C-3E626F316EC6}">
  <ds:schemaRefs/>
</ds:datastoreItem>
</file>

<file path=customXml/itemProps2.xml><?xml version="1.0" encoding="utf-8"?>
<ds:datastoreItem xmlns:ds="http://schemas.openxmlformats.org/officeDocument/2006/customXml" ds:itemID="{E20025F3-67DB-4394-8E57-3B46BCBFABA8}">
  <ds:schemaRefs/>
</ds:datastoreItem>
</file>

<file path=customXml/itemProps3.xml><?xml version="1.0" encoding="utf-8"?>
<ds:datastoreItem xmlns:ds="http://schemas.openxmlformats.org/officeDocument/2006/customXml" ds:itemID="{88907B23-5CC5-4D98-8469-94EC033A82AA}">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15</vt:i4>
      </vt:variant>
    </vt:vector>
  </HeadingPairs>
  <TitlesOfParts>
    <vt:vector size="15" baseType="lpstr">
      <vt:lpstr>Identitas</vt:lpstr>
      <vt:lpstr>mental agility</vt:lpstr>
      <vt:lpstr>people agility</vt:lpstr>
      <vt:lpstr>change agility</vt:lpstr>
      <vt:lpstr>result agility</vt:lpstr>
      <vt:lpstr>self awareness</vt:lpstr>
      <vt:lpstr>Profile Summary</vt:lpstr>
      <vt:lpstr>Kompetensi</vt:lpstr>
      <vt:lpstr>sheet template</vt:lpstr>
      <vt:lpstr>Dasboard</vt:lpstr>
      <vt:lpstr>Aktivitas pengembangan</vt:lpstr>
      <vt:lpstr>Bukti Aktivitas Pengembangan</vt:lpstr>
      <vt:lpstr>Penilaian Perilaku</vt:lpstr>
      <vt:lpstr>Form Penilaian Presentasi</vt:lpstr>
      <vt:lpstr>panduan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Enny Haryanto</dc:creator>
  <cp:lastModifiedBy>zerox</cp:lastModifiedBy>
  <dcterms:created xsi:type="dcterms:W3CDTF">2026-01-08T09:38:00Z</dcterms:created>
  <dcterms:modified xsi:type="dcterms:W3CDTF">2026-09-22T08:37:15Z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0x0101001BC9754997CF20489203434719BC889C</vt:lpwstr>
  </property>
  <property fmtid="{D5CDD505-2E9C-101B-9397-08002B2CF9AE}" pid="3" name="MediaServiceImageTags">
    <vt:lpwstr/>
  </property>
  <property fmtid="{D5CDD505-2E9C-101B-9397-08002B2CF9AE}" pid="4" name="ICV">
    <vt:lpwstr>074FAA532F9E442D8A2E2E44483010E2_12</vt:lpwstr>
  </property>
  <property fmtid="{D5CDD505-2E9C-101B-9397-08002B2CF9AE}" pid="5" name="KSOProductBuildVer">
    <vt:lpwstr>1033-12.1.0.28485</vt:lpwstr>
  </property>
  <property fmtid="{D5CDD505-2E9C-101B-9397-08002B2CF9AE}" pid="6" name="CalculationRule">
    <vt:i4>0</vt:i4>
  </property>
</Properties>
</file>