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<sst xmlns="http://schemas.openxmlformats.org/spreadsheetml/2006/main" count="11811" uniqueCount="7239">
  <si>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</si>
  <si>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</si>
  <si>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Rizqi Muharromah</t>
  </si>
  <si>
    <t>Nama Atasan yang menilai</t>
  </si>
  <si>
    <t>Muhammad Hadi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</si>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</sst>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9" tint="-0.249977111117893"/>
      <name val="Biome"/>
      <charset val="134"/>
    </font>
    <font>
      <i/>
      <sz val="11"/>
      <color theme="9" tint="-0.249977111117893"/>
      <name val="Biome"/>
      <charset val="134"/>
    </font>
    <font>
      <b/>
      <sz val="11"/>
      <color rgb="FF7030A0"/>
      <name val="Biome"/>
      <charset val="134"/>
    </font>
    <font>
      <b/>
      <sz val="11"/>
      <color rgb="FF548235"/>
      <name val="Biome"/>
      <charset val="134"/>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i/>
      <sz val="11"/>
      <color theme="9" tint="-0.249977111117893"/>
      <name val="Biome"/>
      <charset val="134"/>
    </font>
    <font>
      <i/>
      <sz val="11"/>
      <color rgb="FF548235"/>
      <name val="Biome"/>
      <charset val="134"/>
    </font>
    <font>
      <b/>
      <i/>
      <sz val="11"/>
      <color rgb="FF548235"/>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i/>
      <sz val="11"/>
      <color rgb="FF7030A0"/>
      <name val="Biome"/>
      <charset val="134"/>
    </font>
    <font>
      <i/>
      <sz val="11"/>
      <color rgb="FF833C0C"/>
      <name val="Biome"/>
      <charset val="134"/>
    </font>
    <font>
      <b/>
      <i/>
      <sz val="11"/>
      <color rgb="FF833C0C"/>
      <name val="Biome"/>
      <charset val="134"/>
    </font>
    <font>
      <b/>
      <i/>
      <sz val="11"/>
      <color rgb="FF7030A0"/>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6ddafa3a-ce77-455f-8cae-84f39c5ee75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f43cd0d-cbc0-47d8-8d80-30a4dbf7b29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46045.637662037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Rizqi Muharromah</v>
      </c>
      <c r="I2" s="83"/>
      <c r="K2" s="83"/>
      <c r="M2" s="83"/>
      <c r="N2" s="83"/>
      <c r="O2" s="83"/>
    </row>
    <row r="3" spans="1:16">
      <c r="B3" s="83" t="str">
        <f>Identitas!B3</f>
        <v>Nama Atasan yang menilai</v>
      </c>
      <c r="C3" s="182" t="str">
        <f>Identitas!D3</f>
        <v>Muhammad Hadi</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46045.637662037</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2</v>
      </c>
      <c r="J13" s="285" t="s">
        <v>37</v>
      </c>
      <c r="K13" s="284">
        <v>2</v>
      </c>
      <c r="L13" s="285" t="s">
        <v>37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3</v>
      </c>
      <c r="J14" s="285" t="s">
        <v>45</v>
      </c>
      <c r="K14" s="284">
        <v>3</v>
      </c>
      <c r="L14" s="285" t="s">
        <v>45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4</v>
      </c>
      <c r="J15" s="285" t="s">
        <v>53</v>
      </c>
      <c r="K15" s="284">
        <v>4</v>
      </c>
      <c r="L15" s="285" t="s">
        <v>53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5</v>
      </c>
      <c r="J16" s="285" t="s">
        <v>61</v>
      </c>
      <c r="K16" s="284">
        <v>5</v>
      </c>
      <c r="L16" s="285" t="s">
        <v>61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1</v>
      </c>
      <c r="J17" s="285" t="s">
        <v>64</v>
      </c>
      <c r="K17" s="284">
        <v>1</v>
      </c>
      <c r="L17" s="285" t="s">
        <v>64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2</v>
      </c>
      <c r="J18" s="285" t="s">
        <v>72</v>
      </c>
      <c r="K18" s="284">
        <v>2</v>
      </c>
      <c r="L18" s="285" t="s">
        <v>72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3</v>
      </c>
      <c r="J19" s="285" t="s">
        <v>80</v>
      </c>
      <c r="K19" s="284">
        <v>3</v>
      </c>
      <c r="L19" s="285" t="s">
        <v>80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4</v>
      </c>
      <c r="J20" s="285" t="s">
        <v>88</v>
      </c>
      <c r="K20" s="284">
        <v>4</v>
      </c>
      <c r="L20" s="285" t="s">
        <v>88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5</v>
      </c>
      <c r="J21" s="285" t="s">
        <v>96</v>
      </c>
      <c r="K21" s="284">
        <v>5</v>
      </c>
      <c r="L21" s="285" t="s">
        <v>96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1</v>
      </c>
      <c r="J22" s="285" t="s">
        <v>99</v>
      </c>
      <c r="K22" s="284">
        <v>1</v>
      </c>
      <c r="L22" s="285" t="s">
        <v>99</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Rizqi Muharromah</v>
      </c>
      <c r="I2" s="83"/>
      <c r="J2" s="83"/>
      <c r="K2" s="83"/>
      <c r="L2" s="83"/>
      <c r="M2" s="83"/>
      <c r="N2" s="83"/>
    </row>
    <row r="3" spans="1:16">
      <c r="B3" s="83" t="str">
        <f>Identitas!B3</f>
        <v>Nama Atasan yang menilai</v>
      </c>
      <c r="C3" s="182" t="str">
        <f>Identitas!D3</f>
        <v>Muhammad Hadi</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46045.637662037</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2</v>
      </c>
      <c r="J13" s="285" t="s">
        <v>108</v>
      </c>
      <c r="K13" s="284">
        <v>2</v>
      </c>
      <c r="L13" s="284" t="s">
        <v>108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3</v>
      </c>
      <c r="J14" s="285" t="s">
        <v>116</v>
      </c>
      <c r="K14" s="284">
        <v>3</v>
      </c>
      <c r="L14" s="284" t="s">
        <v>116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4</v>
      </c>
      <c r="J15" s="285" t="s">
        <v>124</v>
      </c>
      <c r="K15" s="284">
        <v>4</v>
      </c>
      <c r="L15" s="284" t="s">
        <v>124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5</v>
      </c>
      <c r="J16" s="285" t="s">
        <v>132</v>
      </c>
      <c r="K16" s="284">
        <v>5</v>
      </c>
      <c r="L16" s="284" t="s">
        <v>132</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1</v>
      </c>
      <c r="J17" s="285" t="s">
        <v>135</v>
      </c>
      <c r="K17" s="284">
        <v>1</v>
      </c>
      <c r="L17" s="284" t="s">
        <v>135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2</v>
      </c>
      <c r="J18" s="285" t="s">
        <v>143</v>
      </c>
      <c r="K18" s="284">
        <v>2</v>
      </c>
      <c r="L18" s="284" t="s">
        <v>143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3</v>
      </c>
      <c r="J19" s="285" t="s">
        <v>151</v>
      </c>
      <c r="K19" s="284">
        <v>3</v>
      </c>
      <c r="L19" s="284" t="s">
        <v>151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4</v>
      </c>
      <c r="J20" s="285" t="s">
        <v>159</v>
      </c>
      <c r="K20" s="284">
        <v>4</v>
      </c>
      <c r="L20" s="284" t="s">
        <v>159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5</v>
      </c>
      <c r="J21" s="285" t="s">
        <v>167</v>
      </c>
      <c r="K21" s="284">
        <v>5</v>
      </c>
      <c r="L21" s="284" t="s">
        <v>167</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1</v>
      </c>
      <c r="J22" s="285" t="s">
        <v>170</v>
      </c>
      <c r="K22" s="284">
        <v>1</v>
      </c>
      <c r="L22" s="284" t="s">
        <v>170</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2</v>
      </c>
      <c r="J13" s="285" t="s">
        <v>178</v>
      </c>
      <c r="K13" s="284">
        <v>2</v>
      </c>
      <c r="L13" s="285" t="s">
        <v>178</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3</v>
      </c>
      <c r="J14" s="285" t="s">
        <v>188</v>
      </c>
      <c r="K14" s="284">
        <v>3</v>
      </c>
      <c r="L14" s="285" t="s">
        <v>188</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4</v>
      </c>
      <c r="J15" s="285" t="s">
        <v>196</v>
      </c>
      <c r="K15" s="284">
        <v>4</v>
      </c>
      <c r="L15" s="285" t="s">
        <v>196</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5</v>
      </c>
      <c r="J16" s="285" t="s">
        <v>206</v>
      </c>
      <c r="K16" s="284">
        <v>5</v>
      </c>
      <c r="L16" s="285" t="s">
        <v>206</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1</v>
      </c>
      <c r="J17" s="285" t="s">
        <v>211</v>
      </c>
      <c r="K17" s="284">
        <v>1</v>
      </c>
      <c r="L17" s="285" t="s">
        <v>211</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2</v>
      </c>
      <c r="J18" s="285" t="s">
        <v>219</v>
      </c>
      <c r="K18" s="284">
        <v>2</v>
      </c>
      <c r="L18" s="285" t="s">
        <v>219</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3</v>
      </c>
      <c r="J19" s="285" t="s">
        <v>229</v>
      </c>
      <c r="K19" s="284">
        <v>3</v>
      </c>
      <c r="L19" s="285" t="s">
        <v>229</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4</v>
      </c>
      <c r="J20" s="285" t="s">
        <v>237</v>
      </c>
      <c r="K20" s="284">
        <v>4</v>
      </c>
      <c r="L20" s="285" t="s">
        <v>237</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5</v>
      </c>
      <c r="J21" s="285" t="s">
        <v>245</v>
      </c>
      <c r="K21" s="284">
        <v>5</v>
      </c>
      <c r="L21" s="285" t="s">
        <v>245</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5">
        <v>10</v>
      </c>
      <c r="B22" s="282" t="s">
        <v>246</v>
      </c>
      <c r="C22" s="282" t="s">
        <v>247</v>
      </c>
      <c r="D22" s="282" t="s">
        <v>248</v>
      </c>
      <c r="E22" s="282" t="s">
        <v>249</v>
      </c>
      <c r="F22" s="282" t="s">
        <v>250</v>
      </c>
      <c r="G22" s="282" t="s">
        <v>251</v>
      </c>
      <c r="H22" s="282" t="s">
        <v>252</v>
      </c>
      <c r="I22" s="284">
        <v>1</v>
      </c>
      <c r="J22" s="285" t="s">
        <v>248</v>
      </c>
      <c r="K22" s="284">
        <v>1</v>
      </c>
      <c r="L22" s="285" t="s">
        <v>248</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2</v>
      </c>
      <c r="J13" s="285" t="s">
        <v>256</v>
      </c>
      <c r="K13" s="284">
        <v>2</v>
      </c>
      <c r="L13" s="285" t="s">
        <v>256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3</v>
      </c>
      <c r="J14" s="285" t="s">
        <v>264</v>
      </c>
      <c r="K14" s="284">
        <v>3</v>
      </c>
      <c r="L14" s="285" t="s">
        <v>264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4</v>
      </c>
      <c r="J15" s="285" t="s">
        <v>272</v>
      </c>
      <c r="K15" s="284">
        <v>4</v>
      </c>
      <c r="L15" s="285" t="s">
        <v>272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5</v>
      </c>
      <c r="J16" s="285" t="s">
        <v>280</v>
      </c>
      <c r="K16" s="284">
        <v>5</v>
      </c>
      <c r="L16" s="285" t="s">
        <v>280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1</v>
      </c>
      <c r="J17" s="285" t="s">
        <v>283</v>
      </c>
      <c r="K17" s="284">
        <v>1</v>
      </c>
      <c r="L17" s="285" t="s">
        <v>283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2</v>
      </c>
      <c r="J18" s="285" t="s">
        <v>291</v>
      </c>
      <c r="K18" s="284">
        <v>2</v>
      </c>
      <c r="L18" s="285" t="s">
        <v>291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3</v>
      </c>
      <c r="J19" s="285" t="s">
        <v>299</v>
      </c>
      <c r="K19" s="284">
        <v>3</v>
      </c>
      <c r="L19" s="285" t="s">
        <v>299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4</v>
      </c>
      <c r="J20" s="285" t="s">
        <v>307</v>
      </c>
      <c r="K20" s="284">
        <v>4</v>
      </c>
      <c r="L20" s="285" t="s">
        <v>307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5</v>
      </c>
      <c r="J21" s="285" t="s">
        <v>315</v>
      </c>
      <c r="K21" s="284">
        <v>5</v>
      </c>
      <c r="L21" s="285" t="s">
        <v>315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1</v>
      </c>
      <c r="J22" s="285" t="s">
        <v>318</v>
      </c>
      <c r="K22" s="284">
        <v>1</v>
      </c>
      <c r="L22" s="285" t="s">
        <v>318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2</v>
      </c>
      <c r="J13" s="285" t="s">
        <v>326</v>
      </c>
      <c r="K13" s="284">
        <v>2</v>
      </c>
      <c r="L13" s="285" t="s">
        <v>326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3</v>
      </c>
      <c r="J14" s="285" t="s">
        <v>334</v>
      </c>
      <c r="K14" s="284">
        <v>3</v>
      </c>
      <c r="L14" s="285" t="s">
        <v>334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4</v>
      </c>
      <c r="J15" s="285" t="s">
        <v>342</v>
      </c>
      <c r="K15" s="284">
        <v>4</v>
      </c>
      <c r="L15" s="285" t="s">
        <v>342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5</v>
      </c>
      <c r="J16" s="285" t="s">
        <v>350</v>
      </c>
      <c r="K16" s="284">
        <v>5</v>
      </c>
      <c r="L16" s="285" t="s">
        <v>350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5">
        <v>5</v>
      </c>
      <c r="B17" s="282" t="s">
        <v>351</v>
      </c>
      <c r="C17" s="283" t="s">
        <v>352</v>
      </c>
      <c r="D17" s="283" t="s">
        <v>353</v>
      </c>
      <c r="E17" s="283" t="s">
        <v>354</v>
      </c>
      <c r="F17" s="283" t="s">
        <v>355</v>
      </c>
      <c r="G17" s="283" t="s">
        <v>356</v>
      </c>
      <c r="H17" s="283" t="s">
        <v>357</v>
      </c>
      <c r="I17" s="284">
        <v>1</v>
      </c>
      <c r="J17" s="285" t="s">
        <v>353</v>
      </c>
      <c r="K17" s="284">
        <v>1</v>
      </c>
      <c r="L17" s="285" t="s">
        <v>353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2</v>
      </c>
      <c r="J18" s="285" t="s">
        <v>361</v>
      </c>
      <c r="K18" s="284">
        <v>2</v>
      </c>
      <c r="L18" s="285" t="s">
        <v>361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3</v>
      </c>
      <c r="J19" s="285" t="s">
        <v>369</v>
      </c>
      <c r="K19" s="284">
        <v>3</v>
      </c>
      <c r="L19" s="285" t="s">
        <v>369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4</v>
      </c>
      <c r="J20" s="285" t="s">
        <v>377</v>
      </c>
      <c r="K20" s="284">
        <v>4</v>
      </c>
      <c r="L20" s="285" t="s">
        <v>377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48" spans="1:16">
      <c r="A21" s="285">
        <v>9</v>
      </c>
      <c r="B21" s="282" t="s">
        <v>379</v>
      </c>
      <c r="C21" s="283" t="s">
        <v>380</v>
      </c>
      <c r="D21" s="283" t="s">
        <v>381</v>
      </c>
      <c r="E21" s="283" t="s">
        <v>382</v>
      </c>
      <c r="F21" s="283" t="s">
        <v>383</v>
      </c>
      <c r="G21" s="283" t="s">
        <v>384</v>
      </c>
      <c r="H21" s="283" t="s">
        <v>385</v>
      </c>
      <c r="I21" s="284">
        <v>5</v>
      </c>
      <c r="J21" s="285" t="s">
        <v>385</v>
      </c>
      <c r="K21" s="284">
        <v>5</v>
      </c>
      <c r="L21" s="285" t="s">
        <v>385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1</v>
      </c>
      <c r="J22" s="285" t="s">
        <v>388</v>
      </c>
      <c r="K22" s="284">
        <v>1</v>
      </c>
      <c r="L22" s="285" t="s">
        <v>388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Rizqi Muharromah</v>
      </c>
    </row>
    <row r="3" s="83" customFormat="1" spans="1:9">
      <c r="A3" s="83" t="str">
        <f>Identitas!B3</f>
        <v>Nama Atasan yang menilai</v>
      </c>
      <c r="B3" s="182" t="str">
        <f>Identitas!D3</f>
        <v>Muhammad Hadi</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46045.637662037</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2</v>
      </c>
      <c r="D25" s="242">
        <f>'mental agility'!M13</f>
        <v>0</v>
      </c>
      <c r="E25" s="243" t="str">
        <f>'mental agility'!N13</f>
        <v>No Gap</v>
      </c>
    </row>
    <row r="26" s="207" customFormat="1" ht="30" spans="1:8">
      <c r="A26" s="241" t="str">
        <f>'mental agility'!B14</f>
        <v>Root Cause Analysis
(mencari penyebab masalah)</v>
      </c>
      <c r="B26" s="241">
        <f>'mental agility'!I14</f>
        <v>3</v>
      </c>
      <c r="C26" s="241">
        <f>'mental agility'!K14</f>
        <v>3</v>
      </c>
      <c r="D26" s="242">
        <f>'mental agility'!M14</f>
        <v>0</v>
      </c>
      <c r="E26" s="243" t="str">
        <f>'mental agility'!N14</f>
        <v>No Gap</v>
      </c>
    </row>
    <row r="27" s="207" customFormat="1" ht="60" spans="1:8">
      <c r="A27" s="241" t="str">
        <f>'mental agility'!B15</f>
        <v>Critical Thinking &amp; Inquisitiveness
(mempertanyakan &amp; mengevaluasi)</v>
      </c>
      <c r="B27" s="241">
        <f>'mental agility'!I15</f>
        <v>4</v>
      </c>
      <c r="C27" s="241">
        <f>'mental agility'!K15</f>
        <v>4</v>
      </c>
      <c r="D27" s="242">
        <f>'mental agility'!M15</f>
        <v>0</v>
      </c>
      <c r="E27" s="243" t="str">
        <f>'mental agility'!N15</f>
        <v>No Gap</v>
      </c>
    </row>
    <row r="28" s="207" customFormat="1" ht="45" spans="1:8">
      <c r="A28" s="241" t="str">
        <f>'mental agility'!B16</f>
        <v>Explaining Complexity
(menjelaskan hal kompleks secara sederhana)</v>
      </c>
      <c r="B28" s="241">
        <f>'mental agility'!I16</f>
        <v>5</v>
      </c>
      <c r="C28" s="241">
        <f>'mental agility'!K16</f>
        <v>5</v>
      </c>
      <c r="D28" s="242">
        <f>'mental agility'!M16</f>
        <v>0</v>
      </c>
      <c r="E28" s="243" t="str">
        <f>'mental agility'!N16</f>
        <v>No Gap</v>
      </c>
    </row>
    <row r="29" s="207" customFormat="1" ht="45" spans="1:8">
      <c r="A29" s="241" t="str">
        <f>'mental agility'!B17</f>
        <v>Intellectual Synthesis
(menghubungkan berbagai informasi)</v>
      </c>
      <c r="B29" s="241">
        <f>'mental agility'!I17</f>
        <v>1</v>
      </c>
      <c r="C29" s="241">
        <f>'mental agility'!K17</f>
        <v>1</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2</v>
      </c>
      <c r="C30" s="241">
        <f>'mental agility'!K18</f>
        <v>2</v>
      </c>
      <c r="D30" s="242">
        <f>'mental agility'!M18</f>
        <v>0</v>
      </c>
      <c r="E30" s="243" t="str">
        <f>'mental agility'!N18</f>
        <v>No Gap</v>
      </c>
    </row>
    <row r="31" s="207" customFormat="1" ht="30" spans="1:8">
      <c r="A31" s="241" t="str">
        <f>'mental agility'!B19</f>
        <v>Creative Exploration
(mencari pendekatan baru)</v>
      </c>
      <c r="B31" s="241">
        <f>'mental agility'!I19</f>
        <v>3</v>
      </c>
      <c r="C31" s="241">
        <f>'mental agility'!K19</f>
        <v>3</v>
      </c>
      <c r="D31" s="242">
        <f>'mental agility'!M19</f>
        <v>0</v>
      </c>
      <c r="E31" s="243" t="str">
        <f>'mental agility'!N19</f>
        <v>No Gap</v>
      </c>
    </row>
    <row r="32" s="207" customFormat="1" ht="30" spans="1:8">
      <c r="A32" s="241" t="str">
        <f>'mental agility'!B20</f>
        <v>Breaking Patterned thinking
(menciptakan solusi baru)</v>
      </c>
      <c r="B32" s="241">
        <f>'mental agility'!I20</f>
        <v>4</v>
      </c>
      <c r="C32" s="241">
        <f>'mental agility'!K20</f>
        <v>4</v>
      </c>
      <c r="D32" s="242">
        <f>'mental agility'!M20</f>
        <v>0</v>
      </c>
      <c r="E32" s="243" t="str">
        <f>'mental agility'!N20</f>
        <v>No Gap</v>
      </c>
    </row>
    <row r="33" s="207" customFormat="1" ht="45" spans="1:9">
      <c r="A33" s="241" t="str">
        <f>'mental agility'!B21</f>
        <v>Comfort with Ambiguity
(tetap efektif di situasi tidak jelas)</v>
      </c>
      <c r="B33" s="241">
        <f>'mental agility'!I21</f>
        <v>5</v>
      </c>
      <c r="C33" s="241">
        <f>'mental agility'!K21</f>
        <v>5</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1</v>
      </c>
      <c r="C34" s="241">
        <f>'mental agility'!K22</f>
        <v>1</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2</v>
      </c>
      <c r="C39" s="241">
        <f>'people agility'!K13</f>
        <v>2</v>
      </c>
      <c r="D39" s="242">
        <f>'people agility'!M13</f>
        <v>0</v>
      </c>
      <c r="E39" s="243" t="str">
        <f>'people agility'!N13</f>
        <v>No Gap</v>
      </c>
    </row>
    <row r="40" s="207" customFormat="1" ht="30" spans="1:9">
      <c r="A40" s="241" t="str">
        <f>'people agility'!B14</f>
        <v>Openness to Feedback
(menerima &amp; mencari masukan)</v>
      </c>
      <c r="B40" s="241">
        <f>'people agility'!I14</f>
        <v>3</v>
      </c>
      <c r="C40" s="241">
        <f>'people agility'!K14</f>
        <v>3</v>
      </c>
      <c r="D40" s="242">
        <f>'people agility'!M14</f>
        <v>0</v>
      </c>
      <c r="E40" s="243" t="str">
        <f>'people agility'!N14</f>
        <v>No Gap</v>
      </c>
    </row>
    <row r="41" s="207" customFormat="1" ht="45" spans="1:9">
      <c r="A41" s="241" t="str">
        <f>'people agility'!B15</f>
        <v>Genuine Curiosity about Others
(rasa ingin tahu tulus pada orang lain)</v>
      </c>
      <c r="B41" s="241">
        <f>'people agility'!I15</f>
        <v>4</v>
      </c>
      <c r="C41" s="241">
        <f>'people agility'!K15</f>
        <v>4</v>
      </c>
      <c r="D41" s="242">
        <f>'people agility'!M15</f>
        <v>0</v>
      </c>
      <c r="E41" s="243" t="str">
        <f>'people agility'!N15</f>
        <v>No Gap</v>
      </c>
    </row>
    <row r="42" s="207" customFormat="1" ht="45" spans="1:9">
      <c r="A42" s="241" t="str">
        <f>'people agility'!B16</f>
        <v>Collaboration with Diversity
(Bekerja efektif dalam keberagaman)</v>
      </c>
      <c r="B42" s="241">
        <f>'people agility'!I16</f>
        <v>5</v>
      </c>
      <c r="C42" s="241">
        <f>'people agility'!K16</f>
        <v>5</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1</v>
      </c>
      <c r="C43" s="241">
        <f>'people agility'!K17</f>
        <v>1</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2</v>
      </c>
      <c r="C44" s="241">
        <f>'people agility'!K18</f>
        <v>2</v>
      </c>
      <c r="D44" s="242">
        <f>'people agility'!M18</f>
        <v>0</v>
      </c>
      <c r="E44" s="243" t="str">
        <f>'people agility'!N18</f>
        <v>No Gap</v>
      </c>
    </row>
    <row r="45" s="207" customFormat="1" ht="45" spans="1:9">
      <c r="A45" s="241" t="str">
        <f>'people agility'!B19</f>
        <v>Empathy
(Merasakan &amp; memahami emosi orang lain)</v>
      </c>
      <c r="B45" s="241">
        <f>'people agility'!I19</f>
        <v>3</v>
      </c>
      <c r="C45" s="241">
        <f>'people agility'!K19</f>
        <v>3</v>
      </c>
      <c r="D45" s="242">
        <f>'people agility'!M19</f>
        <v>0</v>
      </c>
      <c r="E45" s="243" t="str">
        <f>'people agility'!N19</f>
        <v>No Gap</v>
      </c>
    </row>
    <row r="46" s="207" customFormat="1" ht="45" spans="1:9">
      <c r="A46" s="241" t="str">
        <f>'people agility'!B20</f>
        <v>Conflict Navigation
(menghadapi konflik secara konstruktif)</v>
      </c>
      <c r="B46" s="241">
        <f>'people agility'!I20</f>
        <v>4</v>
      </c>
      <c r="C46" s="241">
        <f>'people agility'!K20</f>
        <v>4</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5</v>
      </c>
      <c r="C47" s="241">
        <f>'people agility'!K21</f>
        <v>5</v>
      </c>
      <c r="D47" s="242">
        <f>'people agility'!M21</f>
        <v>0</v>
      </c>
      <c r="E47" s="243" t="str">
        <f>'people agility'!N21</f>
        <v>No Gap</v>
      </c>
    </row>
    <row r="48" s="207" customFormat="1" ht="45" spans="1:9">
      <c r="A48" s="241" t="str">
        <f>'people agility'!B22</f>
        <v>Conflict Mediation
(menjadi penengah &amp; penyatu pihak berbeda)</v>
      </c>
      <c r="B48" s="241">
        <f>'people agility'!I22</f>
        <v>1</v>
      </c>
      <c r="C48" s="241">
        <f>'people agility'!K22</f>
        <v>1</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2</v>
      </c>
      <c r="C53" s="253">
        <f>'change agility'!K13</f>
        <v>2</v>
      </c>
      <c r="D53" s="254">
        <f>'change agility'!M13</f>
        <v>0</v>
      </c>
      <c r="E53" s="255" t="str">
        <f>'change agility'!N13</f>
        <v>No Gap</v>
      </c>
    </row>
    <row r="54" s="207" customFormat="1" ht="60" spans="1:9">
      <c r="A54" s="253" t="str">
        <f>'change agility'!B14</f>
        <v>Comfort with New Ways of Working
(mulai nyaman dengan cara kerja baru)</v>
      </c>
      <c r="B54" s="253">
        <f>'change agility'!I14</f>
        <v>3</v>
      </c>
      <c r="C54" s="253">
        <f>'change agility'!K14</f>
        <v>3</v>
      </c>
      <c r="D54" s="254">
        <f>'change agility'!M14</f>
        <v>0</v>
      </c>
      <c r="E54" s="255" t="str">
        <f>'change agility'!N14</f>
        <v>No Gap</v>
      </c>
    </row>
    <row r="55" s="207" customFormat="1" ht="45" spans="1:9">
      <c r="A55" s="253" t="str">
        <f>'change agility'!B15</f>
        <v>Comfort with Sudden Change
(tetap bekerja saat perubahan mendadak)</v>
      </c>
      <c r="B55" s="253">
        <f>'change agility'!I15</f>
        <v>4</v>
      </c>
      <c r="C55" s="253">
        <f>'change agility'!K15</f>
        <v>4</v>
      </c>
      <c r="D55" s="254">
        <f>'change agility'!M15</f>
        <v>0</v>
      </c>
      <c r="E55" s="255" t="str">
        <f>'change agility'!N15</f>
        <v>No Gap</v>
      </c>
    </row>
    <row r="56" s="207" customFormat="1" ht="30" spans="1:9">
      <c r="A56" s="253" t="str">
        <f>'change agility'!B16</f>
        <v>Managing Resistance to Change
(pengelolaan resistensi)</v>
      </c>
      <c r="B56" s="253">
        <f>'change agility'!I16</f>
        <v>5</v>
      </c>
      <c r="C56" s="253">
        <f>'change agility'!K16</f>
        <v>5</v>
      </c>
      <c r="D56" s="254">
        <f>'change agility'!M16</f>
        <v>0</v>
      </c>
      <c r="E56" s="255" t="str">
        <f>'change agility'!N16</f>
        <v>No Gap</v>
      </c>
    </row>
    <row r="57" s="207" customFormat="1" ht="45" spans="1:9">
      <c r="A57" s="253" t="str">
        <f>'change agility'!B17</f>
        <v>Adaptive Learning &amp; Experimentation
(aktif belajar hal baru)</v>
      </c>
      <c r="B57" s="253">
        <f>'change agility'!I17</f>
        <v>1</v>
      </c>
      <c r="C57" s="253">
        <f>'change agility'!K17</f>
        <v>1</v>
      </c>
      <c r="D57" s="254">
        <f>'change agility'!M17</f>
        <v>0</v>
      </c>
      <c r="E57" s="255" t="str">
        <f>'change agility'!N17</f>
        <v>No Gap</v>
      </c>
    </row>
    <row r="58" s="207" customFormat="1" ht="45" spans="1:9">
      <c r="A58" s="253" t="str">
        <f>'change agility'!B18</f>
        <v>Viewing Change as Opportunity
(melihat perubahan sebagai peluang)</v>
      </c>
      <c r="B58" s="253">
        <f>'change agility'!I18</f>
        <v>2</v>
      </c>
      <c r="C58" s="253">
        <f>'change agility'!K18</f>
        <v>2</v>
      </c>
      <c r="D58" s="254">
        <f>'change agility'!M18</f>
        <v>0</v>
      </c>
      <c r="E58" s="255" t="str">
        <f>'change agility'!N18</f>
        <v>No Gap</v>
      </c>
    </row>
    <row r="59" s="207" customFormat="1" ht="30" spans="1:9">
      <c r="A59" s="253" t="str">
        <f>'change agility'!B19</f>
        <v>Proposing New Ideas
(mulai menginisiasi perubahan)</v>
      </c>
      <c r="B59" s="253">
        <f>'change agility'!I19</f>
        <v>3</v>
      </c>
      <c r="C59" s="253">
        <f>'change agility'!K19</f>
        <v>3</v>
      </c>
      <c r="D59" s="254">
        <f>'change agility'!M19</f>
        <v>0</v>
      </c>
      <c r="E59" s="255" t="str">
        <f>'change agility'!N19</f>
        <v>No Gap</v>
      </c>
    </row>
    <row r="60" s="207" customFormat="1" ht="45" spans="1:9">
      <c r="A60" s="253" t="str">
        <f>'change agility'!B20</f>
        <v>Risk-Taking for Innovation
(berani mencoba pendekatan baru)</v>
      </c>
      <c r="B60" s="253">
        <f>'change agility'!I20</f>
        <v>4</v>
      </c>
      <c r="C60" s="253">
        <f>'change agility'!K20</f>
        <v>4</v>
      </c>
      <c r="D60" s="254">
        <f>'change agility'!M20</f>
        <v>0</v>
      </c>
      <c r="E60" s="255" t="str">
        <f>'change agility'!N20</f>
        <v>No Gap</v>
      </c>
    </row>
    <row r="61" s="207" customFormat="1" ht="45" spans="1:9">
      <c r="A61" s="253" t="str">
        <f>'change agility'!B21</f>
        <v>Calmness in Uncertainty
(tetap tenang di kondisi tidak pasti)</v>
      </c>
      <c r="B61" s="253">
        <f>'change agility'!I21</f>
        <v>5</v>
      </c>
      <c r="C61" s="253">
        <f>'change agility'!K21</f>
        <v>5</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1</v>
      </c>
      <c r="C62" s="253">
        <f>'change agility'!K22</f>
        <v>1</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2</v>
      </c>
      <c r="C68" s="241">
        <f>'result agility'!K13</f>
        <v>2</v>
      </c>
      <c r="D68" s="241">
        <f>'result agility'!M13</f>
        <v>0</v>
      </c>
      <c r="E68" s="261" t="str">
        <f>'result agility'!N13</f>
        <v>No Gap</v>
      </c>
    </row>
    <row r="69" s="207" customFormat="1" ht="45" spans="1:5">
      <c r="A69" s="253" t="str">
        <f>'result agility'!B14</f>
        <v>Action-Oriented &amp; Takes Initiative 
(proaktif bertindak)</v>
      </c>
      <c r="B69" s="241">
        <f>'result agility'!I14</f>
        <v>3</v>
      </c>
      <c r="C69" s="241">
        <f>'result agility'!K14</f>
        <v>3</v>
      </c>
      <c r="D69" s="241">
        <f>'result agility'!M14</f>
        <v>0</v>
      </c>
      <c r="E69" s="261" t="str">
        <f>'result agility'!N14</f>
        <v>No Gap</v>
      </c>
    </row>
    <row r="70" s="207" customFormat="1" ht="30" spans="1:5">
      <c r="A70" s="253" t="str">
        <f>'result agility'!B15</f>
        <v>Driving for impact
(fokus pada hasil kerja)</v>
      </c>
      <c r="B70" s="241">
        <f>'result agility'!I15</f>
        <v>4</v>
      </c>
      <c r="C70" s="241">
        <f>'result agility'!K15</f>
        <v>4</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5</v>
      </c>
      <c r="C71" s="241">
        <f>'result agility'!K16</f>
        <v>5</v>
      </c>
      <c r="D71" s="241">
        <f>'result agility'!M16</f>
        <v>0</v>
      </c>
      <c r="E71" s="261" t="str">
        <f>'result agility'!N16</f>
        <v>No Gap</v>
      </c>
    </row>
    <row r="72" s="207" customFormat="1" ht="45" spans="1:5">
      <c r="A72" s="253" t="str">
        <f>'result agility'!B17</f>
        <v>Learning from Outcomes
(belajar dari hasil &amp; kesalahan tim)</v>
      </c>
      <c r="B72" s="241">
        <f>'result agility'!I17</f>
        <v>1</v>
      </c>
      <c r="C72" s="241">
        <f>'result agility'!K17</f>
        <v>1</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2</v>
      </c>
      <c r="C73" s="241">
        <f>'result agility'!K18</f>
        <v>2</v>
      </c>
      <c r="D73" s="241">
        <f>'result agility'!M18</f>
        <v>0</v>
      </c>
      <c r="E73" s="261" t="str">
        <f>'result agility'!N18</f>
        <v>No Gap</v>
      </c>
    </row>
    <row r="74" s="207" customFormat="1" ht="45" spans="1:5">
      <c r="A74" s="253" t="str">
        <f>'result agility'!B19</f>
        <v>Focus Under Pressure
(tetap fokus dalam tekanan tinggi)</v>
      </c>
      <c r="B74" s="241">
        <f>'result agility'!I19</f>
        <v>3</v>
      </c>
      <c r="C74" s="241">
        <f>'result agility'!K19</f>
        <v>3</v>
      </c>
      <c r="D74" s="241">
        <f>'result agility'!M19</f>
        <v>0</v>
      </c>
      <c r="E74" s="261" t="str">
        <f>'result agility'!N19</f>
        <v>No Gap</v>
      </c>
    </row>
    <row r="75" s="207" customFormat="1" ht="45" spans="1:5">
      <c r="A75" s="253" t="str">
        <f>'result agility'!B20</f>
        <v>Adapting Strategy When Needed
(mengubah strategi untuk hasil lebih baik)</v>
      </c>
      <c r="B75" s="241">
        <f>'result agility'!I20</f>
        <v>4</v>
      </c>
      <c r="C75" s="241">
        <f>'result agility'!K20</f>
        <v>4</v>
      </c>
      <c r="D75" s="241">
        <f>'result agility'!M20</f>
        <v>0</v>
      </c>
      <c r="E75" s="261" t="str">
        <f>'result agility'!N20</f>
        <v>No Gap</v>
      </c>
    </row>
    <row r="76" s="207" customFormat="1" ht="60" spans="1:5">
      <c r="A76" s="253" t="str">
        <f>'result agility'!B21</f>
        <v>Agile Problem-Solving Under Pressure
(rencana di tengah ketidakpastian)</v>
      </c>
      <c r="B76" s="241">
        <f>'result agility'!I21</f>
        <v>5</v>
      </c>
      <c r="C76" s="241">
        <f>'result agility'!K21</f>
        <v>5</v>
      </c>
      <c r="D76" s="241">
        <f>'result agility'!M21</f>
        <v>0</v>
      </c>
      <c r="E76" s="261" t="str">
        <f>'result agility'!N21</f>
        <v>No Gap</v>
      </c>
    </row>
    <row r="77" s="207" customFormat="1" ht="45" spans="1:5">
      <c r="A77" s="253" t="str">
        <f>'result agility'!B22</f>
        <v>Drive for High Performance
(sistem perencanaan berkinerja tinggi)</v>
      </c>
      <c r="B77" s="241">
        <f>'result agility'!I22</f>
        <v>1</v>
      </c>
      <c r="C77" s="241">
        <f>'result agility'!K22</f>
        <v>1</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2</v>
      </c>
      <c r="C83" s="241">
        <f>'self awareness'!K13</f>
        <v>2</v>
      </c>
      <c r="D83" s="241">
        <f>'self awareness'!M13</f>
        <v>0</v>
      </c>
      <c r="E83" s="261" t="str">
        <f>'self awareness'!N13</f>
        <v>No Gap</v>
      </c>
    </row>
    <row r="84" s="207" customFormat="1" ht="30" spans="1:5">
      <c r="A84" s="241" t="str">
        <f>'self awareness'!B14</f>
        <v>Admitting Mistakes
(mengakui kesalahan)</v>
      </c>
      <c r="B84" s="241">
        <f>'self awareness'!I14</f>
        <v>3</v>
      </c>
      <c r="C84" s="241">
        <f>'self awareness'!K14</f>
        <v>3</v>
      </c>
      <c r="D84" s="241">
        <f>'self awareness'!M14</f>
        <v>0</v>
      </c>
      <c r="E84" s="261" t="str">
        <f>'self awareness'!N14</f>
        <v>No Gap</v>
      </c>
    </row>
    <row r="85" s="207" customFormat="1" ht="45" spans="1:5">
      <c r="A85" s="241" t="str">
        <f>'self awareness'!B15</f>
        <v>Seeking Feedback on Performance
(mencari feedback)</v>
      </c>
      <c r="B85" s="241">
        <f>'self awareness'!I15</f>
        <v>4</v>
      </c>
      <c r="C85" s="241">
        <f>'self awareness'!K15</f>
        <v>4</v>
      </c>
      <c r="D85" s="241">
        <f>'self awareness'!M15</f>
        <v>0</v>
      </c>
      <c r="E85" s="261" t="str">
        <f>'self awareness'!N15</f>
        <v>No Gap</v>
      </c>
    </row>
    <row r="86" s="207" customFormat="1" ht="60" spans="1:5">
      <c r="A86" s="241" t="str">
        <f>'self awareness'!B16</f>
        <v>Understanding Strengths &amp; Weaknesses
(memahami kekuatan &amp; kelemahan)</v>
      </c>
      <c r="B86" s="241">
        <f>'self awareness'!I16</f>
        <v>5</v>
      </c>
      <c r="C86" s="241">
        <f>'self awareness'!K16</f>
        <v>5</v>
      </c>
      <c r="D86" s="241">
        <f>'self awareness'!M16</f>
        <v>0</v>
      </c>
      <c r="E86" s="261" t="str">
        <f>'self awareness'!N16</f>
        <v>No Gap</v>
      </c>
    </row>
    <row r="87" s="207" customFormat="1" ht="30" spans="1:5">
      <c r="A87" s="241" t="str">
        <f>'self awareness'!B17</f>
        <v>Reflective Practices
(melakukan refleksi diri)</v>
      </c>
      <c r="B87" s="241">
        <f>'self awareness'!I17</f>
        <v>1</v>
      </c>
      <c r="C87" s="241">
        <f>'self awareness'!K17</f>
        <v>1</v>
      </c>
      <c r="D87" s="241">
        <f>'self awareness'!M17</f>
        <v>0</v>
      </c>
      <c r="E87" s="261" t="str">
        <f>'self awareness'!N17</f>
        <v>No Gap</v>
      </c>
    </row>
    <row r="88" s="207" customFormat="1" ht="45" spans="1:5">
      <c r="A88" s="241" t="str">
        <f>'self awareness'!B18</f>
        <v>Proactive Self-Development for Adaptation
(aktif mengembangkan diri)</v>
      </c>
      <c r="B88" s="241">
        <f>'self awareness'!I18</f>
        <v>2</v>
      </c>
      <c r="C88" s="241">
        <f>'self awareness'!K18</f>
        <v>2</v>
      </c>
      <c r="D88" s="241">
        <f>'self awareness'!M18</f>
        <v>0</v>
      </c>
      <c r="E88" s="261" t="str">
        <f>'self awareness'!N18</f>
        <v>No Gap</v>
      </c>
    </row>
    <row r="89" s="207" customFormat="1" ht="30" spans="1:5">
      <c r="A89" s="241" t="str">
        <f>'self awareness'!B19</f>
        <v>Objective Self-Assessment
(menilai diri secara objektif)</v>
      </c>
      <c r="B89" s="241">
        <f>'self awareness'!I19</f>
        <v>3</v>
      </c>
      <c r="C89" s="241">
        <f>'self awareness'!K19</f>
        <v>3</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4</v>
      </c>
      <c r="C90" s="241">
        <f>'self awareness'!K20</f>
        <v>4</v>
      </c>
      <c r="D90" s="241">
        <f>'self awareness'!M20</f>
        <v>0</v>
      </c>
      <c r="E90" s="261" t="str">
        <f>'self awareness'!N20</f>
        <v>No Gap</v>
      </c>
    </row>
    <row r="91" s="207" customFormat="1" ht="45" spans="1:5">
      <c r="A91" s="241" t="str">
        <f>'self awareness'!B21</f>
        <v>Managing Emotions Effectively
(mengelola emosi secara matang)</v>
      </c>
      <c r="B91" s="241">
        <f>'self awareness'!I21</f>
        <v>5</v>
      </c>
      <c r="C91" s="241">
        <f>'self awareness'!K21</f>
        <v>5</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1</v>
      </c>
      <c r="C92" s="241">
        <f>'self awareness'!K22</f>
        <v>1</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Rizqi Muharromah</v>
      </c>
    </row>
    <row r="3" spans="1:45">
      <c r="A3" s="83" t="str">
        <f>Identitas!B3</f>
        <v>Nama Atasan yang menilai</v>
      </c>
      <c r="B3" s="182" t="str">
        <f>Identitas!D3</f>
        <v>Muhammad Hadi</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46045.637662037</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Rizqi Muharromah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Rizqi Muharromah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Rizqi Muharromah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Rizqi Muharromah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BA6AC30197AD4371957879D1A92BCA2D_12</vt:lpwstr>
  </property>
  <property fmtid="{D5CDD505-2E9C-101B-9397-08002B2CF9AE}" pid="5" name="KSOProductBuildVer">
    <vt:lpwstr>1033-12.1.0.28485</vt:lpwstr>
  </property>
  <property fmtid="{D5CDD505-2E9C-101B-9397-08002B2CF9AE}" pid="6" name="CalculationRule">
    <vt:i4>0</vt:i4>
  </property>
</Properties>
</file>