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<sst xmlns="http://schemas.openxmlformats.org/spreadsheetml/2006/main" count="11811" uniqueCount="7239">
  <si>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</si>
  <si>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</si>
  <si>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Ana Kholifah</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</si>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</sst>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9" tint="-0.249977111117893"/>
      <name val="Biome"/>
      <charset val="134"/>
    </font>
    <font>
      <i/>
      <sz val="11"/>
      <color theme="9" tint="-0.249977111117893"/>
      <name val="Biome"/>
      <charset val="134"/>
    </font>
    <font>
      <b/>
      <sz val="11"/>
      <color rgb="FF7030A0"/>
      <name val="Biome"/>
      <charset val="134"/>
    </font>
    <font>
      <i/>
      <sz val="11"/>
      <color rgb="FF7030A0"/>
      <name val="Biome"/>
      <charset val="134"/>
    </font>
    <font>
      <b/>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b/>
      <i/>
      <sz val="11"/>
      <color rgb="FF7030A0"/>
      <name val="Biome"/>
      <charset val="134"/>
    </font>
    <font>
      <b/>
      <sz val="11"/>
      <color rgb="FF0070C0"/>
      <name val="Biome"/>
      <charset val="134"/>
    </font>
    <font>
      <i/>
      <sz val="11"/>
      <color rgb="FF0070C0"/>
      <name val="Biome"/>
      <charset val="134"/>
    </font>
    <font>
      <b/>
      <i/>
      <sz val="11"/>
      <color rgb="FF0070C0"/>
      <name val="Biome"/>
      <charset val="134"/>
    </font>
    <font>
      <i/>
      <sz val="11"/>
      <color rgb="FF833C0C"/>
      <name val="Biome"/>
      <charset val="134"/>
    </font>
    <font>
      <b/>
      <sz val="11"/>
      <color rgb="FF806000"/>
      <name val="Biome"/>
      <charset val="134"/>
    </font>
    <font>
      <i/>
      <sz val="11"/>
      <color rgb="FF806000"/>
      <name val="Biome"/>
      <charset val="134"/>
    </font>
    <font>
      <i/>
      <sz val="11"/>
      <color theme="5" tint="-0.499984740745262"/>
      <name val="Biome"/>
      <charset val="134"/>
    </font>
    <font>
      <b/>
      <sz val="11"/>
      <color theme="7" tint="-0.249977111117893"/>
      <name val="Biome"/>
      <charset val="134"/>
    </font>
    <font>
      <i/>
      <sz val="11"/>
      <color theme="7" tint="-0.249977111117893"/>
      <name val="Biome"/>
      <charset val="134"/>
    </font>
    <font>
      <b/>
      <sz val="11"/>
      <color rgb="FF375623"/>
      <name val="Biome"/>
      <charset val="134"/>
    </font>
    <font>
      <i/>
      <sz val="11"/>
      <color rgb="FF375623"/>
      <name val="Biome"/>
      <charset val="134"/>
    </font>
    <font>
      <b/>
      <i/>
      <sz val="11"/>
      <color theme="9" tint="-0.249977111117893"/>
      <name val="Biome"/>
      <charset val="134"/>
    </font>
    <font>
      <b/>
      <i/>
      <sz val="11"/>
      <color rgb="FF833C0C"/>
      <name val="Biome"/>
      <charset val="134"/>
    </font>
    <font>
      <b/>
      <i/>
      <sz val="11"/>
      <color theme="5" tint="-0.499984740745262"/>
      <name val="Biome"/>
      <charset val="134"/>
    </font>
    <font>
      <b/>
      <sz val="11"/>
      <color theme="7" tint="-0.499984740745262"/>
      <name val="Biome"/>
      <charset val="134"/>
    </font>
    <font>
      <i/>
      <sz val="11"/>
      <color theme="7" tint="-0.499984740745262"/>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d1c2e5b1-5ef3-41d3-98e3-b68fc2de32f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a959a50-6fe9-4d59-8170-48cad0c9e3c4}"/>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46050.5610416667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Ana Kholifah</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46050.5610416667</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4</v>
      </c>
      <c r="J13" s="285" t="s">
        <v>39</v>
      </c>
      <c r="K13" s="284">
        <v>5</v>
      </c>
      <c r="L13" s="285"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4">
        <f>A13+1</f>
        <v>2</v>
      </c>
      <c r="B14" s="282" t="s">
        <v>41</v>
      </c>
      <c r="C14" s="282" t="s">
        <v>42</v>
      </c>
      <c r="D14" s="283" t="s">
        <v>43</v>
      </c>
      <c r="E14" s="283" t="s">
        <v>44</v>
      </c>
      <c r="F14" s="283" t="s">
        <v>45</v>
      </c>
      <c r="G14" s="283" t="s">
        <v>46</v>
      </c>
      <c r="H14" s="283" t="s">
        <v>47</v>
      </c>
      <c r="I14" s="284">
        <v>5</v>
      </c>
      <c r="J14" s="285" t="s">
        <v>47</v>
      </c>
      <c r="K14" s="284">
        <v>1</v>
      </c>
      <c r="L14" s="285"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1</v>
      </c>
      <c r="J15" s="285" t="s">
        <v>50</v>
      </c>
      <c r="K15" s="284">
        <v>2</v>
      </c>
      <c r="L15" s="285"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4">
        <f t="shared" si="1"/>
        <v>4</v>
      </c>
      <c r="B16" s="282" t="s">
        <v>55</v>
      </c>
      <c r="C16" s="282" t="s">
        <v>56</v>
      </c>
      <c r="D16" s="283" t="s">
        <v>57</v>
      </c>
      <c r="E16" s="283" t="s">
        <v>58</v>
      </c>
      <c r="F16" s="283" t="s">
        <v>59</v>
      </c>
      <c r="G16" s="283" t="s">
        <v>60</v>
      </c>
      <c r="H16" s="283" t="s">
        <v>61</v>
      </c>
      <c r="I16" s="284">
        <v>2</v>
      </c>
      <c r="J16" s="285" t="s">
        <v>58</v>
      </c>
      <c r="K16" s="284">
        <v>3</v>
      </c>
      <c r="L16" s="285"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3</v>
      </c>
      <c r="J17" s="285" t="s">
        <v>66</v>
      </c>
      <c r="K17" s="284">
        <v>4</v>
      </c>
      <c r="L17" s="285"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4">
        <f t="shared" si="1"/>
        <v>6</v>
      </c>
      <c r="B18" s="282" t="s">
        <v>69</v>
      </c>
      <c r="C18" s="282" t="s">
        <v>70</v>
      </c>
      <c r="D18" s="283" t="s">
        <v>71</v>
      </c>
      <c r="E18" s="283" t="s">
        <v>72</v>
      </c>
      <c r="F18" s="283" t="s">
        <v>73</v>
      </c>
      <c r="G18" s="283" t="s">
        <v>74</v>
      </c>
      <c r="H18" s="283" t="s">
        <v>75</v>
      </c>
      <c r="I18" s="284">
        <v>4</v>
      </c>
      <c r="J18" s="285" t="s">
        <v>74</v>
      </c>
      <c r="K18" s="284">
        <v>5</v>
      </c>
      <c r="L18" s="285"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4">
        <f t="shared" si="1"/>
        <v>7</v>
      </c>
      <c r="B19" s="282" t="s">
        <v>76</v>
      </c>
      <c r="C19" s="282" t="s">
        <v>77</v>
      </c>
      <c r="D19" s="283" t="s">
        <v>78</v>
      </c>
      <c r="E19" s="283" t="s">
        <v>79</v>
      </c>
      <c r="F19" s="283" t="s">
        <v>80</v>
      </c>
      <c r="G19" s="283" t="s">
        <v>81</v>
      </c>
      <c r="H19" s="283" t="s">
        <v>82</v>
      </c>
      <c r="I19" s="284">
        <v>5</v>
      </c>
      <c r="J19" s="285" t="s">
        <v>82</v>
      </c>
      <c r="K19" s="284">
        <v>1</v>
      </c>
      <c r="L19" s="285"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1</v>
      </c>
      <c r="J20" s="285" t="s">
        <v>85</v>
      </c>
      <c r="K20" s="284">
        <v>2</v>
      </c>
      <c r="L20" s="285"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4">
        <f t="shared" si="1"/>
        <v>9</v>
      </c>
      <c r="B21" s="282" t="s">
        <v>90</v>
      </c>
      <c r="C21" s="282" t="s">
        <v>91</v>
      </c>
      <c r="D21" s="283" t="s">
        <v>92</v>
      </c>
      <c r="E21" s="283" t="s">
        <v>93</v>
      </c>
      <c r="F21" s="283" t="s">
        <v>94</v>
      </c>
      <c r="G21" s="283" t="s">
        <v>95</v>
      </c>
      <c r="H21" s="283" t="s">
        <v>96</v>
      </c>
      <c r="I21" s="284">
        <v>2</v>
      </c>
      <c r="J21" s="285" t="s">
        <v>93</v>
      </c>
      <c r="K21" s="284">
        <v>3</v>
      </c>
      <c r="L21" s="285"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3</v>
      </c>
      <c r="J22" s="285" t="s">
        <v>101</v>
      </c>
      <c r="K22" s="284">
        <v>4</v>
      </c>
      <c r="L22" s="285"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Ana Kholifah</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46050.5610416667</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4</v>
      </c>
      <c r="J13" s="285" t="s">
        <v>110</v>
      </c>
      <c r="K13" s="284">
        <v>5</v>
      </c>
      <c r="L13" s="284"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6">
        <v>2</v>
      </c>
      <c r="B14" s="282" t="s">
        <v>112</v>
      </c>
      <c r="C14" s="282" t="s">
        <v>113</v>
      </c>
      <c r="D14" s="283" t="s">
        <v>114</v>
      </c>
      <c r="E14" s="283" t="s">
        <v>115</v>
      </c>
      <c r="F14" s="283" t="s">
        <v>116</v>
      </c>
      <c r="G14" s="283" t="s">
        <v>117</v>
      </c>
      <c r="H14" s="283" t="s">
        <v>118</v>
      </c>
      <c r="I14" s="284">
        <v>5</v>
      </c>
      <c r="J14" s="285" t="s">
        <v>118</v>
      </c>
      <c r="K14" s="284">
        <v>1</v>
      </c>
      <c r="L14" s="284"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1</v>
      </c>
      <c r="J15" s="285" t="s">
        <v>121</v>
      </c>
      <c r="K15" s="284">
        <v>2</v>
      </c>
      <c r="L15" s="284"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4">
        <v>4</v>
      </c>
      <c r="B16" s="282" t="s">
        <v>126</v>
      </c>
      <c r="C16" s="282" t="s">
        <v>127</v>
      </c>
      <c r="D16" s="283" t="s">
        <v>128</v>
      </c>
      <c r="E16" s="283" t="s">
        <v>129</v>
      </c>
      <c r="F16" s="283" t="s">
        <v>130</v>
      </c>
      <c r="G16" s="283" t="s">
        <v>131</v>
      </c>
      <c r="H16" s="283" t="s">
        <v>132</v>
      </c>
      <c r="I16" s="284">
        <v>2</v>
      </c>
      <c r="J16" s="285" t="s">
        <v>129</v>
      </c>
      <c r="K16" s="284">
        <v>3</v>
      </c>
      <c r="L16" s="284"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3</v>
      </c>
      <c r="J17" s="285" t="s">
        <v>137</v>
      </c>
      <c r="K17" s="284">
        <v>4</v>
      </c>
      <c r="L17" s="284"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4">
        <v>6</v>
      </c>
      <c r="B18" s="282" t="s">
        <v>140</v>
      </c>
      <c r="C18" s="282" t="s">
        <v>141</v>
      </c>
      <c r="D18" s="283" t="s">
        <v>142</v>
      </c>
      <c r="E18" s="283" t="s">
        <v>143</v>
      </c>
      <c r="F18" s="283" t="s">
        <v>144</v>
      </c>
      <c r="G18" s="283" t="s">
        <v>145</v>
      </c>
      <c r="H18" s="283" t="s">
        <v>146</v>
      </c>
      <c r="I18" s="284">
        <v>4</v>
      </c>
      <c r="J18" s="285" t="s">
        <v>145</v>
      </c>
      <c r="K18" s="284">
        <v>5</v>
      </c>
      <c r="L18" s="284"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4">
        <v>7</v>
      </c>
      <c r="B19" s="282" t="s">
        <v>147</v>
      </c>
      <c r="C19" s="282" t="s">
        <v>148</v>
      </c>
      <c r="D19" s="283" t="s">
        <v>149</v>
      </c>
      <c r="E19" s="283" t="s">
        <v>150</v>
      </c>
      <c r="F19" s="283" t="s">
        <v>151</v>
      </c>
      <c r="G19" s="283" t="s">
        <v>152</v>
      </c>
      <c r="H19" s="283" t="s">
        <v>153</v>
      </c>
      <c r="I19" s="284">
        <v>5</v>
      </c>
      <c r="J19" s="285" t="s">
        <v>153</v>
      </c>
      <c r="K19" s="284">
        <v>1</v>
      </c>
      <c r="L19" s="284"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1</v>
      </c>
      <c r="J20" s="285" t="s">
        <v>156</v>
      </c>
      <c r="K20" s="284">
        <v>2</v>
      </c>
      <c r="L20" s="284"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6">
        <v>9</v>
      </c>
      <c r="B21" s="282" t="s">
        <v>161</v>
      </c>
      <c r="C21" s="282" t="s">
        <v>162</v>
      </c>
      <c r="D21" s="283" t="s">
        <v>163</v>
      </c>
      <c r="E21" s="283" t="s">
        <v>164</v>
      </c>
      <c r="F21" s="283" t="s">
        <v>165</v>
      </c>
      <c r="G21" s="283" t="s">
        <v>166</v>
      </c>
      <c r="H21" s="283" t="s">
        <v>167</v>
      </c>
      <c r="I21" s="284">
        <v>2</v>
      </c>
      <c r="J21" s="285" t="s">
        <v>164</v>
      </c>
      <c r="K21" s="284">
        <v>3</v>
      </c>
      <c r="L21" s="284"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3</v>
      </c>
      <c r="J22" s="285" t="s">
        <v>172</v>
      </c>
      <c r="K22" s="284">
        <v>4</v>
      </c>
      <c r="L22" s="284"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4</v>
      </c>
      <c r="J13" s="285" t="s">
        <v>180</v>
      </c>
      <c r="K13" s="284">
        <v>5</v>
      </c>
      <c r="L13" s="285"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5</v>
      </c>
      <c r="J14" s="285" t="s">
        <v>190</v>
      </c>
      <c r="K14" s="284">
        <v>1</v>
      </c>
      <c r="L14" s="285"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1</v>
      </c>
      <c r="J15" s="285" t="s">
        <v>193</v>
      </c>
      <c r="K15" s="284">
        <v>2</v>
      </c>
      <c r="L15" s="285"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2</v>
      </c>
      <c r="J16" s="285" t="s">
        <v>203</v>
      </c>
      <c r="K16" s="284">
        <v>3</v>
      </c>
      <c r="L16" s="285"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3</v>
      </c>
      <c r="J17" s="285" t="s">
        <v>213</v>
      </c>
      <c r="K17" s="284">
        <v>4</v>
      </c>
      <c r="L17" s="285"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4</v>
      </c>
      <c r="J18" s="285" t="s">
        <v>221</v>
      </c>
      <c r="K18" s="284">
        <v>5</v>
      </c>
      <c r="L18" s="285"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5</v>
      </c>
      <c r="J19" s="285" t="s">
        <v>231</v>
      </c>
      <c r="K19" s="284">
        <v>1</v>
      </c>
      <c r="L19" s="285"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1</v>
      </c>
      <c r="J20" s="285" t="s">
        <v>234</v>
      </c>
      <c r="K20" s="284">
        <v>2</v>
      </c>
      <c r="L20" s="285"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2</v>
      </c>
      <c r="J21" s="285" t="s">
        <v>242</v>
      </c>
      <c r="K21" s="284">
        <v>3</v>
      </c>
      <c r="L21" s="285"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3</v>
      </c>
      <c r="J22" s="285" t="s">
        <v>250</v>
      </c>
      <c r="K22" s="284">
        <v>4</v>
      </c>
      <c r="L22" s="285"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4</v>
      </c>
      <c r="J13" s="285" t="s">
        <v>258</v>
      </c>
      <c r="K13" s="284">
        <v>5</v>
      </c>
      <c r="L13" s="285"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5">
        <v>2</v>
      </c>
      <c r="B14" s="282" t="s">
        <v>260</v>
      </c>
      <c r="C14" s="282" t="s">
        <v>261</v>
      </c>
      <c r="D14" s="282" t="s">
        <v>262</v>
      </c>
      <c r="E14" s="282" t="s">
        <v>263</v>
      </c>
      <c r="F14" s="282" t="s">
        <v>264</v>
      </c>
      <c r="G14" s="282" t="s">
        <v>265</v>
      </c>
      <c r="H14" s="282" t="s">
        <v>266</v>
      </c>
      <c r="I14" s="284">
        <v>5</v>
      </c>
      <c r="J14" s="285" t="s">
        <v>266</v>
      </c>
      <c r="K14" s="284">
        <v>1</v>
      </c>
      <c r="L14" s="285"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1</v>
      </c>
      <c r="J15" s="285" t="s">
        <v>269</v>
      </c>
      <c r="K15" s="284">
        <v>2</v>
      </c>
      <c r="L15" s="285"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81">
        <v>4</v>
      </c>
      <c r="B16" s="282" t="s">
        <v>274</v>
      </c>
      <c r="C16" s="282" t="s">
        <v>275</v>
      </c>
      <c r="D16" s="282" t="s">
        <v>276</v>
      </c>
      <c r="E16" s="282" t="s">
        <v>277</v>
      </c>
      <c r="F16" s="282" t="s">
        <v>278</v>
      </c>
      <c r="G16" s="282" t="s">
        <v>279</v>
      </c>
      <c r="H16" s="282" t="s">
        <v>280</v>
      </c>
      <c r="I16" s="284">
        <v>2</v>
      </c>
      <c r="J16" s="285" t="s">
        <v>277</v>
      </c>
      <c r="K16" s="284">
        <v>3</v>
      </c>
      <c r="L16" s="285"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3</v>
      </c>
      <c r="J17" s="285" t="s">
        <v>285</v>
      </c>
      <c r="K17" s="284">
        <v>4</v>
      </c>
      <c r="L17" s="285"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5">
        <v>6</v>
      </c>
      <c r="B18" s="282" t="s">
        <v>288</v>
      </c>
      <c r="C18" s="282" t="s">
        <v>289</v>
      </c>
      <c r="D18" s="282" t="s">
        <v>290</v>
      </c>
      <c r="E18" s="282" t="s">
        <v>291</v>
      </c>
      <c r="F18" s="282" t="s">
        <v>292</v>
      </c>
      <c r="G18" s="282" t="s">
        <v>293</v>
      </c>
      <c r="H18" s="282" t="s">
        <v>294</v>
      </c>
      <c r="I18" s="284">
        <v>4</v>
      </c>
      <c r="J18" s="285" t="s">
        <v>293</v>
      </c>
      <c r="K18" s="284">
        <v>5</v>
      </c>
      <c r="L18" s="285"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5">
        <v>7</v>
      </c>
      <c r="B19" s="282" t="s">
        <v>295</v>
      </c>
      <c r="C19" s="282" t="s">
        <v>296</v>
      </c>
      <c r="D19" s="282" t="s">
        <v>297</v>
      </c>
      <c r="E19" s="282" t="s">
        <v>298</v>
      </c>
      <c r="F19" s="282" t="s">
        <v>299</v>
      </c>
      <c r="G19" s="282" t="s">
        <v>300</v>
      </c>
      <c r="H19" s="282" t="s">
        <v>301</v>
      </c>
      <c r="I19" s="284">
        <v>5</v>
      </c>
      <c r="J19" s="285" t="s">
        <v>301</v>
      </c>
      <c r="K19" s="284">
        <v>1</v>
      </c>
      <c r="L19" s="285"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1</v>
      </c>
      <c r="J20" s="285" t="s">
        <v>304</v>
      </c>
      <c r="K20" s="284">
        <v>2</v>
      </c>
      <c r="L20" s="285"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5">
        <v>9</v>
      </c>
      <c r="B21" s="282" t="s">
        <v>309</v>
      </c>
      <c r="C21" s="282" t="s">
        <v>310</v>
      </c>
      <c r="D21" s="282" t="s">
        <v>311</v>
      </c>
      <c r="E21" s="282" t="s">
        <v>312</v>
      </c>
      <c r="F21" s="282" t="s">
        <v>313</v>
      </c>
      <c r="G21" s="282" t="s">
        <v>314</v>
      </c>
      <c r="H21" s="282" t="s">
        <v>315</v>
      </c>
      <c r="I21" s="284">
        <v>2</v>
      </c>
      <c r="J21" s="285" t="s">
        <v>312</v>
      </c>
      <c r="K21" s="284">
        <v>3</v>
      </c>
      <c r="L21" s="285"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3</v>
      </c>
      <c r="J22" s="285" t="s">
        <v>320</v>
      </c>
      <c r="K22" s="284">
        <v>4</v>
      </c>
      <c r="L22" s="285"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Ana Kholifah</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46050.5610416667</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4</v>
      </c>
      <c r="J13" s="285" t="s">
        <v>328</v>
      </c>
      <c r="K13" s="284">
        <v>5</v>
      </c>
      <c r="L13" s="285"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5">
        <v>2</v>
      </c>
      <c r="B14" s="282" t="s">
        <v>330</v>
      </c>
      <c r="C14" s="282" t="s">
        <v>331</v>
      </c>
      <c r="D14" s="283" t="s">
        <v>332</v>
      </c>
      <c r="E14" s="283" t="s">
        <v>333</v>
      </c>
      <c r="F14" s="283" t="s">
        <v>334</v>
      </c>
      <c r="G14" s="283" t="s">
        <v>335</v>
      </c>
      <c r="H14" s="283" t="s">
        <v>336</v>
      </c>
      <c r="I14" s="284">
        <v>5</v>
      </c>
      <c r="J14" s="285" t="s">
        <v>336</v>
      </c>
      <c r="K14" s="284">
        <v>1</v>
      </c>
      <c r="L14" s="285"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1</v>
      </c>
      <c r="J15" s="285" t="s">
        <v>339</v>
      </c>
      <c r="K15" s="284">
        <v>2</v>
      </c>
      <c r="L15" s="285"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81">
        <v>4</v>
      </c>
      <c r="B16" s="282" t="s">
        <v>344</v>
      </c>
      <c r="C16" s="282" t="s">
        <v>345</v>
      </c>
      <c r="D16" s="283" t="s">
        <v>346</v>
      </c>
      <c r="E16" s="283" t="s">
        <v>347</v>
      </c>
      <c r="F16" s="283" t="s">
        <v>348</v>
      </c>
      <c r="G16" s="283" t="s">
        <v>349</v>
      </c>
      <c r="H16" s="283" t="s">
        <v>350</v>
      </c>
      <c r="I16" s="284">
        <v>2</v>
      </c>
      <c r="J16" s="285" t="s">
        <v>347</v>
      </c>
      <c r="K16" s="284">
        <v>3</v>
      </c>
      <c r="L16" s="285"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5">
        <v>5</v>
      </c>
      <c r="B17" s="282" t="s">
        <v>351</v>
      </c>
      <c r="C17" s="283" t="s">
        <v>352</v>
      </c>
      <c r="D17" s="283" t="s">
        <v>353</v>
      </c>
      <c r="E17" s="283" t="s">
        <v>354</v>
      </c>
      <c r="F17" s="283" t="s">
        <v>355</v>
      </c>
      <c r="G17" s="283" t="s">
        <v>356</v>
      </c>
      <c r="H17" s="283" t="s">
        <v>357</v>
      </c>
      <c r="I17" s="284">
        <v>3</v>
      </c>
      <c r="J17" s="285" t="s">
        <v>355</v>
      </c>
      <c r="K17" s="284">
        <v>4</v>
      </c>
      <c r="L17" s="285"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5">
        <v>6</v>
      </c>
      <c r="B18" s="282" t="s">
        <v>358</v>
      </c>
      <c r="C18" s="283" t="s">
        <v>359</v>
      </c>
      <c r="D18" s="283" t="s">
        <v>360</v>
      </c>
      <c r="E18" s="283" t="s">
        <v>361</v>
      </c>
      <c r="F18" s="283" t="s">
        <v>362</v>
      </c>
      <c r="G18" s="283" t="s">
        <v>363</v>
      </c>
      <c r="H18" s="283" t="s">
        <v>364</v>
      </c>
      <c r="I18" s="284">
        <v>4</v>
      </c>
      <c r="J18" s="285" t="s">
        <v>363</v>
      </c>
      <c r="K18" s="284">
        <v>5</v>
      </c>
      <c r="L18" s="285"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5">
        <v>7</v>
      </c>
      <c r="B19" s="282" t="s">
        <v>365</v>
      </c>
      <c r="C19" s="283" t="s">
        <v>366</v>
      </c>
      <c r="D19" s="283" t="s">
        <v>367</v>
      </c>
      <c r="E19" s="283" t="s">
        <v>368</v>
      </c>
      <c r="F19" s="283" t="s">
        <v>369</v>
      </c>
      <c r="G19" s="283" t="s">
        <v>370</v>
      </c>
      <c r="H19" s="283" t="s">
        <v>371</v>
      </c>
      <c r="I19" s="284">
        <v>5</v>
      </c>
      <c r="J19" s="285" t="s">
        <v>371</v>
      </c>
      <c r="K19" s="284">
        <v>1</v>
      </c>
      <c r="L19" s="285"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1</v>
      </c>
      <c r="J20" s="285" t="s">
        <v>374</v>
      </c>
      <c r="K20" s="284">
        <v>2</v>
      </c>
      <c r="L20" s="285"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5">
        <v>9</v>
      </c>
      <c r="B21" s="282" t="s">
        <v>379</v>
      </c>
      <c r="C21" s="283" t="s">
        <v>380</v>
      </c>
      <c r="D21" s="283" t="s">
        <v>381</v>
      </c>
      <c r="E21" s="283" t="s">
        <v>382</v>
      </c>
      <c r="F21" s="283" t="s">
        <v>383</v>
      </c>
      <c r="G21" s="283" t="s">
        <v>384</v>
      </c>
      <c r="H21" s="283" t="s">
        <v>385</v>
      </c>
      <c r="I21" s="284">
        <v>2</v>
      </c>
      <c r="J21" s="285" t="s">
        <v>382</v>
      </c>
      <c r="K21" s="284">
        <v>3</v>
      </c>
      <c r="L21" s="285"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3</v>
      </c>
      <c r="J22" s="285" t="s">
        <v>390</v>
      </c>
      <c r="K22" s="284">
        <v>4</v>
      </c>
      <c r="L22" s="285"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Ana Kholifah</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46050.5610416667</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4</v>
      </c>
      <c r="C53" s="253">
        <f>'change agility'!K13</f>
        <v>5</v>
      </c>
      <c r="D53" s="254">
        <f>'change agility'!M13</f>
        <v>-1</v>
      </c>
      <c r="E53" s="255" t="str">
        <f>'change agility'!N13</f>
        <v>Minor Negative Gap</v>
      </c>
    </row>
    <row r="54" s="207" customFormat="1" ht="60" spans="1:9">
      <c r="A54" s="253" t="str">
        <f>'change agility'!B14</f>
        <v>Comfort with New Ways of Working
(mulai nyaman dengan cara kerja baru)</v>
      </c>
      <c r="B54" s="253">
        <f>'change agility'!I14</f>
        <v>5</v>
      </c>
      <c r="C54" s="253">
        <f>'change agility'!K14</f>
        <v>1</v>
      </c>
      <c r="D54" s="254">
        <f>'change agility'!M14</f>
        <v>4</v>
      </c>
      <c r="E54" s="255" t="str">
        <f>'change agility'!N14</f>
        <v>Major Positive Gap</v>
      </c>
    </row>
    <row r="55" s="207" customFormat="1" ht="45" spans="1:9">
      <c r="A55" s="253" t="str">
        <f>'change agility'!B15</f>
        <v>Comfort with Sudden Change
(tetap bekerja saat perubahan mendadak)</v>
      </c>
      <c r="B55" s="253">
        <f>'change agility'!I15</f>
        <v>1</v>
      </c>
      <c r="C55" s="253">
        <f>'change agility'!K15</f>
        <v>2</v>
      </c>
      <c r="D55" s="254">
        <f>'change agility'!M15</f>
        <v>-1</v>
      </c>
      <c r="E55" s="255" t="str">
        <f>'change agility'!N15</f>
        <v>Minor Negative Gap</v>
      </c>
    </row>
    <row r="56" s="207" customFormat="1" ht="30" spans="1:9">
      <c r="A56" s="253" t="str">
        <f>'change agility'!B16</f>
        <v>Managing Resistance to Change
(pengelolaan resistensi)</v>
      </c>
      <c r="B56" s="253">
        <f>'change agility'!I16</f>
        <v>2</v>
      </c>
      <c r="C56" s="253">
        <f>'change agility'!K16</f>
        <v>3</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3</v>
      </c>
      <c r="C57" s="253">
        <f>'change agility'!K17</f>
        <v>4</v>
      </c>
      <c r="D57" s="254">
        <f>'change agility'!M17</f>
        <v>-1</v>
      </c>
      <c r="E57" s="255" t="str">
        <f>'change agility'!N17</f>
        <v>Minor Negative Gap</v>
      </c>
    </row>
    <row r="58" s="207" customFormat="1" ht="45" spans="1:9">
      <c r="A58" s="253" t="str">
        <f>'change agility'!B18</f>
        <v>Viewing Change as Opportunity
(melihat perubahan sebagai peluang)</v>
      </c>
      <c r="B58" s="253">
        <f>'change agility'!I18</f>
        <v>4</v>
      </c>
      <c r="C58" s="253">
        <f>'change agility'!K18</f>
        <v>5</v>
      </c>
      <c r="D58" s="254">
        <f>'change agility'!M18</f>
        <v>-1</v>
      </c>
      <c r="E58" s="255" t="str">
        <f>'change agility'!N18</f>
        <v>Minor Negative Gap</v>
      </c>
    </row>
    <row r="59" s="207" customFormat="1" ht="30" spans="1:9">
      <c r="A59" s="253" t="str">
        <f>'change agility'!B19</f>
        <v>Proposing New Ideas
(mulai menginisiasi perubahan)</v>
      </c>
      <c r="B59" s="253">
        <f>'change agility'!I19</f>
        <v>5</v>
      </c>
      <c r="C59" s="253">
        <f>'change agility'!K19</f>
        <v>1</v>
      </c>
      <c r="D59" s="254">
        <f>'change agility'!M19</f>
        <v>4</v>
      </c>
      <c r="E59" s="255" t="str">
        <f>'change agility'!N19</f>
        <v>Major Positive Gap</v>
      </c>
    </row>
    <row r="60" s="207" customFormat="1" ht="45" spans="1:9">
      <c r="A60" s="253" t="str">
        <f>'change agility'!B20</f>
        <v>Risk-Taking for Innovation
(berani mencoba pendekatan baru)</v>
      </c>
      <c r="B60" s="253">
        <f>'change agility'!I20</f>
        <v>1</v>
      </c>
      <c r="C60" s="253">
        <f>'change agility'!K20</f>
        <v>2</v>
      </c>
      <c r="D60" s="254">
        <f>'change agility'!M20</f>
        <v>-1</v>
      </c>
      <c r="E60" s="255" t="str">
        <f>'change agility'!N20</f>
        <v>Minor Negative Gap</v>
      </c>
    </row>
    <row r="61" s="207" customFormat="1" ht="45" spans="1:9">
      <c r="A61" s="253" t="str">
        <f>'change agility'!B21</f>
        <v>Calmness in Uncertainty
(tetap tenang di kondisi tidak pasti)</v>
      </c>
      <c r="B61" s="253">
        <f>'change agility'!I21</f>
        <v>2</v>
      </c>
      <c r="C61" s="253">
        <f>'change agility'!K21</f>
        <v>3</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3</v>
      </c>
      <c r="C62" s="253">
        <f>'change agility'!K22</f>
        <v>4</v>
      </c>
      <c r="D62" s="254">
        <f>'change agility'!M22</f>
        <v>-1</v>
      </c>
      <c r="E62" s="255" t="str">
        <f>'change agility'!N22</f>
        <v>Minor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4</v>
      </c>
      <c r="C68" s="241">
        <f>'result agility'!K13</f>
        <v>5</v>
      </c>
      <c r="D68" s="241">
        <f>'result agility'!M13</f>
        <v>-1</v>
      </c>
      <c r="E68" s="261" t="str">
        <f>'result agility'!N13</f>
        <v>Minor Negative Gap</v>
      </c>
    </row>
    <row r="69" s="207" customFormat="1" ht="45" spans="1:5">
      <c r="A69" s="253" t="str">
        <f>'result agility'!B14</f>
        <v>Action-Oriented &amp; Takes Initiative 
(proaktif bertindak)</v>
      </c>
      <c r="B69" s="241">
        <f>'result agility'!I14</f>
        <v>5</v>
      </c>
      <c r="C69" s="241">
        <f>'result agility'!K14</f>
        <v>1</v>
      </c>
      <c r="D69" s="241">
        <f>'result agility'!M14</f>
        <v>4</v>
      </c>
      <c r="E69" s="261" t="str">
        <f>'result agility'!N14</f>
        <v>Major Positive Gap</v>
      </c>
    </row>
    <row r="70" s="207" customFormat="1" ht="30" spans="1:5">
      <c r="A70" s="253" t="str">
        <f>'result agility'!B15</f>
        <v>Driving for impact
(fokus pada hasil kerja)</v>
      </c>
      <c r="B70" s="241">
        <f>'result agility'!I15</f>
        <v>1</v>
      </c>
      <c r="C70" s="241">
        <f>'result agility'!K15</f>
        <v>2</v>
      </c>
      <c r="D70" s="241">
        <f>'result agility'!M15</f>
        <v>-1</v>
      </c>
      <c r="E70" s="261" t="str">
        <f>'result agility'!N15</f>
        <v>Minor Negative Gap</v>
      </c>
    </row>
    <row r="71" s="207" customFormat="1" ht="60" spans="1:5">
      <c r="A71" s="253" t="str">
        <f>'result agility'!B16</f>
        <v>Tenacity &amp; Strategic Persistence
(menjaga komitmen di tengah tantangan)</v>
      </c>
      <c r="B71" s="241">
        <f>'result agility'!I16</f>
        <v>2</v>
      </c>
      <c r="C71" s="241">
        <f>'result agility'!K16</f>
        <v>3</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3</v>
      </c>
      <c r="C72" s="241">
        <f>'result agility'!K17</f>
        <v>4</v>
      </c>
      <c r="D72" s="241">
        <f>'result agility'!M17</f>
        <v>-1</v>
      </c>
      <c r="E72" s="261" t="str">
        <f>'result agility'!N17</f>
        <v>Minor Negative Gap</v>
      </c>
    </row>
    <row r="73" s="207" customFormat="1" ht="45" spans="1:5">
      <c r="A73" s="253" t="str">
        <f>'result agility'!B18</f>
        <v>Deciding with Incomplete Data
(mengambil keputusan dengan data/informasi terbatas)</v>
      </c>
      <c r="B73" s="241">
        <f>'result agility'!I18</f>
        <v>4</v>
      </c>
      <c r="C73" s="241">
        <f>'result agility'!K18</f>
        <v>5</v>
      </c>
      <c r="D73" s="241">
        <f>'result agility'!M18</f>
        <v>-1</v>
      </c>
      <c r="E73" s="261" t="str">
        <f>'result agility'!N18</f>
        <v>Minor Negative Gap</v>
      </c>
    </row>
    <row r="74" s="207" customFormat="1" ht="45" spans="1:5">
      <c r="A74" s="253" t="str">
        <f>'result agility'!B19</f>
        <v>Focus Under Pressure
(tetap fokus dalam tekanan tinggi)</v>
      </c>
      <c r="B74" s="241">
        <f>'result agility'!I19</f>
        <v>5</v>
      </c>
      <c r="C74" s="241">
        <f>'result agility'!K19</f>
        <v>1</v>
      </c>
      <c r="D74" s="241">
        <f>'result agility'!M19</f>
        <v>4</v>
      </c>
      <c r="E74" s="261" t="str">
        <f>'result agility'!N19</f>
        <v>Major Positive Gap</v>
      </c>
    </row>
    <row r="75" s="207" customFormat="1" ht="45" spans="1:5">
      <c r="A75" s="253" t="str">
        <f>'result agility'!B20</f>
        <v>Adapting Strategy When Needed
(mengubah strategi untuk hasil lebih baik)</v>
      </c>
      <c r="B75" s="241">
        <f>'result agility'!I20</f>
        <v>1</v>
      </c>
      <c r="C75" s="241">
        <f>'result agility'!K20</f>
        <v>2</v>
      </c>
      <c r="D75" s="241">
        <f>'result agility'!M20</f>
        <v>-1</v>
      </c>
      <c r="E75" s="261" t="str">
        <f>'result agility'!N20</f>
        <v>Minor Negative Gap</v>
      </c>
    </row>
    <row r="76" s="207" customFormat="1" ht="60" spans="1:5">
      <c r="A76" s="253" t="str">
        <f>'result agility'!B21</f>
        <v>Agile Problem-Solving Under Pressure
(rencana di tengah ketidakpastian)</v>
      </c>
      <c r="B76" s="241">
        <f>'result agility'!I21</f>
        <v>2</v>
      </c>
      <c r="C76" s="241">
        <f>'result agility'!K21</f>
        <v>3</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3</v>
      </c>
      <c r="C77" s="241">
        <f>'result agility'!K22</f>
        <v>4</v>
      </c>
      <c r="D77" s="241">
        <f>'result agility'!M22</f>
        <v>-1</v>
      </c>
      <c r="E77" s="261" t="str">
        <f>'result agility'!N22</f>
        <v>Minor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61"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61"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61"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61"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61"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61"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61"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61"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61" t="str">
        <f>'self awareness'!N22</f>
        <v>Minor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Ana Kholifah</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46050.5610416667</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Ana Kholifah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Ana Kholifah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Ana Kholifah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Ana Kholifah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EF21A56EBD54431C9E6F64B55E0440A9_12</vt:lpwstr>
  </property>
  <property fmtid="{D5CDD505-2E9C-101B-9397-08002B2CF9AE}" pid="5" name="KSOProductBuildVer">
    <vt:lpwstr>1033-12.1.0.28485</vt:lpwstr>
  </property>
  <property fmtid="{D5CDD505-2E9C-101B-9397-08002B2CF9AE}" pid="6" name="CalculationRule">
    <vt:i4>0</vt:i4>
  </property>
</Properties>
</file>